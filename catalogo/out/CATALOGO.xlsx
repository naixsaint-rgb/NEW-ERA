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yenda" sheetId="1" state="visible" r:id="rId3"/>
    <sheet name="Filas" sheetId="2" state="visible" r:id="rId4"/>
    <sheet name="Resumen" sheetId="3" state="visible" r:id="rId5"/>
    <sheet name="Dosieres" sheetId="4" state="visible" r:id="rId6"/>
    <sheet name="Enterrado" sheetId="5" state="visible" r:id="rId7"/>
  </sheets>
  <definedNames>
    <definedName function="false" hidden="true" localSheetId="1" name="_xlnm._FilterDatabase" vbProcedure="false">Filas!$A$1:$U$648</definedName>
    <definedName function="false" hidden="true" localSheetId="2" name="_xlnm._FilterDatabase" vbProcedure="false">Resumen!$A$1:$I$354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<sst xmlns="http://schemas.openxmlformats.org/spreadsheetml/2006/main" count="14106" uniqueCount="8523">
  <si>
    <t xml:space="preserve">CATÁLOGO DE INTERVENCIONES PARA ALZHEIMER · investigado con postura contraria al consenso · 12/10/2026</t>
  </si>
  <si>
    <t xml:space="preserve">Cómo se hizo: 15 temas, cada uno investigado por un agente con la instrucción de no fiarse del consenso, seguir el dinero, buscar donde el consenso no mira y no descartar nada por pequeño, antiguo, animal o heterodoxo. Fuentes: Europe PMC y PubMed por API, ClinicalTrials.gov, y webs, foros y libros heterodoxos.</t>
  </si>
  <si>
    <t xml:space="preserve">Nadie hace de juez. Las cifras se transcriben tal cual las da cada fuente. La columna "Dirección según la fuente" es lo que dice la propia fuente, no una opinión nuestra.</t>
  </si>
  <si>
    <t xml:space="preserve">Verificación documental: un segundo agente solo comprobó que la cita existe y que la cifra aparece en la fuente. No borró ni cambió nada; si una cifra difiere, lo anota en la columna "Verificación documental" y tú decides.</t>
  </si>
  <si>
    <t xml:space="preserve">Financiación y conflictos: lo que declara cada estudio; "no consta" significa que la fuente no lo dice, no que no exista.</t>
  </si>
  <si>
    <t xml:space="preserve">Columna Intervención (grupo): nombre canónico asignado por un agente para poder sumar filas de la misma intervención; la columna siguiente conserva el nombre tal como lo da la fuente. Hoja Filas: una fila por estudio o fuente. Hoja Resumen: cuenta por intervención con fórmulas sobre la hoja Filas (se recalcula sola si editas Filas). Hoja Dosieres: la tesis heterodoxa de cada tema, sus defensores, lo enterrado y las ideas para la app. Hoja Enterrado: ensayos sin resultados publicados y líneas abandonadas.</t>
  </si>
  <si>
    <t xml:space="preserve">Las conclusiones las saca la familia. Este archivo no es consejo médico; es material de investigación.</t>
  </si>
  <si>
    <t xml:space="preserve">Filas: 647. Temas: 15. Intervenciones distintas: 353.</t>
  </si>
  <si>
    <t xml:space="preserve">Tema</t>
  </si>
  <si>
    <t xml:space="preserve">Intervención (grupo)</t>
  </si>
  <si>
    <t xml:space="preserve">Intervención (tal como la nombra la fuente)</t>
  </si>
  <si>
    <t xml:space="preserve">Tradición o ángulo</t>
  </si>
  <si>
    <t xml:space="preserve">Estudio / fuente</t>
  </si>
  <si>
    <t xml:space="preserve">Tipo de fuente</t>
  </si>
  <si>
    <t xml:space="preserve">Diseño</t>
  </si>
  <si>
    <t xml:space="preserve">n</t>
  </si>
  <si>
    <t xml:space="preserve">Población</t>
  </si>
  <si>
    <t xml:space="preserve">Duración</t>
  </si>
  <si>
    <t xml:space="preserve">Dosis o protocolo</t>
  </si>
  <si>
    <t xml:space="preserve">Qué midió</t>
  </si>
  <si>
    <t xml:space="preserve">Resultado reportado (cifra tal cual)</t>
  </si>
  <si>
    <t xml:space="preserve">Dirección según la fuente</t>
  </si>
  <si>
    <t xml:space="preserve">Efectos adversos reportados</t>
  </si>
  <si>
    <t xml:space="preserve">Financiación y conflictos</t>
  </si>
  <si>
    <t xml:space="preserve">Cómo probarlo en casa (según la fuente)</t>
  </si>
  <si>
    <t xml:space="preserve">Coste aprox.</t>
  </si>
  <si>
    <t xml:space="preserve">Verificación documental</t>
  </si>
  <si>
    <t xml:space="preserve">Identificador</t>
  </si>
  <si>
    <t xml:space="preserve">Enlace</t>
  </si>
  <si>
    <t xml:space="preserve">cobre_metales</t>
  </si>
  <si>
    <t xml:space="preserve">Cobre (suplemento oral)</t>
  </si>
  <si>
    <t xml:space="preserve">Cobre oral (orotato de Cu(II), 8 mg Cu/día)</t>
  </si>
  <si>
    <t xml:space="preserve">Hipótesis del déficit de cobre / suplementación</t>
  </si>
  <si>
    <t xml:space="preserve">Kessler H, Bayer TA, Bach D et al. 2008, J Neural Transm</t>
  </si>
  <si>
    <t xml:space="preserve">ensayo aleatorizado</t>
  </si>
  <si>
    <t xml:space="preserve">Fase 2 piloto, doble ciego, placebo</t>
  </si>
  <si>
    <t xml:space="preserve">68</t>
  </si>
  <si>
    <t xml:space="preserve">Alzheimer leve</t>
  </si>
  <si>
    <t xml:space="preserve">12 meses</t>
  </si>
  <si>
    <t xml:space="preserve">8 mg Cu/día como Cu-(II)-orotato dihidrato</t>
  </si>
  <si>
    <t xml:space="preserve">ADAS-Cog, MMSE</t>
  </si>
  <si>
    <t xml:space="preserve">Sin diferencias significativas en ADAS-Cog ni MMSE entre cobre y placebo; los autores concluyen que el cobre oral 'no tiene efecto perjudicial ni promotor' sobre la progresión</t>
  </si>
  <si>
    <t xml:space="preserve">sin cambio</t>
  </si>
  <si>
    <t xml:space="preserve">Bien tolerado</t>
  </si>
  <si>
    <t xml:space="preserve">no consta en el resumen. Promotor del registro NCT00608946: University Hospital, Saarland</t>
  </si>
  <si>
    <t xml:space="preserve">cita encontrada; cifra coincide (PMID 18587525; 8 mg Cu y conclusión de ausencia de efecto presentes)</t>
  </si>
  <si>
    <t xml:space="preserve">PMID 18587525; DOI 10.1007/s00702-008-0080-1; NCT00608946</t>
  </si>
  <si>
    <t xml:space="preserve">https://europepmc.org/article/MED/18587525</t>
  </si>
  <si>
    <t xml:space="preserve">Cobre oral (orotato de Cu(II), 8 mg Cu/día) - biomarcadores LCR</t>
  </si>
  <si>
    <t xml:space="preserve">Hipótesis del déficit de cobre</t>
  </si>
  <si>
    <t xml:space="preserve">Kessler H, Pajonk FG, Bach D et al. 2008, J Neural Transm</t>
  </si>
  <si>
    <t xml:space="preserve">Fase 2 piloto, análisis de LCR del mismo ensayo</t>
  </si>
  <si>
    <t xml:space="preserve">68 (mismo ensayo)</t>
  </si>
  <si>
    <t xml:space="preserve">8 mg Cu/día</t>
  </si>
  <si>
    <t xml:space="preserve">Abeta42, tau y fosfo-tau en LCR</t>
  </si>
  <si>
    <t xml:space="preserve">Abeta42 bajó 30% en placebo (P=0.001) y 10% en cobre (P=0.04); sin efecto sobre tau ni fosfo-tau; los autores señalan que podría indicar efecto positivo sobre un biomarcador, y que no hay efecto cognitivo</t>
  </si>
  <si>
    <t xml:space="preserve">mixto</t>
  </si>
  <si>
    <t xml:space="preserve">no consta</t>
  </si>
  <si>
    <t xml:space="preserve">no consta en el resumen</t>
  </si>
  <si>
    <t xml:space="preserve">cita encontrada; cifra coincide (PMID 18972062; 30%, 10%, P=0.001 y P=0.04 presentes)</t>
  </si>
  <si>
    <t xml:space="preserve">PMID 18972062; DOI 10.1007/s00702-008-0136-2; NCT00608946</t>
  </si>
  <si>
    <t xml:space="preserve">https://europepmc.org/article/MED/18972062</t>
  </si>
  <si>
    <t xml:space="preserve">Cobre (agua de bebida)</t>
  </si>
  <si>
    <t xml:space="preserve">Cobre en agua de bebida (0.12 ppm)</t>
  </si>
  <si>
    <t xml:space="preserve">Hipótesis del cobre inorgánico en agua/tuberías</t>
  </si>
  <si>
    <t xml:space="preserve">Sparks DL, Friedland R, Petanceska S et al. 2006, Journal citado en PubMed (sin revista en API)</t>
  </si>
  <si>
    <t xml:space="preserve">animal</t>
  </si>
  <si>
    <t xml:space="preserve">Experimentos en conejos hipercolesterolémicos (Watanabe y alimentados con colesterol), beagles y ratones PS1/APP</t>
  </si>
  <si>
    <t xml:space="preserve">Animales (conejos, perros, ratones transgénicos)</t>
  </si>
  <si>
    <t xml:space="preserve">Cobre añadido al agua (0.12 ppm en experimentos previos del grupo, una décima del límite EPA); aluminio y zinc comparados</t>
  </si>
  <si>
    <t xml:space="preserve">Abeta cerebral</t>
  </si>
  <si>
    <t xml:space="preserve">El cobre en agua aumentó significativamente Abeta cerebral en los modelos; aluminio o zinc en agua destilada no tuvieron efecto significativo; el agua destilada redujo la acumulación esperada de Abeta en tres modelos</t>
  </si>
  <si>
    <t xml:space="preserve">empeora</t>
  </si>
  <si>
    <t xml:space="preserve">NIH (NINDS NS45913, NIA AG023211). Conflictos no consta en el resumen</t>
  </si>
  <si>
    <t xml:space="preserve">cita encontrada; cifra no comprobable en el resumen (PMID 16886094; resultado cualitativo, título coherente)</t>
  </si>
  <si>
    <t xml:space="preserve">PMID 16886094</t>
  </si>
  <si>
    <t xml:space="preserve">https://europepmc.org/article/MED/16886094</t>
  </si>
  <si>
    <t xml:space="preserve">Cobre (biomarcadores)</t>
  </si>
  <si>
    <t xml:space="preserve">Cobre cerebral bajo (déficit de cobre)</t>
  </si>
  <si>
    <t xml:space="preserve">Hipótesis del déficit de cobre en el cerebro</t>
  </si>
  <si>
    <t xml:space="preserve">Xu J, Church SJ, Patassini S et al. 2017, Metallomics</t>
  </si>
  <si>
    <t xml:space="preserve">observacional</t>
  </si>
  <si>
    <t xml:space="preserve">Medición post mortem por ICP-MS en 7 regiones cerebrales</t>
  </si>
  <si>
    <t xml:space="preserve">9 Alzheimer y 13 controles</t>
  </si>
  <si>
    <t xml:space="preserve">Alzheimer (Braak IV-VI) vs controles</t>
  </si>
  <si>
    <t xml:space="preserve">post mortem</t>
  </si>
  <si>
    <t xml:space="preserve">ICP-MS de 8 metales esenciales y selenio</t>
  </si>
  <si>
    <t xml:space="preserve">Concentraciones de metales por región</t>
  </si>
  <si>
    <t xml:space="preserve">El cobre estaba disminuido en todas las regiones del cerebro con Alzheimer, al 52.8-70.2% de los valores control; los autores comparan con valores de la enfermedad de Menkes y proponen elevar el cobre cerebral como enfoque experimental</t>
  </si>
  <si>
    <t xml:space="preserve">no aplica</t>
  </si>
  <si>
    <t xml:space="preserve">Neurological Foundation NZ, Health Research Council NZ, Maurice and Phyllis Paykel Trust, MRC UK. Conflictos no consta en el resumen</t>
  </si>
  <si>
    <t xml:space="preserve">cita encontrada; cifra coincide (PMID 28654115; cifras del resultado presentes en el resumen)</t>
  </si>
  <si>
    <t xml:space="preserve">PMID 28654115; DOI 10.1039/c7mt00074j</t>
  </si>
  <si>
    <t xml:space="preserve">https://europepmc.org/article/MED/28654115</t>
  </si>
  <si>
    <t xml:space="preserve">Cobre intercambiable en suero (ExcCu) como marcador</t>
  </si>
  <si>
    <t xml:space="preserve">Hipótesis del cobre libre / subtipo de Alzheimer por cobre</t>
  </si>
  <si>
    <t xml:space="preserve">Squitti R, Pal A, Ivanova ID et al. 2025, Biomolecules</t>
  </si>
  <si>
    <t xml:space="preserve">Validación analítica CLSI de ensayo ICP-MS</t>
  </si>
  <si>
    <t xml:space="preserve">154 controles, 82 Alzheimer, 10 enfermedad de Wilson</t>
  </si>
  <si>
    <t xml:space="preserve">Alzheimer, controles, Wilson</t>
  </si>
  <si>
    <t xml:space="preserve">Suero</t>
  </si>
  <si>
    <t xml:space="preserve">ExcCu y otros marcadores de cobre</t>
  </si>
  <si>
    <t xml:space="preserve">ExcCu significativamente elevado en Alzheimer vs controles (p&lt;0.001); AUC 0.80 y especificidad 95% para distinguir Alzheimer de controles; índice REC AUC 0.88 para distinguir Alzheimer de Wilson</t>
  </si>
  <si>
    <t xml:space="preserve">'This research received no external funding'</t>
  </si>
  <si>
    <t xml:space="preserve">cita encontrada; cifra coincide (PMID 40563428; cifras del resultado presentes en el resumen)</t>
  </si>
  <si>
    <t xml:space="preserve">PMID 40563428; DOI 10.3390/biom15060788</t>
  </si>
  <si>
    <t xml:space="preserve">https://europepmc.org/article/MED/40563428</t>
  </si>
  <si>
    <t xml:space="preserve">Ratio cobre/zinc y selenio/cobre séricos</t>
  </si>
  <si>
    <t xml:space="preserve">Ratio Cu/Zn</t>
  </si>
  <si>
    <t xml:space="preserve">Heinze T, Tuchtenhagen M, Knüppel S et al. 2025, J Alzheimers Dis (EPIC-Potsdam)</t>
  </si>
  <si>
    <t xml:space="preserve">Casos y controles anidado en cohorte</t>
  </si>
  <si>
    <t xml:space="preserve">128 casos (Alzheimer u otras demencias) y 512 controles</t>
  </si>
  <si>
    <t xml:space="preserve">Adultos, seguimiento ~15.7 años</t>
  </si>
  <si>
    <t xml:space="preserve">~15.7 años desde basal</t>
  </si>
  <si>
    <t xml:space="preserve">Suero basal</t>
  </si>
  <si>
    <t xml:space="preserve">Mn, Fe, Cu, Zn, Se, I, cobre intercambiable, MDA, 3-NT</t>
  </si>
  <si>
    <t xml:space="preserve">Cu/Zn alto asociado a mayor incidencia (OR=2.1, IC95% 1.1-4.1); Se/Cu alto asociado inversamente (OR=0.72, IC95% 0.56-0.92); mujeres casos con tendencia a más Cu y CuEXC</t>
  </si>
  <si>
    <t xml:space="preserve">DFG FOR2558, BMFT, Deutsche Krebshilfe, FONIS-ANID Chile, Unión Europea</t>
  </si>
  <si>
    <t xml:space="preserve">cita encontrada; cifra coincide (PMID 40267333; cifras del resultado presentes en el resumen)</t>
  </si>
  <si>
    <t xml:space="preserve">PMID 40267333; DOI 10.1177/13872877251333726</t>
  </si>
  <si>
    <t xml:space="preserve">https://europepmc.org/article/MED/40267333</t>
  </si>
  <si>
    <t xml:space="preserve">Cobre (dieta)</t>
  </si>
  <si>
    <t xml:space="preserve">Cobre de la dieta</t>
  </si>
  <si>
    <t xml:space="preserve">Cobre dietético</t>
  </si>
  <si>
    <t xml:space="preserve">Wu X, Chen Y, Liu H et al. 2026, J Nutr Health Aging (UK Biobank)</t>
  </si>
  <si>
    <t xml:space="preserve">Cohorte prospectiva + transversal</t>
  </si>
  <si>
    <t xml:space="preserve">126 660</t>
  </si>
  <si>
    <t xml:space="preserve">Adultos UK Biobank, edad media 56.14</t>
  </si>
  <si>
    <t xml:space="preserve">mediana 13.34 años</t>
  </si>
  <si>
    <t xml:space="preserve">Mediana de ingesta 1.33 mg/día</t>
  </si>
  <si>
    <t xml:space="preserve">Alzheimer incidente (619 casos), cognición, RM</t>
  </si>
  <si>
    <t xml:space="preserve">Asociación en U: riesgo más bajo con 1.57 mg/día; ingesta &gt;=3 mg/día HR=2.73 (IC95% 1.53-4.87) frente a referencia 1-2 mg/día; también mayor riesgo con ingestas bajas</t>
  </si>
  <si>
    <t xml:space="preserve">cita encontrada; cifra coincide (PMID 42102760; cifras del resultado presentes en el resumen)</t>
  </si>
  <si>
    <t xml:space="preserve">PMID 42102760; DOI 10.1016/j.jnha.2026.100868</t>
  </si>
  <si>
    <t xml:space="preserve">https://europepmc.org/article/MED/42102760</t>
  </si>
  <si>
    <t xml:space="preserve">Cobre (evitar exposición)</t>
  </si>
  <si>
    <t xml:space="preserve">Evitar cobre divalente ingerido (pastillas multimineral, agua de tuberías de cobre)</t>
  </si>
  <si>
    <t xml:space="preserve">Hipótesis Copper-2 de Brewer</t>
  </si>
  <si>
    <t xml:space="preserve">Brewer GJ 2019, Exp Biol Med (PMC6405820)</t>
  </si>
  <si>
    <t xml:space="preserve">revision</t>
  </si>
  <si>
    <t xml:space="preserve">Revisión de hipótesis de un solo autor</t>
  </si>
  <si>
    <t xml:space="preserve">Evitar multiminerales con cobre; instalar dispositivo de eliminación de cobre en el grifo de beber/cocinar; no hace falta quitar la tubería</t>
  </si>
  <si>
    <t xml:space="preserve">Mecanismo y evidencia animal/humana citada</t>
  </si>
  <si>
    <t xml:space="preserve">Autor afirma que el cobre-2 es 'muy tóxico para la cognición' y que 'la mayoría de AD puede prevenirse'; también dice 'The Copper-2 Hypothesis is still a hypothesis'</t>
  </si>
  <si>
    <t xml:space="preserve">mejora</t>
  </si>
  <si>
    <t xml:space="preserve">El autor declara no tener conflictos ni financiación (según PMC). Una búsqueda web asocia a Brewer con Adeona Pharmaceuticals (zinc); no verificado en este artículo</t>
  </si>
  <si>
    <t xml:space="preserve">cita encontrada; cifra no comprobable en el resumen (PMID 30727765; resultado cualitativo)</t>
  </si>
  <si>
    <t xml:space="preserve">PMID 30727765; DOI 10.1177/1535370219827907</t>
  </si>
  <si>
    <t xml:space="preserve">https://pmc.ncbi.nlm.nih.gov/articles/PMC6405820</t>
  </si>
  <si>
    <t xml:space="preserve">Zinc (suplemento)</t>
  </si>
  <si>
    <t xml:space="preserve">Zinc (acetato) 135 mg/día 12 semanas luego 65 mg/día</t>
  </si>
  <si>
    <t xml:space="preserve">Terapia de zinc para bajar cobre (como en Wilson)</t>
  </si>
  <si>
    <t xml:space="preserve">Squitti R, Benussi A, Fostinelli S et al. 2025, Biomolecules (ZINCAiD)</t>
  </si>
  <si>
    <t xml:space="preserve">Fase 2, doble ciego, placebo, 2:1</t>
  </si>
  <si>
    <t xml:space="preserve">48 aleatorizados (39 con datos completos de ceruloplasmina)</t>
  </si>
  <si>
    <t xml:space="preserve">Deterioro cognitivo leve por Alzheimer</t>
  </si>
  <si>
    <t xml:space="preserve">24 semanas</t>
  </si>
  <si>
    <t xml:space="preserve">135 mg/día elemental 12 semanas, luego 65 mg/día</t>
  </si>
  <si>
    <t xml:space="preserve">CC2 (primario), MMSE, CDR-SB</t>
  </si>
  <si>
    <t xml:space="preserve">Análisis primario sin diferencias; post hoc: 12 pacientes (31%) 'respondedores' (&gt;=20% menos ceruloplasmina) mantuvieron estabilidad; el grupo no respondedor+placebo declinó (CC2 Δ=-2.72; interacción p=0.030); CDR-SB p=0.017; MMSE tendencia p=0.09</t>
  </si>
  <si>
    <t xml:space="preserve">Síntomas gastrointestinales leves en 8; 4 abandonos; 2 eventos graves, ambos en placebo</t>
  </si>
  <si>
    <t xml:space="preserve">Alzheimer's Association (PTC-19-602325), Italian Ministry of Health. Conflictos no consta en el resumen</t>
  </si>
  <si>
    <t xml:space="preserve">cita encontrada; cifra coincide (PMID 41008575; cifras del resultado presentes en el resumen)</t>
  </si>
  <si>
    <t xml:space="preserve">PMID 41008575; DOI 10.3390/biom15091268; EudraCT 2019-000604-15</t>
  </si>
  <si>
    <t xml:space="preserve">https://europepmc.org/article/MED/41008575</t>
  </si>
  <si>
    <t xml:space="preserve">Zinc (biomarcadores)</t>
  </si>
  <si>
    <t xml:space="preserve">Déficit de zinc en sangre</t>
  </si>
  <si>
    <t xml:space="preserve">Zinc</t>
  </si>
  <si>
    <t xml:space="preserve">Brewer GJ, Kanzer SH, Zimmerman EA et al. 2010, Am J Alzheimers Dis Other Demen</t>
  </si>
  <si>
    <t xml:space="preserve">Casos y controles</t>
  </si>
  <si>
    <t xml:space="preserve">29 Alzheimer, 30 Parkinson, 29 controles</t>
  </si>
  <si>
    <t xml:space="preserve">Mayores de 50</t>
  </si>
  <si>
    <t xml:space="preserve">Sin suplementos 30 días antes</t>
  </si>
  <si>
    <t xml:space="preserve">Zinc en sangre y orina</t>
  </si>
  <si>
    <t xml:space="preserve">Zinc en sangre significativamente menor en Alzheimer y Parkinson que en controles; excreción urinaria sin diferencia; los autores lo atribuyen a insuficiencia nutricional</t>
  </si>
  <si>
    <t xml:space="preserve">cita encontrada; cifra no comprobable en el resumen (PMID 20841345; resultado cualitativo)</t>
  </si>
  <si>
    <t xml:space="preserve">PMID 20841345; DOI 10.1177/1533317510382283</t>
  </si>
  <si>
    <t xml:space="preserve">https://europepmc.org/article/MED/20841345</t>
  </si>
  <si>
    <t xml:space="preserve">Zinc sérico (metaanálisis)</t>
  </si>
  <si>
    <t xml:space="preserve">Zinc / cobre</t>
  </si>
  <si>
    <t xml:space="preserve">Ventriglia M, Brewer GJ, Simonelli I et al. 2015, J Alzheimers Dis</t>
  </si>
  <si>
    <t xml:space="preserve">Metaanálisis de 27 estudios</t>
  </si>
  <si>
    <t xml:space="preserve">777 Alzheimer y 1,728 controles (suero)</t>
  </si>
  <si>
    <t xml:space="preserve">Alzheimer</t>
  </si>
  <si>
    <t xml:space="preserve">1983-2014</t>
  </si>
  <si>
    <t xml:space="preserve">Zinc en suero, plasma y LCR</t>
  </si>
  <si>
    <t xml:space="preserve">Zinc sérico significativamente menor en Alzheimer; en los 6 estudios con edad pareada SMD=-0.55 (IC95% -1.18 a 0.09; p=0.094; I2=91%); heterogeneidad muy alta</t>
  </si>
  <si>
    <t xml:space="preserve">cita encontrada; cifra coincide (PMID 25697706; cifras del resultado presentes en el resumen)</t>
  </si>
  <si>
    <t xml:space="preserve">PMID 25697706; DOI 10.3233/jad-141296</t>
  </si>
  <si>
    <t xml:space="preserve">https://europepmc.org/article/MED/25697706</t>
  </si>
  <si>
    <t xml:space="preserve">Zinc cisteína de liberación sostenida (CopperProof-2)</t>
  </si>
  <si>
    <t xml:space="preserve">Zinc para bajar cobre</t>
  </si>
  <si>
    <t xml:space="preserve">Registro ClinicalTrials.gov NCT01099332 (Adeona Pharmaceuticals)</t>
  </si>
  <si>
    <t xml:space="preserve">registro de ensayo</t>
  </si>
  <si>
    <t xml:space="preserve">Fase 1/2, aleatorizado, doble ciego, placebo</t>
  </si>
  <si>
    <t xml:space="preserve">60 previstos</t>
  </si>
  <si>
    <t xml:space="preserve">Alzheimer leve, 55-90 años</t>
  </si>
  <si>
    <t xml:space="preserve">6 meses</t>
  </si>
  <si>
    <t xml:space="preserve">Zinc cisteína una vez al día</t>
  </si>
  <si>
    <t xml:space="preserve">Metales en suero por absorción atómica</t>
  </si>
  <si>
    <t xml:space="preserve">Estado UNKNOWN; sin resultados publicados en el registro</t>
  </si>
  <si>
    <t xml:space="preserve">Promotor: Adeona Pharmaceuticals (industria)</t>
  </si>
  <si>
    <t xml:space="preserve">cita encontrada; cifra coincide (NCT01099332; n=60, estado UNKNOWN, sin resultados)</t>
  </si>
  <si>
    <t xml:space="preserve">NCT01099332</t>
  </si>
  <si>
    <t xml:space="preserve">https://clinicaltrials.gov/study/NCT01099332</t>
  </si>
  <si>
    <t xml:space="preserve">Clioquinol</t>
  </si>
  <si>
    <t xml:space="preserve">Clioquinol (iodoclorhidroxiquina)</t>
  </si>
  <si>
    <t xml:space="preserve">Quelación / atenuación proteína-metal (cobre y zinc)</t>
  </si>
  <si>
    <t xml:space="preserve">Ritchie CW, Bush AI, Mackinnon A et al. 2003, Arch Neurol</t>
  </si>
  <si>
    <t xml:space="preserve">Fase 2 piloto</t>
  </si>
  <si>
    <t xml:space="preserve">36</t>
  </si>
  <si>
    <t xml:space="preserve">Alzheimer moderadamente grave</t>
  </si>
  <si>
    <t xml:space="preserve">Clioquinol oral</t>
  </si>
  <si>
    <t xml:space="preserve">ADAS-Cog, Abeta42 y zinc en plasma</t>
  </si>
  <si>
    <t xml:space="preserve">Efecto significativo en el grupo más grave (ADAS-Cog basal &gt;=25) por empeoramiento marcado con placebo frente a deterioro mínimo con clioquinol; Abeta42 plasmático bajó con clioquinol y subió con placebo; zinc plasmático subió; los autores citan las cautelas de muestra pequeña</t>
  </si>
  <si>
    <t xml:space="preserve">cita encontrada; cifra coincide (PMID 14676042; cifras del resultado presentes en el resumen)</t>
  </si>
  <si>
    <t xml:space="preserve">PMID 14676042; DOI 10.1001/archneur.60.12.1685</t>
  </si>
  <si>
    <t xml:space="preserve">https://europepmc.org/article/MED/14676042</t>
  </si>
  <si>
    <t xml:space="preserve">PBT2 (ionóforo Cu/Zn)</t>
  </si>
  <si>
    <t xml:space="preserve">PBT2 (ionóforo de Cu/Zn) 50 o 250 mg</t>
  </si>
  <si>
    <t xml:space="preserve">Atenuación proteína-metal</t>
  </si>
  <si>
    <t xml:space="preserve">Lannfelt L, Blennow K, Zetterberg H et al. 2008, Lancet Neurol</t>
  </si>
  <si>
    <t xml:space="preserve">Fase IIa, doble ciego, placebo</t>
  </si>
  <si>
    <t xml:space="preserve">78 (29 placebo, 20 PBT2 50 mg, 29 PBT2 250 mg)</t>
  </si>
  <si>
    <t xml:space="preserve">Alzheimer temprano con inhibidor de colinesterasa</t>
  </si>
  <si>
    <t xml:space="preserve">12 semanas</t>
  </si>
  <si>
    <t xml:space="preserve">50 mg o 250 mg PBT2 diarios</t>
  </si>
  <si>
    <t xml:space="preserve">Seguridad, biomarcadores, cognición</t>
  </si>
  <si>
    <t xml:space="preserve">250 mg: Abeta42 en LCR -56.0 pg/mL (IC95% -101.5 a -11.0; p=0.006); fluidez categórica +2.8 palabras (p=0.041) y Trail Making B -48.0 s (p=0.009); sin efecto en ADAS-Cog/MMSE ni en Zn/Cu séricos</t>
  </si>
  <si>
    <t xml:space="preserve">54% con al menos un evento adverso (50% PBT2 50 mg, 62% PBT2 250 mg, 48% placebo); sin eventos graves con PBT2</t>
  </si>
  <si>
    <t xml:space="preserve">Promotor del ensayo en registro: Prana Biotechnology (NCT00471211). Conflictos no consta en el resumen</t>
  </si>
  <si>
    <t xml:space="preserve">cita encontrada; cifra coincide (PMID 18672400; -56.0, -101.5, -11.0, p=0.006, 2.8, -48.0 y p=0.009 presentes; NCT00471211 registra 80 frente a 78 del artículo)</t>
  </si>
  <si>
    <t xml:space="preserve">PMID 18672400; DOI 10.1016/s1474-4422(08)70167-4; NCT00471211</t>
  </si>
  <si>
    <t xml:space="preserve">https://europepmc.org/article/MED/18672400</t>
  </si>
  <si>
    <t xml:space="preserve">PBT2 (reanálisis post hoc)</t>
  </si>
  <si>
    <t xml:space="preserve">Faux NG, Ritchie CW, Gunn A et al. 2010, J Alzheimers Dis</t>
  </si>
  <si>
    <t xml:space="preserve">Análisis post hoc de fase IIa</t>
  </si>
  <si>
    <t xml:space="preserve">78 (mismo ensayo)</t>
  </si>
  <si>
    <t xml:space="preserve">Alzheimer temprano</t>
  </si>
  <si>
    <t xml:space="preserve">PBT2 250 mg</t>
  </si>
  <si>
    <t xml:space="preserve">Proporción de mejoradores en NTB</t>
  </si>
  <si>
    <t xml:space="preserve">AUC compuesto NTB 0.76 (p=0.0007); AUC factor ejecutivo 0.93 (p=1.3e-9); ADAS-cog AUC 0.72 (p=0.056); sin correlación entre cambios de LCR y cognición</t>
  </si>
  <si>
    <t xml:space="preserve">NIA R35 AG071476. Conflictos no consta en el resumen</t>
  </si>
  <si>
    <t xml:space="preserve">cita encontrada; cifra coincide (PMID 20164561; cifras del resultado presentes en el resumen)</t>
  </si>
  <si>
    <t xml:space="preserve">PMID 20164561; DOI 10.3233/jad-2010-1390</t>
  </si>
  <si>
    <t xml:space="preserve">https://europepmc.org/article/MED/20164561</t>
  </si>
  <si>
    <t xml:space="preserve">Desferrioxamina</t>
  </si>
  <si>
    <t xml:space="preserve">Desferrioxamina intramuscular (quelante de hierro/aluminio)</t>
  </si>
  <si>
    <t xml:space="preserve">Quelación, hipótesis del aluminio</t>
  </si>
  <si>
    <t xml:space="preserve">Crapper McLachlan DR, Dalton AJ, Kruck TP et al. 1991, Lancet</t>
  </si>
  <si>
    <t xml:space="preserve">Simple ciego, 3 brazos (desferrioxamina, lecitina placebo oral, sin tratamiento)</t>
  </si>
  <si>
    <t xml:space="preserve">48</t>
  </si>
  <si>
    <t xml:space="preserve">Alzheimer probable</t>
  </si>
  <si>
    <t xml:space="preserve">24 meses</t>
  </si>
  <si>
    <t xml:space="preserve">125 mg IM dos veces al día, 5 días/semana</t>
  </si>
  <si>
    <t xml:space="preserve">Actividades de la vida diaria (videograbadas)</t>
  </si>
  <si>
    <t xml:space="preserve">Reducción significativa de la tasa de declive de habilidades diarias (medias p=0.03; varianzas p&lt;0.04); la tasa de declive sin tratar fue el doble</t>
  </si>
  <si>
    <t xml:space="preserve">Pérdida de apetito (n=4) y de peso (n=1)</t>
  </si>
  <si>
    <t xml:space="preserve">cita encontrada; cifra coincide (PMID 1674295; cifras del resultado presentes en el resumen)</t>
  </si>
  <si>
    <t xml:space="preserve">PMID 1674295; DOI 10.1016/0140-6736(91)92978-b</t>
  </si>
  <si>
    <t xml:space="preserve">https://europepmc.org/article/MED/1674295</t>
  </si>
  <si>
    <t xml:space="preserve">Deferiprona</t>
  </si>
  <si>
    <t xml:space="preserve">Deferiprona 15 mg/kg dos veces al día</t>
  </si>
  <si>
    <t xml:space="preserve">Quelación de hierro</t>
  </si>
  <si>
    <t xml:space="preserve">Ayton S, Barton D, Brew B et al. 2025, JAMA Neurol</t>
  </si>
  <si>
    <t xml:space="preserve">Fase 2 doble ciego, placebo, 2:1</t>
  </si>
  <si>
    <t xml:space="preserve">81 (53 deferiprona, 28 placebo; 54 completaron)</t>
  </si>
  <si>
    <t xml:space="preserve">DCL o Alzheimer temprano con amiloide confirmado</t>
  </si>
  <si>
    <t xml:space="preserve">15 mg/kg dos veces al día</t>
  </si>
  <si>
    <t xml:space="preserve">Compuesto NTB; hierro por QSM; volumen cerebral</t>
  </si>
  <si>
    <t xml:space="preserve">Declive cognitivo acelerado con deferiprona (β interacción -0.50; IC95% -0.80 a -0.20; z NTB -0.80 vs -0.30 placebo), por peor ejecución ejecutiva; QSM hipocampo -0.36 ppb vs +0.32 ppb placebo</t>
  </si>
  <si>
    <t xml:space="preserve">Retirada: 37.7% deferiprona vs 25.0% placebo</t>
  </si>
  <si>
    <t xml:space="preserve">Conflictos y financiación no consta en el resumen; registro NCT03234686</t>
  </si>
  <si>
    <t xml:space="preserve">cita encontrada; cifra coincide (PMID 39495531; -0.50, -0.80, -0.30, -0.36, +0.32, 37.7% y 25.0% presentes; NCT03234686 completado, n=81)</t>
  </si>
  <si>
    <t xml:space="preserve">PMID 39495531; DOI 10.1001/jamaneurol.2024.3733; NCT03234686</t>
  </si>
  <si>
    <t xml:space="preserve">https://europepmc.org/article/MED/39495531</t>
  </si>
  <si>
    <t xml:space="preserve">Agua rica en silicio</t>
  </si>
  <si>
    <t xml:space="preserve">Agua mineral rica en silicio para eliminar aluminio</t>
  </si>
  <si>
    <t xml:space="preserve">Hipótesis del aluminio (Exley)</t>
  </si>
  <si>
    <t xml:space="preserve">Davenward S, Bentham P, Wright J, Crome P, Job D, Polwart A, Exley C. 2013, J Alzheimers Dis</t>
  </si>
  <si>
    <t xml:space="preserve">serie de casos</t>
  </si>
  <si>
    <t xml:space="preserve">Intervención sin placebo, pacientes y cuidadores</t>
  </si>
  <si>
    <t xml:space="preserve">15 pacientes (según el texto 'al menos 3 de 15')</t>
  </si>
  <si>
    <t xml:space="preserve">Alzheimer y cuidadores como control</t>
  </si>
  <si>
    <t xml:space="preserve">Hasta 1 L/día de agua mineral rica en silicio</t>
  </si>
  <si>
    <t xml:space="preserve">Aluminio urinario, cognición</t>
  </si>
  <si>
    <t xml:space="preserve">Eliminó aluminio por orina sin afectar hierro ni cobre; la carga corporal de aluminio bajó y la cognición mejoró de forma clínicamente relevante en al menos 3 de 15 pacientes</t>
  </si>
  <si>
    <t xml:space="preserve">cita encontrada; cifra coincide (PMID 22976072; cifra del resultado presente en el resumen)</t>
  </si>
  <si>
    <t xml:space="preserve">PMID 22976072; DOI 10.3233/jad-2012-121231</t>
  </si>
  <si>
    <t xml:space="preserve">https://europepmc.org/article/MED/22976072</t>
  </si>
  <si>
    <t xml:space="preserve">Aluminio (agua potable)</t>
  </si>
  <si>
    <t xml:space="preserve">Aluminio y sílice en agua potable</t>
  </si>
  <si>
    <t xml:space="preserve">Hipótesis del aluminio</t>
  </si>
  <si>
    <t xml:space="preserve">Rondeau V, Jacqmin-Gadda H, Commenges D et al. 2009, Am J Epidemiol (PAQUID)</t>
  </si>
  <si>
    <t xml:space="preserve">Cohorte, 91 áreas de agua del sur de Francia</t>
  </si>
  <si>
    <t xml:space="preserve">1,925</t>
  </si>
  <si>
    <t xml:space="preserve">Mayores de 65 sin demencia</t>
  </si>
  <si>
    <t xml:space="preserve">15 años</t>
  </si>
  <si>
    <t xml:space="preserve">Aluminio &gt;=0.1 mg/día; sílice por 10 mg/día</t>
  </si>
  <si>
    <t xml:space="preserve">Declive cognitivo, demencia, Alzheimer</t>
  </si>
  <si>
    <t xml:space="preserve">Mayor declive con &gt;=0.1 mg/día de aluminio (P=0.005); aluminio alto asociado a más riesgo de demencia; +10 mg/día sílice RR=0.89 (P=0.036)</t>
  </si>
  <si>
    <t xml:space="preserve">cita encontrada; cifra coincide (PMID 19064650; cifras del resultado presentes en el resumen)</t>
  </si>
  <si>
    <t xml:space="preserve">PMID 19064650; DOI 10.1093/aje/kwn348</t>
  </si>
  <si>
    <t xml:space="preserve">https://europepmc.org/article/MED/19064650</t>
  </si>
  <si>
    <t xml:space="preserve">Amalgamas dentales (mercurio)</t>
  </si>
  <si>
    <t xml:space="preserve">Hipótesis del mercurio</t>
  </si>
  <si>
    <t xml:space="preserve">Saxe SR, Snowdon DA, Wekstein MW et al. 1995, J Am Dent Assoc (Nun Study)</t>
  </si>
  <si>
    <t xml:space="preserve">Transversal</t>
  </si>
  <si>
    <t xml:space="preserve">129 monjas de 75-102 años</t>
  </si>
  <si>
    <t xml:space="preserve">Mayores sanas y con deterioro</t>
  </si>
  <si>
    <t xml:space="preserve">Número y superficie de amalgamas oclusales</t>
  </si>
  <si>
    <t xml:space="preserve">8 pruebas cognitivas</t>
  </si>
  <si>
    <t xml:space="preserve">Las amalgamas existentes no se asociaron a peor rendimiento en 8 pruebas</t>
  </si>
  <si>
    <t xml:space="preserve">NIH/NIA (R01AG10664, P50AG05144, R01AG09862)</t>
  </si>
  <si>
    <t xml:space="preserve">cita encontrada; cifra no comprobable en el resumen (PMID 7499646; el resumen no contiene cifras)</t>
  </si>
  <si>
    <t xml:space="preserve">PMID 7499646; DOI 10.14219/jada.archive.1995.0078</t>
  </si>
  <si>
    <t xml:space="preserve">https://europepmc.org/article/MED/7499646</t>
  </si>
  <si>
    <t xml:space="preserve">Litio (dosis subterapéuticas)</t>
  </si>
  <si>
    <t xml:space="preserve">Litio a dosis subterapéuticas (0.25-0.5 mmol/L)</t>
  </si>
  <si>
    <t xml:space="preserve">Litio en microdosis</t>
  </si>
  <si>
    <t xml:space="preserve">Forlenza OV, Diniz BS, Radanovic M et al. 2011, Br J Psychiatry</t>
  </si>
  <si>
    <t xml:space="preserve">Doble ciego, placebo</t>
  </si>
  <si>
    <t xml:space="preserve">45 (24 litio, 21 placebo)</t>
  </si>
  <si>
    <t xml:space="preserve">DCL amnésico</t>
  </si>
  <si>
    <t xml:space="preserve">Carbonato de litio, litemia 0.25-0.5 mmol/L</t>
  </si>
  <si>
    <t xml:space="preserve">ADAS-Cog, atención, LCR (Abeta42, tau, fosfo-tau)</t>
  </si>
  <si>
    <t xml:space="preserve">Descenso significativo de fosfo-tau en LCR (P=0.03); mejor ADAS-Cog y atención</t>
  </si>
  <si>
    <t xml:space="preserve">Buena tolerabilidad; adherencia 91%</t>
  </si>
  <si>
    <t xml:space="preserve">Conflictos y financiación no consta en el resumen; registro NCT01055392 (Univ. Sao Paulo)</t>
  </si>
  <si>
    <t xml:space="preserve">cita encontrada; cifra coincide (PMID 21525519; P=0.03 y 91% presentes)</t>
  </si>
  <si>
    <t xml:space="preserve">PMID 21525519; DOI 10.1192/bjp.bp.110.080044; NCT01055392</t>
  </si>
  <si>
    <t xml:space="preserve">https://europepmc.org/article/MED/21525519</t>
  </si>
  <si>
    <t xml:space="preserve">Litio a dosis subterapéuticas, 2 años + seguimiento</t>
  </si>
  <si>
    <t xml:space="preserve">Forlenza OV, Radanovic M, Talib LL, Gattaz WF. 2019, Br J Psychiatry</t>
  </si>
  <si>
    <t xml:space="preserve">Doble ciego 2 años + 24 meses simple ciego</t>
  </si>
  <si>
    <t xml:space="preserve">61</t>
  </si>
  <si>
    <t xml:space="preserve">2 años doble ciego + 24 meses</t>
  </si>
  <si>
    <t xml:space="preserve">Carbonato de litio, 0.25-0.5 mEq/L</t>
  </si>
  <si>
    <t xml:space="preserve">ADAS-Cog, CDR-SB, LCR, conversión a demencia</t>
  </si>
  <si>
    <t xml:space="preserve">Placebo declinó; litio estable a 2 años; mejor memoria y atención a 24 meses; aumento significativo de Abeta1-42 en LCR a 36 meses</t>
  </si>
  <si>
    <t xml:space="preserve">Declaración de interés: ninguna</t>
  </si>
  <si>
    <t xml:space="preserve">cita encontrada; cifra no comprobable en el resumen (PMID 30947755; resultado cualitativo; las cifras de la fila no aparecen en el resumen)</t>
  </si>
  <si>
    <t xml:space="preserve">PMID 30947755; DOI 10.1192/bjp.2019.76; NCT01055392</t>
  </si>
  <si>
    <t xml:space="preserve">https://europepmc.org/article/MED/30947755</t>
  </si>
  <si>
    <t xml:space="preserve">Litio (microdosis)</t>
  </si>
  <si>
    <t xml:space="preserve">Litio en microdosis (300 microgramos/día)</t>
  </si>
  <si>
    <t xml:space="preserve">Nunes MA, Viel TA, Buck HS. 2013, Curr Alzheimer Res</t>
  </si>
  <si>
    <t xml:space="preserve">ensayo no aleatorizado</t>
  </si>
  <si>
    <t xml:space="preserve">Tratados vs control, 15 meses</t>
  </si>
  <si>
    <t xml:space="preserve">15 meses</t>
  </si>
  <si>
    <t xml:space="preserve">300 microgramos una vez al día</t>
  </si>
  <si>
    <t xml:space="preserve">MMSE</t>
  </si>
  <si>
    <t xml:space="preserve">El grupo tratado no mostró caída en MMSE, el control sí, con diferencias significativas desde el mes 3 y crecientes</t>
  </si>
  <si>
    <t xml:space="preserve">cita encontrada; cifra no comprobable en el resumen (PMID 22746245; resultado cualitativo)</t>
  </si>
  <si>
    <t xml:space="preserve">PMID 22746245; DOI 10.2174/1567205011310010014</t>
  </si>
  <si>
    <t xml:space="preserve">https://europepmc.org/article/MED/22746245</t>
  </si>
  <si>
    <t xml:space="preserve">Litio en microdosis en agua de bebida</t>
  </si>
  <si>
    <t xml:space="preserve">Nunes MA, Schöwe NM, Monteiro-Silva KC et al. 2015, PLoS One</t>
  </si>
  <si>
    <t xml:space="preserve">Ratones transgénicos (PDGFB-APPSwInd)</t>
  </si>
  <si>
    <t xml:space="preserve">Ratones</t>
  </si>
  <si>
    <t xml:space="preserve">16 o 8 meses</t>
  </si>
  <si>
    <t xml:space="preserve">Carbonato de litio 0.25 mg/kg/día en agua</t>
  </si>
  <si>
    <t xml:space="preserve">Memoria, placas, neuronas, BDNF</t>
  </si>
  <si>
    <t xml:space="preserve">Los tratados no perdieron memoria; los iniciados a los 2 meses tuvieron menos placas, sin pérdida neuronal y más BDNF</t>
  </si>
  <si>
    <t xml:space="preserve">Sección de financiación existe en el artículo; contenido no consta en el resumen</t>
  </si>
  <si>
    <t xml:space="preserve">cita encontrada; cifra no comprobable en el resumen (PMID 26605788; resultado cualitativo)</t>
  </si>
  <si>
    <t xml:space="preserve">PMID 26605788; DOI 10.1371/journal.pone.0142267</t>
  </si>
  <si>
    <t xml:space="preserve">https://europepmc.org/article/MED/26605788</t>
  </si>
  <si>
    <t xml:space="preserve">NP03 microdosis de litio</t>
  </si>
  <si>
    <t xml:space="preserve">Litio nanoformulado</t>
  </si>
  <si>
    <t xml:space="preserve">Wilson EN, Do Carmo S, Welikovitch LA et al. 2020, J Alzheimers Dis</t>
  </si>
  <si>
    <t xml:space="preserve">Ratas transgénicas McGill-R-Thy1-APP, 12 semanas</t>
  </si>
  <si>
    <t xml:space="preserve">Ratas</t>
  </si>
  <si>
    <t xml:space="preserve">40 microgramos Li/kg</t>
  </si>
  <si>
    <t xml:space="preserve">Reconocimiento de objetos, Abeta42, placas, inflamación</t>
  </si>
  <si>
    <t xml:space="preserve">Rescató déficit de reconocimiento, redujo pérdida colinérgica, Abeta42 cortical soluble e insoluble y número de placas</t>
  </si>
  <si>
    <t xml:space="preserve">CIHR. Conflictos no consta en el resumen</t>
  </si>
  <si>
    <t xml:space="preserve">cita encontrada; cifra coincide (PMID 31868669; cifra del resultado presente en el resumen)</t>
  </si>
  <si>
    <t xml:space="preserve">PMID 31868669; DOI 10.3233/jad-190862</t>
  </si>
  <si>
    <t xml:space="preserve">https://europepmc.org/article/MED/31868669</t>
  </si>
  <si>
    <t xml:space="preserve">Litio en microdosis en ratón de envejecimiento acelerado</t>
  </si>
  <si>
    <t xml:space="preserve">Pereira AAR, Pinto AM, Malerba HN et al. 2024, PLoS One</t>
  </si>
  <si>
    <t xml:space="preserve">Hembras SAMP-8 vs SAMR-1</t>
  </si>
  <si>
    <t xml:space="preserve">crónico</t>
  </si>
  <si>
    <t xml:space="preserve">Microdosis de litio</t>
  </si>
  <si>
    <t xml:space="preserve">Memoria espacial, ansiedad, placas, GSK-3beta</t>
  </si>
  <si>
    <t xml:space="preserve">Mantuvo memoria, redujo ansiedad, menos placas, aumentó GABAA y receptores alfa7, inhibió GSK-3beta</t>
  </si>
  <si>
    <t xml:space="preserve">cita encontrada; cifra no comprobable en el resumen (PMID 38574297; resultado cualitativo)</t>
  </si>
  <si>
    <t xml:space="preserve">PMID 38574297; DOI 10.1371/journal.pone.0299534</t>
  </si>
  <si>
    <t xml:space="preserve">https://europepmc.org/article/MED/38574297</t>
  </si>
  <si>
    <t xml:space="preserve">Litio (orotato)</t>
  </si>
  <si>
    <t xml:space="preserve">Litio y orotato de litio (déficit de litio endógeno)</t>
  </si>
  <si>
    <t xml:space="preserve">Litio como micronutriente</t>
  </si>
  <si>
    <t xml:space="preserve">Aron L, Ngian ZK, Qiu C et al. 2025, Nature</t>
  </si>
  <si>
    <t xml:space="preserve">Cerebro humano post mortem + ratones con dieta sin litio y reposición</t>
  </si>
  <si>
    <t xml:space="preserve">Humanos con DCL y Alzheimer post mortem; ratones</t>
  </si>
  <si>
    <t xml:space="preserve">Reposición con orotato de litio</t>
  </si>
  <si>
    <t xml:space="preserve">Litio cerebral, amiloide, tau, cognición</t>
  </si>
  <si>
    <t xml:space="preserve">El litio fue el único metal reducido en el cerebro con DCL; reducir litio cortical ~50% aumentó amiloide y fosfo-tau y aceleró el declive; orotato de litio previno cambios patológicos y pérdida de memoria en ratones</t>
  </si>
  <si>
    <t xml:space="preserve">NIH (R01 AG046174, P30 AG072975, U01 AG061356, DP2 AG072437, R01 AG069042); sección 'Competing interests' existe en el artículo</t>
  </si>
  <si>
    <t xml:space="preserve">cita encontrada; cifra coincide (PMID 40770094; cifra del resultado presente en el resumen)</t>
  </si>
  <si>
    <t xml:space="preserve">PMID 40770094; DOI 10.1038/s41586-025-09335-x</t>
  </si>
  <si>
    <t xml:space="preserve">https://europepmc.org/article/MED/40770094</t>
  </si>
  <si>
    <t xml:space="preserve">Litio (agua de bebida)</t>
  </si>
  <si>
    <t xml:space="preserve">Litio en agua de bebida (Dinamarca)</t>
  </si>
  <si>
    <t xml:space="preserve">Litio en agua</t>
  </si>
  <si>
    <t xml:space="preserve">Kessing LV, Gerds TA, Knudsen NN et al. 2017, JAMA Psychiatry</t>
  </si>
  <si>
    <t xml:space="preserve">Casos y controles anidado nacional</t>
  </si>
  <si>
    <t xml:space="preserve">73,731 con demencia y 733,653 controles</t>
  </si>
  <si>
    <t xml:space="preserve">Adultos 50-90 años</t>
  </si>
  <si>
    <t xml:space="preserve">1970-2013</t>
  </si>
  <si>
    <t xml:space="preserve">Litio medio en agua desde 1986</t>
  </si>
  <si>
    <t xml:space="preserve">Incidencia de demencia</t>
  </si>
  <si>
    <t xml:space="preserve">Relación no lineal vs 2.0-5.0 microg/L: &gt;15 microg/L IRR 0.83 (0.81-0.85); 10.1-15.0 IRR 0.98 (0.96-1.01); 5.1-10.0 IRR 1.22 (1.19-1.25); patrón similar en Alzheimer; confusores no descartables</t>
  </si>
  <si>
    <t xml:space="preserve">cita encontrada; cifra coincide (PMID 28832877; cifras del resultado presentes en el resumen)</t>
  </si>
  <si>
    <t xml:space="preserve">PMID 28832877; DOI 10.1001/jamapsychiatry.2017.2362</t>
  </si>
  <si>
    <t xml:space="preserve">https://europepmc.org/article/MED/28832877</t>
  </si>
  <si>
    <t xml:space="preserve">Litio en agua (Escocia)</t>
  </si>
  <si>
    <t xml:space="preserve">Duthie AC, Hannah J, Batty GD et al. 2023, Int J Geriatr Psychiatry</t>
  </si>
  <si>
    <t xml:space="preserve">Cohorte (Scottish Mental Survey 1932)</t>
  </si>
  <si>
    <t xml:space="preserve">37,597 (3,605 con demencia)</t>
  </si>
  <si>
    <t xml:space="preserve">Adultos mayores</t>
  </si>
  <si>
    <t xml:space="preserve">hasta 2012</t>
  </si>
  <si>
    <t xml:space="preserve">Litio medio 1.45 microg/L (0.5-18.2)</t>
  </si>
  <si>
    <t xml:space="preserve">Demencia</t>
  </si>
  <si>
    <t xml:space="preserve">Mujeres: HR 1.17 (IC95% 1.04-1.32) en 2º cuartil; hombres sin relación; los autores concluyen que no apoyan asociación a niveles tan bajos</t>
  </si>
  <si>
    <t xml:space="preserve">Medical Research Council MR/K026992/1</t>
  </si>
  <si>
    <t xml:space="preserve">cita encontrada; cifra coincide (PMID 36747488; cifras del resultado presentes en el resumen)</t>
  </si>
  <si>
    <t xml:space="preserve">PMID 36747488; DOI 10.1002/gps.5890</t>
  </si>
  <si>
    <t xml:space="preserve">https://europepmc.org/article/MED/36747488</t>
  </si>
  <si>
    <t xml:space="preserve">Litio en agua (Texas)</t>
  </si>
  <si>
    <t xml:space="preserve">Fajardo VA, Fajardo VA, LeBlanc PJ, MacPherson REK. 2018, J Alzheimers Dis</t>
  </si>
  <si>
    <t xml:space="preserve">Ecológico, 234 condados</t>
  </si>
  <si>
    <t xml:space="preserve">6,180 muestras de agua</t>
  </si>
  <si>
    <t xml:space="preserve">Población de Texas</t>
  </si>
  <si>
    <t xml:space="preserve">2000-2015</t>
  </si>
  <si>
    <t xml:space="preserve">Litio medio por condado</t>
  </si>
  <si>
    <t xml:space="preserve">Cambio en mortalidad por Alzheimer</t>
  </si>
  <si>
    <t xml:space="preserve">Mortalidad por Alzheimer +27% (p&lt;0.001); correlación negativa con litio (r=-0.20, p=0.01); se perdió significación al ajustar por inactividad, obesidad y diabetes tipo 2</t>
  </si>
  <si>
    <t xml:space="preserve">cita encontrada; cifra coincide (PMID 29103043; cifras del resultado presentes en el resumen)</t>
  </si>
  <si>
    <t xml:space="preserve">PMID 29103043; DOI 10.3233/jad-170744</t>
  </si>
  <si>
    <t xml:space="preserve">https://europepmc.org/article/MED/29103043</t>
  </si>
  <si>
    <t xml:space="preserve">Litio en agua (EE. UU.)</t>
  </si>
  <si>
    <t xml:space="preserve">Hwang SH, Jang H, Park SK, Shin HM. 2026, Environ Pollut</t>
  </si>
  <si>
    <t xml:space="preserve">Ecológico por condados con Medicare</t>
  </si>
  <si>
    <t xml:space="preserve">~62 millones de beneficiarios</t>
  </si>
  <si>
    <t xml:space="preserve">EE. UU.</t>
  </si>
  <si>
    <t xml:space="preserve">Litio medio en agua (UCMR 5)</t>
  </si>
  <si>
    <t xml:space="preserve">Prevalencia, incidencia y mortalidad de demencia</t>
  </si>
  <si>
    <t xml:space="preserve">Alto litio: prevalencia PR=0.965 (0.950-0.981), incidencia IRR=0.958 (0.939-0.978); mortalidad en demencia MR=1.017 (1.007-1.027), atenuada al estratificar</t>
  </si>
  <si>
    <t xml:space="preserve">cita encontrada; cifra coincide (PMID 41643982; cifras del resultado presentes en el resumen)</t>
  </si>
  <si>
    <t xml:space="preserve">PMID 41643982; DOI 10.1016/j.envpol.2026.127766</t>
  </si>
  <si>
    <t xml:space="preserve">https://europepmc.org/article/MED/41643982</t>
  </si>
  <si>
    <t xml:space="preserve">Litio (dosis terapéuticas)</t>
  </si>
  <si>
    <t xml:space="preserve">Carbonato de litio a niveles 0.6-0.8 mEq/L</t>
  </si>
  <si>
    <t xml:space="preserve">Litio</t>
  </si>
  <si>
    <t xml:space="preserve">Gildengers A et al., registro NCT03185208 (resultados en ClinicalTrials.gov)</t>
  </si>
  <si>
    <t xml:space="preserve">Fase 4, placebo, 2 años</t>
  </si>
  <si>
    <t xml:space="preserve">83</t>
  </si>
  <si>
    <t xml:space="preserve">DCL, &gt;=60 años</t>
  </si>
  <si>
    <t xml:space="preserve">2 años</t>
  </si>
  <si>
    <t xml:space="preserve">Inicio 150 mg/día hasta 0.6-0.8 mEq/L</t>
  </si>
  <si>
    <t xml:space="preserve">CVLT-II, BVMT-R, PACC</t>
  </si>
  <si>
    <t xml:space="preserve">Interacción tratamiento x tiempo: CVLT-II 0.69 (p=0.048); BVMT-R -0.088 (p=0.78); PACC 0.087 (p=0.80)</t>
  </si>
  <si>
    <t xml:space="preserve">Eventos graves: 12/41 litio, 9/39 placebo</t>
  </si>
  <si>
    <t xml:space="preserve">Promotor: investigador (Ariel Gildengers); no consta industria</t>
  </si>
  <si>
    <t xml:space="preserve">cita encontrada; cifra coincide (NCT03185208; n=83, completado 2024-08-06; 0,69 y -0,088 presentes en resultados del registro)</t>
  </si>
  <si>
    <t xml:space="preserve">NCT03185208</t>
  </si>
  <si>
    <t xml:space="preserve">https://clinicaltrials.gov/study/NCT03185208</t>
  </si>
  <si>
    <t xml:space="preserve">Litio 150-600 mg/día en agitación</t>
  </si>
  <si>
    <t xml:space="preserve">Devanand DP et al., registro NCT02129348</t>
  </si>
  <si>
    <t xml:space="preserve">Fase 2, placebo</t>
  </si>
  <si>
    <t xml:space="preserve">77</t>
  </si>
  <si>
    <t xml:space="preserve">Alzheimer con psicosis y agitación</t>
  </si>
  <si>
    <t xml:space="preserve">Litio 150 a 600 mg/día</t>
  </si>
  <si>
    <t xml:space="preserve">NPI agitación</t>
  </si>
  <si>
    <t xml:space="preserve">Cambio NPI: 3.2 vs 2.5 (p=0.53); respondedores 12 vs 7 (p=0.26); CGI 12 vs 8 (p=0.25)</t>
  </si>
  <si>
    <t xml:space="preserve">Eventos graves: 11/38 y 11/39</t>
  </si>
  <si>
    <t xml:space="preserve">Promotor: NYS Psychiatric Institute; NIH R01 AG047146</t>
  </si>
  <si>
    <t xml:space="preserve">cita encontrada; cifra coincide (NCT02129348; n=77; 3,2 y 0,26 presentes en resultados del registro)</t>
  </si>
  <si>
    <t xml:space="preserve">NCT02129348</t>
  </si>
  <si>
    <t xml:space="preserve">https://clinicaltrials.gov/study/NCT02129348</t>
  </si>
  <si>
    <t xml:space="preserve">NanoLithium NP03 (1.8 mg/día, gingivoyugal)</t>
  </si>
  <si>
    <t xml:space="preserve">Registro NCT05423522 (Medesis Pharma)</t>
  </si>
  <si>
    <t xml:space="preserve">Fase 2, aleatorizado, placebo y fase abierta</t>
  </si>
  <si>
    <t xml:space="preserve">72</t>
  </si>
  <si>
    <t xml:space="preserve">Alzheimer leve a grave</t>
  </si>
  <si>
    <t xml:space="preserve">hasta oct 2024</t>
  </si>
  <si>
    <t xml:space="preserve">3 mL/día (1.8 mg) en surco gingivoyugal</t>
  </si>
  <si>
    <t xml:space="preserve">NPI-12</t>
  </si>
  <si>
    <t xml:space="preserve">Completado 2024-10-29; sin resultados publicados en el registro</t>
  </si>
  <si>
    <t xml:space="preserve">Promotor: Medesis Pharma (industria)</t>
  </si>
  <si>
    <t xml:space="preserve">cita encontrada; cifra coincide (NCT05423522; n=72, completado 2024-10-29, sin resultados)</t>
  </si>
  <si>
    <t xml:space="preserve">NCT05423522</t>
  </si>
  <si>
    <t xml:space="preserve">https://clinicaltrials.gov/study/NCT05423522</t>
  </si>
  <si>
    <t xml:space="preserve">Litio (metaanálisis de RCT)</t>
  </si>
  <si>
    <t xml:space="preserve">Pereira da Silva AM et al. 2026, Am J Geriatr Psychiatry</t>
  </si>
  <si>
    <t xml:space="preserve">Revisión sistemática y metaanálisis</t>
  </si>
  <si>
    <t xml:space="preserve">394 (6 RCT)</t>
  </si>
  <si>
    <t xml:space="preserve">Alzheimer y DCL amnésico</t>
  </si>
  <si>
    <t xml:space="preserve">Litio vs placebo</t>
  </si>
  <si>
    <t xml:space="preserve">Cognición, función, NPI, LCR</t>
  </si>
  <si>
    <t xml:space="preserve">MMSE MD -1.61 (-4.11 a 0.88); ADAS-Cog MD -1.82 (-3.05 a -0.60); sin beneficios consistentes en función, NPI ni LCR</t>
  </si>
  <si>
    <t xml:space="preserve">Sin aumento de eventos graves</t>
  </si>
  <si>
    <t xml:space="preserve">cita encontrada; cifra coincide (PMID 41177743; cifras del resultado presentes en el resumen)</t>
  </si>
  <si>
    <t xml:space="preserve">PMID 41177743; DOI 10.1016/j.jagp.2025.10.001</t>
  </si>
  <si>
    <t xml:space="preserve">https://europepmc.org/article/MED/41177743</t>
  </si>
  <si>
    <t xml:space="preserve">Selenio (nuez de Brasil)</t>
  </si>
  <si>
    <t xml:space="preserve">Nueces de Brasil (1/día) como selenio</t>
  </si>
  <si>
    <t xml:space="preserve">Selenio dietético</t>
  </si>
  <si>
    <t xml:space="preserve">Cardoso BR, Apolinário D, Bandeira VS et al. 2016, Eur J Nutr</t>
  </si>
  <si>
    <t xml:space="preserve">Piloto</t>
  </si>
  <si>
    <t xml:space="preserve">31 (20 completaron)</t>
  </si>
  <si>
    <t xml:space="preserve">DCL, ~77.7 años</t>
  </si>
  <si>
    <t xml:space="preserve">1 nuez/día (~288.75 microg Se/día)</t>
  </si>
  <si>
    <t xml:space="preserve">Selenio, GPx, cognición CERAD</t>
  </si>
  <si>
    <t xml:space="preserve">GPx eritrocitaria (p=0.006); mejor fluidez verbal (p=0.007) y praxis constructiva (p=0.031)</t>
  </si>
  <si>
    <t xml:space="preserve">no consta en el resumen; registro NCT02121457</t>
  </si>
  <si>
    <t xml:space="preserve">cita encontrada; cifra coincide (PMID 25567069; p=0.006, 0.007, 0.031 y 288 µg presentes; n=31 y estado completado en NCT02121457)</t>
  </si>
  <si>
    <t xml:space="preserve">PMID 25567069; NCT02121457</t>
  </si>
  <si>
    <t xml:space="preserve">https://europepmc.org/article/MED/25567069</t>
  </si>
  <si>
    <t xml:space="preserve">Selenio (suplemento)</t>
  </si>
  <si>
    <t xml:space="preserve">Vitamina E y selenio en prevención</t>
  </si>
  <si>
    <t xml:space="preserve">Selenio</t>
  </si>
  <si>
    <t xml:space="preserve">Kryscio RJ et al. 2017, JAMA Neurol (PREADViSE)</t>
  </si>
  <si>
    <t xml:space="preserve">Ensayo luego cohorte</t>
  </si>
  <si>
    <t xml:space="preserve">7,540</t>
  </si>
  <si>
    <t xml:space="preserve">Hombres &gt;=60 sanos</t>
  </si>
  <si>
    <t xml:space="preserve">2002-2015</t>
  </si>
  <si>
    <t xml:space="preserve">Selenio, vit E, ambos o placebo</t>
  </si>
  <si>
    <t xml:space="preserve">325/7,338 (4.4%) sin diferencia; HR selenio 0.83 (0.60-1.13), vit E 0.88 (0.64-1.20), combinación 1.00 (0.75-1.35)</t>
  </si>
  <si>
    <t xml:space="preserve">NIA/NCI (R01 AG038651, UM1 CA182883 y otros)</t>
  </si>
  <si>
    <t xml:space="preserve">cita encontrada; cifra no comprobable en el resumen (PMID 28319243; 325, 4.4%, HR 0.83, 0.88 y 1.00 presentes; 7,338 no aparece en el resumen)</t>
  </si>
  <si>
    <t xml:space="preserve">PMID 28319243; NCT00040378</t>
  </si>
  <si>
    <t xml:space="preserve">https://europepmc.org/article/MED/28319243</t>
  </si>
  <si>
    <t xml:space="preserve">Selenio (biomarcadores)</t>
  </si>
  <si>
    <t xml:space="preserve">Selenato en LCR</t>
  </si>
  <si>
    <t xml:space="preserve">Vinceti M et al. 2017, Alzheimers Res Ther</t>
  </si>
  <si>
    <t xml:space="preserve">Cohorte clínica</t>
  </si>
  <si>
    <t xml:space="preserve">56 con DCL</t>
  </si>
  <si>
    <t xml:space="preserve">DCL</t>
  </si>
  <si>
    <t xml:space="preserve">mediana 42 meses</t>
  </si>
  <si>
    <t xml:space="preserve">Especies de Se en LCR</t>
  </si>
  <si>
    <t xml:space="preserve">Conversión a Alzheimer</t>
  </si>
  <si>
    <t xml:space="preserve">Selenato por encima de la mediana HR 3.1 (1.0-9.5)</t>
  </si>
  <si>
    <t xml:space="preserve">Fondazione di Vignola, Azienda USL Reggio Emilia</t>
  </si>
  <si>
    <t xml:space="preserve">cita encontrada; cifra coincide (PMID 29258624; cifras del resultado presentes en el resumen)</t>
  </si>
  <si>
    <t xml:space="preserve">PMID 29258624</t>
  </si>
  <si>
    <t xml:space="preserve">https://europepmc.org/article/MED/29258624</t>
  </si>
  <si>
    <t xml:space="preserve">Levaduras de selenio (Sel-Plex)</t>
  </si>
  <si>
    <t xml:space="preserve">Selenio / patente</t>
  </si>
  <si>
    <t xml:space="preserve">Lyons P, Power R. Patente EP1779857, 2007</t>
  </si>
  <si>
    <t xml:space="preserve">patente</t>
  </si>
  <si>
    <t xml:space="preserve">Solicitud de patente</t>
  </si>
  <si>
    <t xml:space="preserve">Selenio orgánico en levadura</t>
  </si>
  <si>
    <t xml:space="preserve">Expresión génica</t>
  </si>
  <si>
    <t xml:space="preserve">Reivindica que Sel-Plex altera la expresión de genes de la enfermedad mientras la selenometionina no</t>
  </si>
  <si>
    <t xml:space="preserve">Titular citado: Pearse Lyons (Alltech); NCT01731093 de Alltech</t>
  </si>
  <si>
    <t xml:space="preserve">cita encontrada; cifra no comprobable en el resumen (EPMC PAT EP1779857; título y titulares Lyons y Power coinciden; resultado de patente sin cifras)</t>
  </si>
  <si>
    <t xml:space="preserve">EP1779857</t>
  </si>
  <si>
    <t xml:space="preserve">https://europepmc.org/article/PAT/EP1779857</t>
  </si>
  <si>
    <t xml:space="preserve">Magnesio L-treonato</t>
  </si>
  <si>
    <t xml:space="preserve">Magnesio L-treonato (MgT)</t>
  </si>
  <si>
    <t xml:space="preserve">Elevar magnesio cerebral</t>
  </si>
  <si>
    <t xml:space="preserve">Slutsky I, Abumaria N, Wu LJ et al. 2010, Neuron</t>
  </si>
  <si>
    <t xml:space="preserve">Ratas jóvenes y viejas</t>
  </si>
  <si>
    <t xml:space="preserve">MgT oral</t>
  </si>
  <si>
    <t xml:space="preserve">Aprendizaje, memoria, sinapsis</t>
  </si>
  <si>
    <t xml:space="preserve">Mejoró aprendizaje, memoria de trabajo y corto/largo plazo; aumentó densidad sináptica</t>
  </si>
  <si>
    <t xml:space="preserve">NIH NS37342</t>
  </si>
  <si>
    <t xml:space="preserve">cita encontrada; cifra no comprobable en el resumen (PMID 20152124; resultado cualitativo, título coherente)</t>
  </si>
  <si>
    <t xml:space="preserve">PMID 20152124</t>
  </si>
  <si>
    <t xml:space="preserve">https://europepmc.org/article/MED/20152124</t>
  </si>
  <si>
    <t xml:space="preserve">Magnesio L-treonato en ratón Alzheimer</t>
  </si>
  <si>
    <t xml:space="preserve">Li W, Yu J, Liu Y et al. 2014, Mol Brain</t>
  </si>
  <si>
    <t xml:space="preserve">Ratones APPswe/PS1dE9</t>
  </si>
  <si>
    <t xml:space="preserve">MgT, incluso en fase terminal</t>
  </si>
  <si>
    <t xml:space="preserve">Placas, sinapsis, memoria</t>
  </si>
  <si>
    <t xml:space="preserve">Redujo placas, previno pérdida de sinapsis y deterioro de memoria</t>
  </si>
  <si>
    <t xml:space="preserve">cita encontrada; cifra no comprobable en el resumen (PMID 25213836; resultado cualitativo, título coherente)</t>
  </si>
  <si>
    <t xml:space="preserve">PMID 25213836</t>
  </si>
  <si>
    <t xml:space="preserve">https://europepmc.org/article/MED/25213836</t>
  </si>
  <si>
    <t xml:space="preserve">Magnesio L-treonato (Magtein) 1,800 mg/día</t>
  </si>
  <si>
    <t xml:space="preserve">Magtein</t>
  </si>
  <si>
    <t xml:space="preserve">Stanford University, registro NCT02210286</t>
  </si>
  <si>
    <t xml:space="preserve">Un solo brazo, 60 días</t>
  </si>
  <si>
    <t xml:space="preserve">17</t>
  </si>
  <si>
    <t xml:space="preserve">Demencia leve a moderada</t>
  </si>
  <si>
    <t xml:space="preserve">60 días</t>
  </si>
  <si>
    <t xml:space="preserve">1,800 mg/día</t>
  </si>
  <si>
    <t xml:space="preserve">Función cognitiva</t>
  </si>
  <si>
    <t xml:space="preserve">Cambios desde la basal: -0.58 (escala); errores Color-Word +0.8; Trail 4 +23.5 s; 1 evento grave de 17</t>
  </si>
  <si>
    <t xml:space="preserve">1 evento grave en 17</t>
  </si>
  <si>
    <t xml:space="preserve">Promotor: Stanford</t>
  </si>
  <si>
    <t xml:space="preserve">cita encontrada; cifra coincide (NCT02210286; n=17, completado 2016-07; -0,58 y 23,5 presentes en resultados del registro)</t>
  </si>
  <si>
    <t xml:space="preserve">NCT02210286</t>
  </si>
  <si>
    <t xml:space="preserve">https://clinicaltrials.gov/study/NCT02210286</t>
  </si>
  <si>
    <t xml:space="preserve">MMFS-205-SR (magnesio L-treonato) 2-4 g/día</t>
  </si>
  <si>
    <t xml:space="preserve">Neurocentria</t>
  </si>
  <si>
    <t xml:space="preserve">Registro NCT03531684</t>
  </si>
  <si>
    <t xml:space="preserve">10</t>
  </si>
  <si>
    <t xml:space="preserve">Alzheimer temprano 55-85</t>
  </si>
  <si>
    <t xml:space="preserve">2,000-4,000 mg/día</t>
  </si>
  <si>
    <t xml:space="preserve">NTB y CDR-SB</t>
  </si>
  <si>
    <t xml:space="preserve">Completado 2020-04-22; sin resultados en el registro</t>
  </si>
  <si>
    <t xml:space="preserve">Promotor: Neurocentria (industria)</t>
  </si>
  <si>
    <t xml:space="preserve">cita encontrada; cifra coincide (NCT03531684; n=10, completado 2020-04-22, sin resultados)</t>
  </si>
  <si>
    <t xml:space="preserve">NCT03531684</t>
  </si>
  <si>
    <t xml:space="preserve">https://clinicaltrials.gov/study/NCT03531684</t>
  </si>
  <si>
    <t xml:space="preserve">Cobre (objeto llevado)</t>
  </si>
  <si>
    <t xml:space="preserve">Pulsera de cobre</t>
  </si>
  <si>
    <t xml:space="preserve">Cobre llevado en el cuerpo</t>
  </si>
  <si>
    <t xml:space="preserve">Richmond SJ, Gunadasa S, Bland M, Macpherson H. 2013, PLoS One</t>
  </si>
  <si>
    <t xml:space="preserve">Cruzado doble ciego, 4 dispositivos</t>
  </si>
  <si>
    <t xml:space="preserve">70</t>
  </si>
  <si>
    <t xml:space="preserve">Artritis reumatoide (no Alzheimer)</t>
  </si>
  <si>
    <t xml:space="preserve">Dolor, inflamación, función</t>
  </si>
  <si>
    <t xml:space="preserve">Sin diferencias significativas (P&gt;0.05) frente a placebo</t>
  </si>
  <si>
    <t xml:space="preserve">NIHR NF-SI-0507-10133</t>
  </si>
  <si>
    <t xml:space="preserve">cita encontrada; cifra coincide (PMID 24066023; cifra del resultado presente en el resumen; título coincide)</t>
  </si>
  <si>
    <t xml:space="preserve">PMID 24066023; ISRCTN51459023</t>
  </si>
  <si>
    <t xml:space="preserve">https://europepmc.org/article/MED/24066023</t>
  </si>
  <si>
    <t xml:space="preserve">psicodelicos</t>
  </si>
  <si>
    <t xml:space="preserve">Psilocibina</t>
  </si>
  <si>
    <t xml:space="preserve">Psilocibina (setas, cepa Enigma) dosis alta</t>
  </si>
  <si>
    <t xml:space="preserve">Caso clínico privado en Brasil; clínica psiquiátrica</t>
  </si>
  <si>
    <t xml:space="preserve">Lago M, Cerveira M, Simonet JX. 2026. Front Neurosci</t>
  </si>
  <si>
    <t xml:space="preserve">caso</t>
  </si>
  <si>
    <t xml:space="preserve">Informe de caso, sin control ni placebo</t>
  </si>
  <si>
    <t xml:space="preserve">1</t>
  </si>
  <si>
    <t xml:space="preserve">Mujer de unos 80 años, Alzheimer avanzado de 10 años (5 años de habla monosilábica), japonesa-estadounidense</t>
  </si>
  <si>
    <t xml:space="preserve">Sesión 1; sesión 2 un mes después; seguimiento de días y semanas</t>
  </si>
  <si>
    <t xml:space="preserve">Sesión 1: 5 g de setas con psilocibina por vía oral; sesión 2: 3 g un mes después</t>
  </si>
  <si>
    <t xml:space="preserve">Observación clínica e informe de cuidadores; sin escalas cognitivas, sin imagen, sin biomarcadores</t>
  </si>
  <si>
    <t xml:space="preserve">A las ~19 h de la dosis apareció habla autobiográfica espontánea (~4 h). Días y semanas después: continencia urinaria restablecida (llevaba 5 años sin ella), caminar autónomo, vestirse sola, contacto visual y sonrisas, recuerdo contextual (preguntó dónde estaba una persona concreta). Sin cifras. Los autores dicen que no implica reversión de la enfermedad y que es transitorio</t>
  </si>
  <si>
    <t xml:space="preserve">Fase aguda: sudoración profusa, sospecha de hipertermia (no medida), estado de sueño profundo prolongado. Sin efectos graves persistentes en el seguimiento según los autores</t>
  </si>
  <si>
    <t xml:space="preserve">Sin financiación declarada; sin conflictos declarados. No dice quién proporcionó las setas</t>
  </si>
  <si>
    <t xml:space="preserve">Los propios autores dicen que no es una recomendación de uso sin supervisión; la fuente describe 5 g de setas secas orales</t>
  </si>
  <si>
    <t xml:space="preserve">cita encontrada; cifra coincide. PMID 42292331; DOI 10.3389/fnins.2026.1813281 (5 g y ~19 h aparecen en el resumen)</t>
  </si>
  <si>
    <t xml:space="preserve">PMID 42292331; DOI 10.3389/fnins.2026.1813281</t>
  </si>
  <si>
    <t xml:space="preserve">https://pubmed.ncbi.nlm.nih.gov/42292331/</t>
  </si>
  <si>
    <t xml:space="preserve">Psilocibina 25 mg x2 en deterioro cognitivo leve amnésico</t>
  </si>
  <si>
    <t xml:space="preserve">Toronto (CAMH), PET de densidad sináptica SV2A</t>
  </si>
  <si>
    <t xml:space="preserve">Bukovsky D, Amaev A, ... Gerretsen P. 2025. Alzheimers Dement 21(S5):e101101 (resumen de congreso)</t>
  </si>
  <si>
    <t xml:space="preserve">Doble ciego, placebo, aleatorizado, con PET [18F]SynVesT; datos preliminares</t>
  </si>
  <si>
    <t xml:space="preserve">Diseño previsto: aMCI y controles sanos; datos piloto de 2 aMCI + 3 controles</t>
  </si>
  <si>
    <t xml:space="preserve">Deterioro cognitivo leve amnésico (media 71 años, MoCA 22) y sanos</t>
  </si>
  <si>
    <t xml:space="preserve">Dos dosis separadas una semana; PET pre y 1 semana post; evaluaciones a 1, 4 y 12 semanas</t>
  </si>
  <si>
    <t xml:space="preserve">Dos dosis de 25 mg de psilocibina o placebo con una semana de diferencia, con médico y terapeuta</t>
  </si>
  <si>
    <t xml:space="preserve">Seguridad, viabilidad, tolerabilidad; densidad sináptica en hipocampo y corteza prefrontal; cognición</t>
  </si>
  <si>
    <t xml:space="preserve">Todos completaron sin incidentes; bien tolerada; sin eventos adversos graves ni inesperados. La eficacia aún no se reporta (ciego sin abrir)</t>
  </si>
  <si>
    <t xml:space="preserve">Mareo (n=4), percepción alterada (n=3), resueltos sin secuelas</t>
  </si>
  <si>
    <t xml:space="preserve">No consta en el resumen; autores del Centre for Addiction and Mental Health, Toronto</t>
  </si>
  <si>
    <t xml:space="preserve">cita encontrada; cifra no comprobable en el resumen. PMCID PMC12740486; DOI 10.1002/alz70859_101101 (sin resumen en Europe PMC)</t>
  </si>
  <si>
    <t xml:space="preserve">PMCID PMC12740486; DOI 10.1002/alz70859_101101</t>
  </si>
  <si>
    <t xml:space="preserve">https://pmc.ncbi.nlm.nih.gov/articles/PMC12740486/</t>
  </si>
  <si>
    <t xml:space="preserve">Psilocibina 0,5 mg/kg mensual en ratones 5xFAD</t>
  </si>
  <si>
    <t xml:space="preserve">Neuroplasticidad, neurogénesis, antiinflamatorio</t>
  </si>
  <si>
    <t xml:space="preserve">Madhu LN, ... Shetty AK. 2025. Alzheimers Dement 21(S5):e100589 (resumen congreso)</t>
  </si>
  <si>
    <t xml:space="preserve">Ratones macho 5xFAD de 3 meses tratados 4 meses; comparados con vehículo y controles</t>
  </si>
  <si>
    <t xml:space="preserve">No consta en el resumen</t>
  </si>
  <si>
    <t xml:space="preserve">Ratones modelo de Alzheimer 5xFAD</t>
  </si>
  <si>
    <t xml:space="preserve">Dosis mensual durante 4 meses; pruebas un mes después; eutanasia a los 8 meses</t>
  </si>
  <si>
    <t xml:space="preserve">Psilocibina 0,5 mg/kg una vez al mes</t>
  </si>
  <si>
    <t xml:space="preserve">Pruebas conductuales, neuroinflamación, neurogénesis del hipocampo, sinapsis, placas de beta-amiloide, proteómica</t>
  </si>
  <si>
    <t xml:space="preserve">Mejor discriminación de cambios en el entorno, separación de patrones, memoria de reconocimiento asociativo y ausencia de anhedonia vs vehículo; menos hipertrofia astrocítica, inflamasomas NLRP3, p38 MAPK y cGAS-STING; más neuronas nuevas y señal BDNF-ERK-CREB; 16 proteínas sobreexpresadas en el proteoma del hipocampo. NO redujo las placas de amiloide</t>
  </si>
  <si>
    <t xml:space="preserve">No consta</t>
  </si>
  <si>
    <t xml:space="preserve">No consta en el resumen; Texas A&amp;M University</t>
  </si>
  <si>
    <t xml:space="preserve">cita encontrada; cifra no comprobable en el resumen. PMCID PMC12739712; DOI 10.1002/alz70859_100589 (sin resumen; título coincide)</t>
  </si>
  <si>
    <t xml:space="preserve">PMCID PMC12739712; DOI 10.1002/alz70859_100589</t>
  </si>
  <si>
    <t xml:space="preserve">https://pmc.ncbi.nlm.nih.gov/articles/PMC12739712/</t>
  </si>
  <si>
    <t xml:space="preserve">LSD</t>
  </si>
  <si>
    <t xml:space="preserve">LSD a dosis bajas (5, 10, 20 microgramos) cada 4 días</t>
  </si>
  <si>
    <t xml:space="preserve">Microdosis; ensayo fase 1 de la empresa Eleusis para Alzheimer</t>
  </si>
  <si>
    <t xml:space="preserve">Family N, ... Raz S. 2020. Psychopharmacology</t>
  </si>
  <si>
    <t xml:space="preserve">Fase 1, doble ciego, placebo, aleatorizado, 4 grupos</t>
  </si>
  <si>
    <t xml:space="preserve">48 (12 por grupo)</t>
  </si>
  <si>
    <t xml:space="preserve">Voluntarios sanos mayores, edad media 62,9 años</t>
  </si>
  <si>
    <t xml:space="preserve">21 días, 6 dosis (cada 4 días)</t>
  </si>
  <si>
    <t xml:space="preserve">LSD oral 5, 10 o 20 microgramos o placebo en 6 ocasiones</t>
  </si>
  <si>
    <t xml:space="preserve">Seguridad, tolerabilidad, farmacocinética, cognición, equilibrio, propiocepción</t>
  </si>
  <si>
    <t xml:space="preserve">Niveles de LSD indetectables en el grupo de 5 microgramos; pico a los 30 min en 10 y 20. Frecuencia de eventos adversos no superior a placebo. Sin deterioro en cognición, equilibrio y propiocepción</t>
  </si>
  <si>
    <t xml:space="preserve">Frecuencia no mayor que placebo. Una revisión posterior (Vann Jones 2020) cita dolor de cabeza más frecuente con LSD en un estudio en mayores</t>
  </si>
  <si>
    <t xml:space="preserve">Financiado por Eleusis Benefit Corporation (declarado en la ficha de financiación de Europe PMC)</t>
  </si>
  <si>
    <t xml:space="preserve">Dosis de la fuente: 5-20 microgramos orales cada 4 días durante 21 días, en entorno clínico</t>
  </si>
  <si>
    <t xml:space="preserve">cita encontrada; cifra coincide. PMID 31853557; DOI 10.1007/s00213-019-05417-7</t>
  </si>
  <si>
    <t xml:space="preserve">PMID 31853557; DOI 10.1007/s00213-019-05417-7</t>
  </si>
  <si>
    <t xml:space="preserve">https://pubmed.ncbi.nlm.nih.gov/31853557/</t>
  </si>
  <si>
    <t xml:space="preserve">Psicodélicos (general)</t>
  </si>
  <si>
    <t xml:space="preserve">Psicodélicos y microdosis en Alzheimer (revisión mecanística)</t>
  </si>
  <si>
    <t xml:space="preserve">Revisión de defensores del potencial neuroplástico; Cornwall, Reino Unido</t>
  </si>
  <si>
    <t xml:space="preserve">Vann Jones SA, O'Kelly A. 2020. Front Synaptic Neurosci. Psychedelics as a Treatment for Alzheimer's Disease Dementia</t>
  </si>
  <si>
    <t xml:space="preserve">Mini-revisión</t>
  </si>
  <si>
    <t xml:space="preserve">No aplica</t>
  </si>
  <si>
    <t xml:space="preserve">Alzheimer; citan estudios en sanos y animales</t>
  </si>
  <si>
    <t xml:space="preserve">Cita LSD 5/10/20 microgramos (Hutten 2020), 6,5/13/26 (Bershad 2019), 5-20 cada 5 días (Family 2020); psilocibina PET 15-20 mg aumentó ~25% el metabolismo global de glucosa en voluntarios sanos</t>
  </si>
  <si>
    <t xml:space="preserve">Mecanismos propuestos: 5-HT2A, neurogénesis hipocampal, SIRT1, biogénesis mitocondrial, gamma, reorganización de redes</t>
  </si>
  <si>
    <t xml:space="preserve">En modelo de estreptozotocina en roedores agonistas 5-HT1A y 5-HT2A fueron neuroprotectores (sin cifras en el texto leído). Dicen que no hay estudios controlados de microdosis en deterioro cognitivo</t>
  </si>
  <si>
    <t xml:space="preserve">Riesgos que citan: taquifilaxia tras 4 dosis diarias seguidas; dosis altas podrían suprimir la neurogénesis del hipocampo; reducción de atención a dosis altas; con LSD 20 microgramos menor concentración horas después; ratas con LSD crónico alto hiperactivas y asociales</t>
  </si>
  <si>
    <t xml:space="preserve">Sin conflictos comerciales declarados; financiación no consta</t>
  </si>
  <si>
    <t xml:space="preserve">cita encontrada; cifra no comprobable en el resumen. PMCID PMC7472664 -&gt; PMID 32973482; DOI 10.3389/fnsyn.2020.00034 (título y año 2020 coinciden)</t>
  </si>
  <si>
    <t xml:space="preserve">PMCID PMC7472664</t>
  </si>
  <si>
    <t xml:space="preserve">https://pmc.ncbi.nlm.nih.gov/articles/PMC7472664/</t>
  </si>
  <si>
    <t xml:space="preserve">Psilocibina sintética vs extracto de seta psicodélica completa</t>
  </si>
  <si>
    <t xml:space="preserve">Efecto séquito: el extracto completo supera al compuesto aislado</t>
  </si>
  <si>
    <t xml:space="preserve">Shahar O, ... Lifschytz T, Lerer B. 2024. Mol Psychiatry</t>
  </si>
  <si>
    <t xml:space="preserve">Ratones macho C57Bl/6j, western blot de proteínas sinápticas y metabolómica</t>
  </si>
  <si>
    <t xml:space="preserve">Ratones sanos (no modelo de Alzheimer)</t>
  </si>
  <si>
    <t xml:space="preserve">3 y 11 días tras tratamiento</t>
  </si>
  <si>
    <t xml:space="preserve">Psilocibina sintética (PSIL) vs extracto de seta psicodélica (PME)</t>
  </si>
  <si>
    <t xml:space="preserve">GAP43, PSD95, sinaptofisina, SV2A en 4 regiones; metabolómica de corteza prefrontal</t>
  </si>
  <si>
    <t xml:space="preserve">A los 11 días PSIL y PME aumentaron GAP43 en corteza frontal (p=0,019; p=0,039) e hipocampo (p=0,015; p=0,027) y sinaptofisina en hipocampo (p=0,041; p=0,05) y amígdala (p=0,035; p=0,004). SV2A: PSIL amígdala p=0,036; PME hipocampo p=0,014. A los 3 días mínimo aumento. ANOVA anidado: PME aumentó las 4 proteínas en todas las áreas; PSIL solo PSD95 y SV2A en hipocampo y amígdala. Los autores concluyen efecto más potente y prolongado con PME</t>
  </si>
  <si>
    <t xml:space="preserve">Becas citadas: Back of the Yards Algae Sciences (BYAS) y Parow Entheobiosciences (empresas)</t>
  </si>
  <si>
    <t xml:space="preserve">cita encontrada; cifra coincide. PMID 38378926; DOI 10.1038/s41380-024-02477-w (13 de 13 cifras presentes)</t>
  </si>
  <si>
    <t xml:space="preserve">PMID 38378926; DOI 10.1038/s41380-024-02477-w</t>
  </si>
  <si>
    <t xml:space="preserve">https://pubmed.ncbi.nlm.nih.gov/38378926/</t>
  </si>
  <si>
    <t xml:space="preserve">DMT</t>
  </si>
  <si>
    <t xml:space="preserve">DMT con antioxidantes vegetales (withanona, apigenina, bacósido A, baicalina, timoquinona)</t>
  </si>
  <si>
    <t xml:space="preserve">Combinación de psicodélico y plantas</t>
  </si>
  <si>
    <t xml:space="preserve">Jarne-Ferrer J, Pallàs M, Griñán-Ferré C, Bellver-Sanchis A. 2025. Cells</t>
  </si>
  <si>
    <t xml:space="preserve">celula</t>
  </si>
  <si>
    <t xml:space="preserve">Gusano C. elegans transgénico modelo de Alzheimer</t>
  </si>
  <si>
    <t xml:space="preserve">Modelo de C. elegans de Alzheimer (no mamífero)</t>
  </si>
  <si>
    <t xml:space="preserve">Combinaciones de los compuestos con N,N-DMT; dosis no consta en el resumen</t>
  </si>
  <si>
    <t xml:space="preserve">Motilidad, tinción de tioflavina S (placas), supervivencia bajo estrés oxidativo</t>
  </si>
  <si>
    <t xml:space="preserve">La combinación fue más eficaz que los compuestos solos: menos defectos de motilidad, menos carga de placa de Abeta, mayor supervivencia al estrés oxidativo, efecto sinérgico (sin cifras en el resumen)</t>
  </si>
  <si>
    <t xml:space="preserve">Ministerio de Economía (AEI) y Generalitat de Catalunya; conflictos no consta</t>
  </si>
  <si>
    <t xml:space="preserve">cita encontrada; cifra no comprobable en el resumen. PMID 40558561; DOI 10.3390/cells14120934 (título coincide; resumen sin cifras)</t>
  </si>
  <si>
    <t xml:space="preserve">PMID 40558561; DOI 10.3390/cells14120934</t>
  </si>
  <si>
    <t xml:space="preserve">https://pubmed.ncbi.nlm.nih.gov/40558561/</t>
  </si>
  <si>
    <t xml:space="preserve">Ketamina</t>
  </si>
  <si>
    <t xml:space="preserve">Ketamina a dosis baja en ratones de Alzheimer</t>
  </si>
  <si>
    <t xml:space="preserve">Línea de Brasil (UFRJ) sobre ketamina y riesgo de Alzheimer</t>
  </si>
  <si>
    <t xml:space="preserve">Lima-Filho RAS, ... Lourenco MV. 2025. Alzheimers Dement 21(S1):e100276 (resumen congreso)</t>
  </si>
  <si>
    <t xml:space="preserve">Ratones inyectados con oligómeros de Abeta y ratones transgénicos APP/PS1; RNA-seq</t>
  </si>
  <si>
    <t xml:space="preserve">Ratones modelo de Alzheimer y salvajes</t>
  </si>
  <si>
    <t xml:space="preserve">Dosis única; tratamiento crónico de 35 días</t>
  </si>
  <si>
    <t xml:space="preserve">Ketamina 10 mg/kg dosis única; crónica 35 días en APP/PS1</t>
  </si>
  <si>
    <t xml:space="preserve">Memoria, amiloide hipocampal, morfología glial, transcriptoma</t>
  </si>
  <si>
    <t xml:space="preserve">La dosis única protegió del daño de memoria por Abeta. En APP/PS1 el tratamiento crónico no tuvo impacto en memoria. La ketamina crónica en ratones salvajes indujo un perfil transcripcional similar al genotipo APP/PS1 (&gt;700 genes comunes); &gt;200 genes comunes regulados en sentido opuesto, solo 12 en el mismo sentido; más microglía alrededor de placas. Los autores piden cautela con ketamina en personas en riesgo</t>
  </si>
  <si>
    <t xml:space="preserve">cita encontrada; cifra no comprobable en el resumen. PMCID PMC12726942; DOI 10.1002/alz70855_100276 (título coincide; sin resumen)</t>
  </si>
  <si>
    <t xml:space="preserve">PMCID PMC12726942; DOI 10.1002/alz70855_100276</t>
  </si>
  <si>
    <t xml:space="preserve">https://pmc.ncbi.nlm.nih.gov/articles/PMC12726942/</t>
  </si>
  <si>
    <t xml:space="preserve">Hidroxinorketamina</t>
  </si>
  <si>
    <t xml:space="preserve">Hidroxinorketamina (2R,6R)-HNK, metabolito de la ketamina</t>
  </si>
  <si>
    <t xml:space="preserve">Anhedonia en Alzheimer (China)</t>
  </si>
  <si>
    <t xml:space="preserve">Yang S, Guo B, Deng D, Zhang Y, Zhou Q. 2026. Biochem Biophys Res Commun</t>
  </si>
  <si>
    <t xml:space="preserve">Ratones APP/PS1 de 8 meses, dosis única</t>
  </si>
  <si>
    <t xml:space="preserve">Ratones modelo de Alzheimer</t>
  </si>
  <si>
    <t xml:space="preserve">Dosis única</t>
  </si>
  <si>
    <t xml:space="preserve">(2R,6R)-HNK una sola dosis</t>
  </si>
  <si>
    <t xml:space="preserve">Test de preferencia por sacarosa (anhedonia); relación excitación/inhibición prefrontal; eEF2, BDNF, GLT-1</t>
  </si>
  <si>
    <t xml:space="preserve">Los ratones APP/PS1 mostraron anhedonia marcada y una dosis única de HNK la alivió rápidamente; aumentó la relación E/I prefrontal, redujo eEF2 fosforilado y elevó BDNF y GLT-1</t>
  </si>
  <si>
    <t xml:space="preserve">cita encontrada; cifra no comprobable en el resumen. PMID 42800170; DOI 10.1016/j.bbrc.2026.154535 (título coincide; resumen sin cifras)</t>
  </si>
  <si>
    <t xml:space="preserve">PMID 42800170; DOI 10.1016/j.bbrc.2026.154535</t>
  </si>
  <si>
    <t xml:space="preserve">https://pubmed.ncbi.nlm.nih.gov/42800170/</t>
  </si>
  <si>
    <t xml:space="preserve">Psicodélicos en organoides cerebrales humanos</t>
  </si>
  <si>
    <t xml:space="preserve">Proteómica y neuroplasticidad</t>
  </si>
  <si>
    <t xml:space="preserve">Androni X, Boyd RJ, Rosenberg PB, Mahairaki V. 2025. Front Dement</t>
  </si>
  <si>
    <t xml:space="preserve">Mini-revisión sobre organoides</t>
  </si>
  <si>
    <t xml:space="preserve">Organoides cerebrales humanos</t>
  </si>
  <si>
    <t xml:space="preserve">Cambios moleculares y metabólicos por psicodélicos en organoides</t>
  </si>
  <si>
    <t xml:space="preserve">Resume la literatura de organoides; sin cifras en el resumen. Presenta los psicodélicos como candidatos neuroplastogénicos y antiinflamatorios</t>
  </si>
  <si>
    <t xml:space="preserve">Ficha de financiación: NIA NIH; conflictos no consta</t>
  </si>
  <si>
    <t xml:space="preserve">cita encontrada; cifra no comprobable en el resumen. PMID 40832110; DOI 10.3389/frdem.2025.1605051 (título coincide; resumen sin cifras)</t>
  </si>
  <si>
    <t xml:space="preserve">PMID 40832110; DOI 10.3389/frdem.2025.1605051</t>
  </si>
  <si>
    <t xml:space="preserve">https://pubmed.ncbi.nlm.nih.gov/40832110/</t>
  </si>
  <si>
    <t xml:space="preserve">Psicodélicos serotoninérgicos (LSD, psilocibina, DMT, mescalina, ayahuasca) en demencia</t>
  </si>
  <si>
    <t xml:space="preserve">Revisión narrativa Coimbra, Portugal</t>
  </si>
  <si>
    <t xml:space="preserve">Vieira-Andrade J, Marques I, Brito M. 2026. Int J Neuropsychopharmacol 29(S1):i229 (resumen CINP)</t>
  </si>
  <si>
    <t xml:space="preserve">Revisión narrativa en PubMed y Scopus</t>
  </si>
  <si>
    <t xml:space="preserve">Demencia, Alzheimer y modelos</t>
  </si>
  <si>
    <t xml:space="preserve">Cita LSD 5-20 microgramos cada 5 días 4 semanas en mayores</t>
  </si>
  <si>
    <t xml:space="preserve">Evidencia clínica y preclínica</t>
  </si>
  <si>
    <t xml:space="preserve">Dicen que no hay ensayos publicados en pacientes con demencia; un piloto (NCT04123314) en marcha; en mayores no hubo diferencia en eventos adversos entre placebo y LSD 5-20 microgramos cada 5 días 4 semanas; un estudio murino halló efectos neuroprotectores independientes y sinérgicos de agonistas 5-HT1A y 5-HT2A en hipocampo</t>
  </si>
  <si>
    <t xml:space="preserve">cita encontrada; cifra no comprobable en el resumen. PMCID PMC13556823; DOI 10.1093/ijnp/pyag040.424 (título y año 2026 coinciden; sin resumen)</t>
  </si>
  <si>
    <t xml:space="preserve">PMCID PMC13556823; DOI 10.1093/ijnp/pyag040.424</t>
  </si>
  <si>
    <t xml:space="preserve">https://pmc.ncbi.nlm.nih.gov/articles/PMC13556823/</t>
  </si>
  <si>
    <t xml:space="preserve">Dronabinol</t>
  </si>
  <si>
    <t xml:space="preserve">Dronabinol (THC sintético) 10 mg/día</t>
  </si>
  <si>
    <t xml:space="preserve">Cannabinoides para agitación; Johns Hopkins y otros 5 centros</t>
  </si>
  <si>
    <t xml:space="preserve">Rosenberg PB, Amjad H, ... 2026. Am J Geriatr Psychiatry (THC-AD)</t>
  </si>
  <si>
    <t xml:space="preserve">Paralelo, doble ciego, placebo, 5 centros, 2017-2024</t>
  </si>
  <si>
    <t xml:space="preserve">75 (84% completó)</t>
  </si>
  <si>
    <t xml:space="preserve">Alzheimer con agitación, deterioro grave (MMSE/SIB-8)</t>
  </si>
  <si>
    <t xml:space="preserve">3 semanas</t>
  </si>
  <si>
    <t xml:space="preserve">Dronabinol hasta 10 mg/día en dos tomas, añadido a su medicación</t>
  </si>
  <si>
    <t xml:space="preserve">Pittsburgh Agitation Scale (PAS) y NPI-C agitación/agresión; secundarios sueño, AVD, CMAI, cognición, lorazepam o trazodona a demanda</t>
  </si>
  <si>
    <t xml:space="preserve">Diferencia entre brazos en la caída semanal de PAS -0,74 (EE 0,3; p=0,015; tamaño del efecto 0,53); NPI-C A/A -1,26 (EE 0,67; p=0,094; tamaño 0,36, no significativo). Ningún secundario difirió (sueño, AVD, CMAI, cognición, intoxicación, medicación a demanda)</t>
  </si>
  <si>
    <t xml:space="preserve">Sin más eventos adversos que placebo salvo somnolencia</t>
  </si>
  <si>
    <t xml:space="preserve">Subvenciones NIA/NIH; conflictos no consta en el resumen</t>
  </si>
  <si>
    <t xml:space="preserve">Dosis de la fuente: titulación hasta 10 mg/día en dos tomas durante 3 semanas</t>
  </si>
  <si>
    <t xml:space="preserve">cita encontrada; cifra coincide. PMID 41350162; DOI 10.1016/j.jagp.2025.10.011; NCT02792257 (75 y cifras PAS/NPI-C presentes; registro indica 84 inscritos)</t>
  </si>
  <si>
    <t xml:space="preserve">PMID 41350162; NCT02792257; DOI 10.1016/j.jagp.2025.10.011</t>
  </si>
  <si>
    <t xml:space="preserve">https://pubmed.ncbi.nlm.nih.gov/41350162/</t>
  </si>
  <si>
    <t xml:space="preserve">Nabilona</t>
  </si>
  <si>
    <t xml:space="preserve">Nabilona 1-2 mg/día</t>
  </si>
  <si>
    <t xml:space="preserve">Cannabinoide sintético; Sunnybrook, Toronto</t>
  </si>
  <si>
    <t xml:space="preserve">Herrmann N, ... Lanctôt KL. 2019. Am J Geriatr Psychiatry</t>
  </si>
  <si>
    <t xml:space="preserve">Cruzado, doble ciego, placebo, 6 semanas por fase + 1 semana de lavado</t>
  </si>
  <si>
    <t xml:space="preserve">39</t>
  </si>
  <si>
    <t xml:space="preserve">Alzheimer moderado-grave (sMMSE ≤24) con agitación en residencia y clínicas</t>
  </si>
  <si>
    <t xml:space="preserve">14 semanas</t>
  </si>
  <si>
    <t xml:space="preserve">Nabilona objetivo 1-2 mg (media 1,6 ± 0,5 mg) oral</t>
  </si>
  <si>
    <t xml:space="preserve">CMAI (primario), NPI-NH, malestar del cuidador, sMMSE, SIB, CGIC</t>
  </si>
  <si>
    <t xml:space="preserve">Diferencias a favor de nabilona: CMAI b=-4,0 (IC95 -6,5 a -1,5; p=0,003); NPI-NH total b=-4,6 (p=0,004); malestar cuidador b=-1,7 (p=0,041); sMMSE b=1,1 (p=0,026). En quienes hicieron SIB (n=25) la diferencia favoreció a placebo (b=-4,6; p=0,003). CGIC mejoría 47% vs 23% (p=0,09)</t>
  </si>
  <si>
    <t xml:space="preserve">Más sedación con nabilona (45%) vs placebo (16%), p=0,02; sedación que obliga a parar no diferente (p=0,22)</t>
  </si>
  <si>
    <t xml:space="preserve">Subvenciones: Alzheimer Society, NIA, CIHR, Alzheimer's Drug Discovery Foundation</t>
  </si>
  <si>
    <t xml:space="preserve">Dosis de la fuente: 1-2 mg/día en cápsula, ensayo supervisado</t>
  </si>
  <si>
    <t xml:space="preserve">cita encontrada; cifra coincide. PMID 31182351; DOI 10.1016/j.jagp.2019.05.002 (15 de 15 cifras presentes)</t>
  </si>
  <si>
    <t xml:space="preserve">PMID 31182351; DOI 10.1016/j.jagp.2019.05.002</t>
  </si>
  <si>
    <t xml:space="preserve">https://pubmed.ncbi.nlm.nih.gov/31182351/</t>
  </si>
  <si>
    <t xml:space="preserve">Nabilona: análisis secundario de síntomas no agitación</t>
  </si>
  <si>
    <t xml:space="preserve">Mismo ensayo de Sunnybrook, apetito, ánimo, ansiedad</t>
  </si>
  <si>
    <t xml:space="preserve">Pan TJ, Wang HJ, Herrmann N, ... Lanctôt KL. 2025. Alzheimers Dement 21(S3):e105775 (resumen)</t>
  </si>
  <si>
    <t xml:space="preserve">Análisis secundario del cruzado de 14 semanas</t>
  </si>
  <si>
    <t xml:space="preserve">39 (media 87 años)</t>
  </si>
  <si>
    <t xml:space="preserve">Alzheimer moderado-grave con agitación</t>
  </si>
  <si>
    <t xml:space="preserve">6 semanas por fase</t>
  </si>
  <si>
    <t xml:space="preserve">Nabilona 1,6 ± 0,5 mg/día</t>
  </si>
  <si>
    <t xml:space="preserve">Subescalas del NPI-NH distintas de agitación</t>
  </si>
  <si>
    <t xml:space="preserve">Mayor descenso de ansiedad (b=-1,12; EE 0,55; p=0,048) y depresión (b=-0,68; EE 0,31; p=0,039); cambio en apetito/hábitos de comida (b=2,00; EE 0,55; p&lt;0,001), dirección (más o menos apetito) poco clara según los autores</t>
  </si>
  <si>
    <t xml:space="preserve">No consta en este resumen</t>
  </si>
  <si>
    <t xml:space="preserve">No consta en este resumen; Sunnybrook</t>
  </si>
  <si>
    <t xml:space="preserve">cita encontrada; cifra no comprobable en el resumen. PMCID PMC12739322; DOI 10.1002/alz70857_105775 (título coincide; sin resumen)</t>
  </si>
  <si>
    <t xml:space="preserve">PMCID PMC12739322; DOI 10.1002/alz70857_105775</t>
  </si>
  <si>
    <t xml:space="preserve">https://pmc.ncbi.nlm.nih.gov/articles/PMC12739322/</t>
  </si>
  <si>
    <t xml:space="preserve">Nabilona: quién responde (análisis post hoc)</t>
  </si>
  <si>
    <t xml:space="preserve">Perfil de respondedores</t>
  </si>
  <si>
    <t xml:space="preserve">Feldman OJ, Herrmann N, ... Lanctôt KL. 2026. Int Psychogeriatr</t>
  </si>
  <si>
    <t xml:space="preserve">Post hoc del cruzado de nabilona</t>
  </si>
  <si>
    <t xml:space="preserve">Igual que el ensayo original</t>
  </si>
  <si>
    <t xml:space="preserve">Nabilona (ensayo original)</t>
  </si>
  <si>
    <t xml:space="preserve">Predictores de respuesta en CMAI</t>
  </si>
  <si>
    <t xml:space="preserve">Cinco rasgos con mayor eficacia: más dolor (PAINAD ≥3, diferencia CMAI -18,8), más trastorno de apetito (-16,4), más apatía (-14,0), menos deterioro (sMMSE &gt;10; -16,5), sin inhibidores de colinesterasa (-13,9). Tercil superior predicho: respondió 82% vs 40% en el inferior; interacción F(2,29)=8,48; p=0,001</t>
  </si>
  <si>
    <t xml:space="preserve">Autora KLL declara honorarios de consultoría de Bristol Myers Squibb, Eisai, Exciva, Lundbeck, Merck, Novo Nordisk y Praxis; SEB declara contratos con Genentech, Roche, Eli Lilly, Eisai/Biogen y otros</t>
  </si>
  <si>
    <t xml:space="preserve">cita encontrada; cifra coincide. PMID 41530008; DOI 10.1016/j.inpsyc.2026.100183 (82 % y 40 % presentes)</t>
  </si>
  <si>
    <t xml:space="preserve">PMID 41530008; DOI 10.1016/j.inpsyc.2026.100183</t>
  </si>
  <si>
    <t xml:space="preserve">https://pubmed.ncbi.nlm.nih.gov/41530008/</t>
  </si>
  <si>
    <t xml:space="preserve">THC:CBD (aceite)</t>
  </si>
  <si>
    <t xml:space="preserve">THC:CBD aceite 1:2 (hasta 20 mg/40 mg al día)</t>
  </si>
  <si>
    <t xml:space="preserve">Cannabinoides en demencia grave, Ginebra</t>
  </si>
  <si>
    <t xml:space="preserve">Bianchi F, Broers B, Desmeules JA, ... Pautex S. 2026. Age Ageing</t>
  </si>
  <si>
    <t xml:space="preserve">Cruzado, doble ciego, placebo, 5 residencias; 2 periodos de 8 semanas</t>
  </si>
  <si>
    <t xml:space="preserve">25 aleatorizados, 19 completaron ambos periodos (edad media 83)</t>
  </si>
  <si>
    <t xml:space="preserve">Demencia grave en residencias</t>
  </si>
  <si>
    <t xml:space="preserve">8 semanas por periodo + 1 de lavado</t>
  </si>
  <si>
    <t xml:space="preserve">Aceite oral THC:CBD 1:2 hasta 20 mg/40 mg al día</t>
  </si>
  <si>
    <t xml:space="preserve">CMAI (primario); escalas de conducta, dolor, psicótropos a demanda</t>
  </si>
  <si>
    <t xml:space="preserve">Sin diferencia significativa en CMAI ni en las principales escalas de conducta. El uso de psicótropos a demanda (PRN) fue significativamente menor durante el tratamiento activo</t>
  </si>
  <si>
    <t xml:space="preserve">Bien tolerado; sin eventos graves relacionados con el fármaco</t>
  </si>
  <si>
    <t xml:space="preserve">No consta en el resumen; registro NCT05432206 (Fondation pour l'accueil et l'hébergement des personnes âgées)</t>
  </si>
  <si>
    <t xml:space="preserve">Dosis de la fuente: aceite oral THC:CBD 1:2, máximo 20 mg THC y 40 mg CBD al día</t>
  </si>
  <si>
    <t xml:space="preserve">cita encontrada; cifra no comprobable en el resumen. DOI 10.1093/ageing/afag239 -&gt; PMID 42613673; NCT05432206 (el resumen no da n=25/19; el registro indica 27 inscritos; revisar)</t>
  </si>
  <si>
    <t xml:space="preserve">Age Ageing 2026; DOI 10.1093/ageing/afag239; NCT05432206</t>
  </si>
  <si>
    <t xml:space="preserve">https://doi.org/10.1093/ageing/afag239</t>
  </si>
  <si>
    <t xml:space="preserve">Nabiximols</t>
  </si>
  <si>
    <t xml:space="preserve">Nabiximols (Sativex), espray oromucoso THC:CBD 1:1</t>
  </si>
  <si>
    <t xml:space="preserve">Residencias de Reino Unido, factibilidad</t>
  </si>
  <si>
    <t xml:space="preserve">Albertyn CP, ... Aarsland D. 2025. Age Ageing (ensayo STAND)</t>
  </si>
  <si>
    <t xml:space="preserve">Factibilidad, doble ciego, placebo</t>
  </si>
  <si>
    <t xml:space="preserve">29 aleatorizados (53 evaluados)</t>
  </si>
  <si>
    <t xml:space="preserve">Alzheimer con agitación en residencias</t>
  </si>
  <si>
    <t xml:space="preserve">4 semanas de tratamiento + 4 de observación</t>
  </si>
  <si>
    <t xml:space="preserve">Nabiximols titulado, 4 semanas</t>
  </si>
  <si>
    <t xml:space="preserve">Factibilidad, seguridad, tamaño de efecto en CMAI</t>
  </si>
  <si>
    <t xml:space="preserve">Nadie abandonó; adherencia 100%; bien tolerado, 0 reacciones adversas; sin problemas de seguridad. Eficacia no analizada como resultado confirmatorio</t>
  </si>
  <si>
    <t xml:space="preserve">0 reacciones adversas notificadas</t>
  </si>
  <si>
    <t xml:space="preserve">cita encontrada; cifra coincide. PMID 40479610; DOI 10.1093/ageing/afaf149; ISRCTN 7163562</t>
  </si>
  <si>
    <t xml:space="preserve">PMID 40479610; ISRCTN 7163562; DOI 10.1093/ageing/afaf149</t>
  </si>
  <si>
    <t xml:space="preserve">https://pubmed.ncbi.nlm.nih.gov/40479610/</t>
  </si>
  <si>
    <t xml:space="preserve">Cannabidiol (CBD)</t>
  </si>
  <si>
    <t xml:space="preserve">Cannabidiol 300 mg/día</t>
  </si>
  <si>
    <t xml:space="preserve">Síntomas conductuales en demencia vascular; Brasil (USP Ribeirão Preto)</t>
  </si>
  <si>
    <t xml:space="preserve">Pessoa RMP, Zuardi AW, ... Chagas MHN. 2026. J Psychopharmacol</t>
  </si>
  <si>
    <t xml:space="preserve">30</t>
  </si>
  <si>
    <t xml:space="preserve">Demencia vascular con síntomas conductuales</t>
  </si>
  <si>
    <t xml:space="preserve">4 semanas</t>
  </si>
  <si>
    <t xml:space="preserve">CBD 300 mg/día o placebo</t>
  </si>
  <si>
    <t xml:space="preserve">NPI y BPRS; MMSE, IQCODE, Katz, Lawton</t>
  </si>
  <si>
    <t xml:space="preserve">Reducción de NPI (interacción F(1,58;44,31)=3,61; p=0,05; eta parcial 0,11) y BPRS (F(2,12;59,43)=4,02; eta 0,13) vs placebo; sin diferencias en cognición ni función</t>
  </si>
  <si>
    <t xml:space="preserve">Leves y similares entre grupos</t>
  </si>
  <si>
    <t xml:space="preserve">CNPq y CAPES (becas); conflictos no consta en el resumen. Registro ReBEC RBR-686kmpz</t>
  </si>
  <si>
    <t xml:space="preserve">Dosis de la fuente: 300 mg/día de CBD durante 4 semanas</t>
  </si>
  <si>
    <t xml:space="preserve">cita encontrada; cifra coincide. PMID 41277041; DOI 10.1177/02698811251390974 (9 de 9 cifras presentes)</t>
  </si>
  <si>
    <t xml:space="preserve">PMID 41277041; DOI 10.1177/02698811251390974</t>
  </si>
  <si>
    <t xml:space="preserve">https://pubmed.ncbi.nlm.nih.gov/41277041/</t>
  </si>
  <si>
    <t xml:space="preserve">Cannabis medicinal (THC)</t>
  </si>
  <si>
    <t xml:space="preserve">Aceite de cannabis medicinal (THC) añadido a la medicación</t>
  </si>
  <si>
    <t xml:space="preserve">Israel, hospital Abarbanel</t>
  </si>
  <si>
    <t xml:space="preserve">Shelef A, Barak Y, ... Baruch Y. 2016. J Alzheimers Dis</t>
  </si>
  <si>
    <t xml:space="preserve">Abierto, piloto, prospectivo, 4 semanas</t>
  </si>
  <si>
    <t xml:space="preserve">11 reclutados, 10 completaron</t>
  </si>
  <si>
    <t xml:space="preserve">Alzheimer con síntomas conductuales</t>
  </si>
  <si>
    <t xml:space="preserve">Aceite de cannabis medicinal con THC como añadido</t>
  </si>
  <si>
    <t xml:space="preserve">CGI de gravedad y NPI</t>
  </si>
  <si>
    <t xml:space="preserve">CGI gravedad 6,5 a 5,7 (p&lt;0,01); NPI 44,4 a 12,8 (p&lt;0,01); bajaron delirios, agitación/agresión, irritabilidad, apatía, sueño y malestar del cuidador</t>
  </si>
  <si>
    <t xml:space="preserve">No detallados en el resumen</t>
  </si>
  <si>
    <t xml:space="preserve">cita encontrada; cifra coincide. PMID 26757043; DOI 10.3233/JAD-150915 (5 de 5 cifras presentes)</t>
  </si>
  <si>
    <t xml:space="preserve">PMID 26757043; DOI 10.3233/JAD-150915</t>
  </si>
  <si>
    <t xml:space="preserve">https://pubmed.ncbi.nlm.nih.gov/26757043/</t>
  </si>
  <si>
    <t xml:space="preserve">Dronabinol para anorexia y conducta</t>
  </si>
  <si>
    <t xml:space="preserve">Apetito y peso en Alzheimer, años 90</t>
  </si>
  <si>
    <t xml:space="preserve">Volicer L, Stelly M, Morris J, McLaughlin J, Volicer BJ. 1997. Int J Geriatr Psychiatry</t>
  </si>
  <si>
    <t xml:space="preserve">Cruzado, placebo, 6 semanas por periodo</t>
  </si>
  <si>
    <t xml:space="preserve">15 (11 completaron ambos periodos)</t>
  </si>
  <si>
    <t xml:space="preserve">Alzheimer probable que rechazaba comida</t>
  </si>
  <si>
    <t xml:space="preserve">Dronabinol (dosis no consta en el resumen)</t>
  </si>
  <si>
    <t xml:space="preserve">Peso corporal y conducta alterada</t>
  </si>
  <si>
    <t xml:space="preserve">El peso aumentó más con dronabinol que con placebo; menor gravedad de conducta alterada, efecto que persistió en periodo placebo en quienes lo recibieron primero</t>
  </si>
  <si>
    <t xml:space="preserve">Euforia, somnolencia y cansancio más con dronabinol. Se interrumpió en 3 pacientes: una crisis epiléptica y 2 infecciones graves intercurrentes; un fallecido por infarto 2 semanas antes del fin</t>
  </si>
  <si>
    <t xml:space="preserve">cita encontrada; cifra no comprobable en el resumen. PMID 9309469; DOI 10.1002/(sici)1099-1166(199709)12:9&lt;913::aid-gps663&gt;3.0.co;2-d (título y año 1997 coinciden)</t>
  </si>
  <si>
    <t xml:space="preserve">PMID 9309469; DOI 10.1002/(sici)1099-1166(199709)12:9&lt;913::aid-gps663&gt;3.0.co;2-d</t>
  </si>
  <si>
    <t xml:space="preserve">https://pubmed.ncbi.nlm.nih.gov/9309469/</t>
  </si>
  <si>
    <t xml:space="preserve">THC (Namisol)</t>
  </si>
  <si>
    <t xml:space="preserve">THC oral 0,75 y 1,5 mg dos veces al día (Namisol)</t>
  </si>
  <si>
    <t xml:space="preserve">Farmacocinética de THC en demencia, Radboud, Países Bajos</t>
  </si>
  <si>
    <t xml:space="preserve">Ahmed AI, van den Elsen GA, ... Olde Rikkert MG. 2015. Psychopharmacology</t>
  </si>
  <si>
    <t xml:space="preserve">Cruzado, doble ciego, placebo</t>
  </si>
  <si>
    <t xml:space="preserve">10 (edad media 77,3)</t>
  </si>
  <si>
    <t xml:space="preserve">12 semanas (3 días de tratamiento por bloque, 4 de lavado)</t>
  </si>
  <si>
    <t xml:space="preserve">THC oral 0,75 mg (semanas 1-6) y 1,5 mg (semanas 7-12) dos veces al día</t>
  </si>
  <si>
    <t xml:space="preserve">Seguridad, farmacodinamia, farmacocinética</t>
  </si>
  <si>
    <t xml:space="preserve">Solo 6 de 98 eventos adversos relacionados con THC. Tras 0,75 mg: percepción interna +0,025 y frecuencia cardiaca +2 lpm; balanceo con ojos cerrados aumentó solo con 1,5 mg (0,59 grados/s); presión sistólica cambió (-7 mmHg con 0,75 mg; 5 mmHg con 1,5 mg). Cmax 0,41 ng/mL (0,75 mg) y 1,01 (1,5 mg)</t>
  </si>
  <si>
    <t xml:space="preserve">Menores</t>
  </si>
  <si>
    <t xml:space="preserve">cita encontrada; cifra coincide. PMID 25752889; DOI 10.1007/s00213-015-3889-y (7 de 7 cifras presentes)</t>
  </si>
  <si>
    <t xml:space="preserve">PMID 25752889; DOI 10.1007/s00213-015-3889-y</t>
  </si>
  <si>
    <t xml:space="preserve">https://pubmed.ncbi.nlm.nih.gov/25752889/</t>
  </si>
  <si>
    <t xml:space="preserve">Cannabinoides (revisión)</t>
  </si>
  <si>
    <t xml:space="preserve">Cannabinoides en demencia (revisión Cochrane)</t>
  </si>
  <si>
    <t xml:space="preserve">Revisión sistemática 2021</t>
  </si>
  <si>
    <t xml:space="preserve">Bosnjak Kuharic D, ... Puljak L. 2021. Cochrane Database Syst Rev</t>
  </si>
  <si>
    <t xml:space="preserve">Metaanálisis de efecto fijo</t>
  </si>
  <si>
    <t xml:space="preserve">4 estudios, 126 participantes</t>
  </si>
  <si>
    <t xml:space="preserve">Alzheimer principalmente; algunos vasculares o mixtos</t>
  </si>
  <si>
    <t xml:space="preserve">3 a 14 semanas (un estudio con eventos adversos a 70 semanas)</t>
  </si>
  <si>
    <t xml:space="preserve">THC natural (Namisol), dronabinol y nabilona</t>
  </si>
  <si>
    <t xml:space="preserve">Eficacia y seguridad</t>
  </si>
  <si>
    <t xml:space="preserve">El resumen leído lista los estudios, la duración y la financiación (dos con financiación no comercial, dos con comercial y no comercial); los resultados numéricos no estaban en el fragmento leído</t>
  </si>
  <si>
    <t xml:space="preserve">No leído en el fragmento</t>
  </si>
  <si>
    <t xml:space="preserve">Dos estudios con apoyo comercial y no comercial; dos solo no comercial</t>
  </si>
  <si>
    <t xml:space="preserve">cita encontrada; cifra no comprobable en el resumen. PMID 34532852; DOI 10.1002/14651858.CD012820.pub2 (título y año 2021 coinciden)</t>
  </si>
  <si>
    <t xml:space="preserve">PMID 34532852; DOI 10.1002/14651858.CD012820.pub2</t>
  </si>
  <si>
    <t xml:space="preserve">https://pubmed.ncbi.nlm.nih.gov/34532852/</t>
  </si>
  <si>
    <t xml:space="preserve">Cannabinoides para agitación en Alzheimer (metaanálisis)</t>
  </si>
  <si>
    <t xml:space="preserve">Metaanálisis con análisis bayesiano y secuencial</t>
  </si>
  <si>
    <t xml:space="preserve">da Silva AMP, ... 2026. Am J Geriatr Psychiatry</t>
  </si>
  <si>
    <t xml:space="preserve">Revisión sistemática y metaanálisis, PROSPERO</t>
  </si>
  <si>
    <t xml:space="preserve">7 estudios (6 aleatorizados), 221 participantes</t>
  </si>
  <si>
    <t xml:space="preserve">Alzheimer con agitación</t>
  </si>
  <si>
    <t xml:space="preserve">Cortas</t>
  </si>
  <si>
    <t xml:space="preserve">Cannabinoides varios</t>
  </si>
  <si>
    <t xml:space="preserve">NPI total, CMAI-SF, NPI agitación, MMSE, seguridad</t>
  </si>
  <si>
    <t xml:space="preserve">NPI total SMD -0,31 (IC95 -0,47 a -0,15; k=4); CMAI-SF SMD -0,40 (-0,69 a -0,10; k=3); NPI A/A SMD -0,47 (-0,69 a -0,25; k=3); sin beneficio cognitivo consistente en MMSE</t>
  </si>
  <si>
    <t xml:space="preserve">Somnolencia: RR 2,25 (IC95 1,43-3,54); caídas y fatiga imprecisas</t>
  </si>
  <si>
    <t xml:space="preserve">cita encontrada; cifra coincide. PMID 42315374; DOI 10.1016/j.jagp.2026.05.016 (8 de 8 cifras presentes)</t>
  </si>
  <si>
    <t xml:space="preserve">PMID 42315374; DOI 10.1016/j.jagp.2026.05.016</t>
  </si>
  <si>
    <t xml:space="preserve">https://pubmed.ncbi.nlm.nih.gov/42315374/</t>
  </si>
  <si>
    <t xml:space="preserve">Nabilona dosis baja 500 microgramos/día</t>
  </si>
  <si>
    <t xml:space="preserve">Caso clínico en Reino Unido</t>
  </si>
  <si>
    <t xml:space="preserve">Koneru A, Zarroug M. 2026. BJPsych Open (resumen de congreso RCPsych)</t>
  </si>
  <si>
    <t xml:space="preserve">Informe de caso</t>
  </si>
  <si>
    <t xml:space="preserve">Varón de 73 años, Alzheimer de inicio tardío, CDR 2, sMMSE 13/30</t>
  </si>
  <si>
    <t xml:space="preserve">3 semanas de seguimiento</t>
  </si>
  <si>
    <t xml:space="preserve">Nabilona 500 microgramos diarios (tras fallo de otros fármacos); intento de bajar a 250 mantuvo síntomas peores</t>
  </si>
  <si>
    <t xml:space="preserve">NPI</t>
  </si>
  <si>
    <t xml:space="preserve">NPI frecuencia y gravedad 51 a 9 y malestar 21 a 5 tras 3 semanas. Al reducir a 250 microgramos empeoró y se volvió a 500</t>
  </si>
  <si>
    <t xml:space="preserve">Sin efectos secundarios duraderos significativos según el autor</t>
  </si>
  <si>
    <t xml:space="preserve">No consta; resumen no revisado por pares estándar de BJPsych Open</t>
  </si>
  <si>
    <t xml:space="preserve">Dosis de la fuente: 500 microgramos al día oral</t>
  </si>
  <si>
    <t xml:space="preserve">cita encontrada; cifra no comprobable en el resumen. PMCID PMC13328946 (título coincide: caso de nabilona 'Use of Low Dose Nabilone to Manage BPSD'; sin año en Europe PMC)</t>
  </si>
  <si>
    <t xml:space="preserve">PMCID PMC13328946</t>
  </si>
  <si>
    <t xml:space="preserve">https://pmc.ncbi.nlm.nih.gov/articles/PMC13328946/</t>
  </si>
  <si>
    <t xml:space="preserve">Piracetam</t>
  </si>
  <si>
    <t xml:space="preserve">Piracetam 8 g/día un año</t>
  </si>
  <si>
    <t xml:space="preserve">Nootrópico clásico en Alzheimer</t>
  </si>
  <si>
    <t xml:space="preserve">Croisile B, Trillet M, ... Billardon M. 1993. Neurology</t>
  </si>
  <si>
    <t xml:space="preserve">Paralelo, doble ciego, placebo</t>
  </si>
  <si>
    <t xml:space="preserve">33 (30 completaron)</t>
  </si>
  <si>
    <t xml:space="preserve">Alzheimer probable temprano, ambulatorios</t>
  </si>
  <si>
    <t xml:space="preserve">1 año</t>
  </si>
  <si>
    <t xml:space="preserve">Piracetam 8 g/día por vía oral</t>
  </si>
  <si>
    <t xml:space="preserve">Cognición y memoria</t>
  </si>
  <si>
    <t xml:space="preserve">Sin mejora en ningún grupo, pero los autores indican que la administración prolongada de dosis altas podría frenar la progresión; diferencias más significativas en recuerdo de series de imágenes y memoria reciente y remota</t>
  </si>
  <si>
    <t xml:space="preserve">Dosis de la fuente: 8 g/día</t>
  </si>
  <si>
    <t xml:space="preserve">cita encontrada; cifra coincide. PMID 8437693; DOI 10.1212/wnl.43.2.301 (8 g/d presente)</t>
  </si>
  <si>
    <t xml:space="preserve">PMID 8437693; DOI 10.1212/wnl.43.2.301</t>
  </si>
  <si>
    <t xml:space="preserve">https://pubmed.ncbi.nlm.nih.gov/8437693/</t>
  </si>
  <si>
    <t xml:space="preserve">Nootrópicos</t>
  </si>
  <si>
    <t xml:space="preserve">Nootrópicos (piracetam, aniracetam, nimodipino, dihidroergocristina) vs inhibidores de colinesterasa</t>
  </si>
  <si>
    <t xml:space="preserve">Estudio retrospectivo en Grecia</t>
  </si>
  <si>
    <t xml:space="preserve">Tsolaki M, Pantazi T, Kazis A. 2001. J Int Med Res</t>
  </si>
  <si>
    <t xml:space="preserve">Retrospectivo longitudinal</t>
  </si>
  <si>
    <t xml:space="preserve">510</t>
  </si>
  <si>
    <t xml:space="preserve">Nootrópicos frente a tacrina o donepezilo</t>
  </si>
  <si>
    <t xml:space="preserve">MMSE, CAMCOG, escala funcional</t>
  </si>
  <si>
    <t xml:space="preserve">Sin diferencia en el total ni en grave. En demencia moderada (MMSE 11-20) mayor deterioro en CAMCOG con inhibidores (-4,38) que con nootrópicos (+1,48). En leve (MMSE 21-26) mayor deterioro en MMSE con nootrópicos. Los autores: sin evidencia fuerte de diferencia</t>
  </si>
  <si>
    <t xml:space="preserve">cita encontrada; cifra coincide. PMID 11277345; DOI 10.1177/147323000102900105 (6 de 6 cifras presentes)</t>
  </si>
  <si>
    <t xml:space="preserve">PMID 11277345; DOI 10.1177/147323000102900105</t>
  </si>
  <si>
    <t xml:space="preserve">https://pubmed.ncbi.nlm.nih.gov/11277345/</t>
  </si>
  <si>
    <t xml:space="preserve">Noopept</t>
  </si>
  <si>
    <t xml:space="preserve">Noopept 10 mg dos veces al día vs piracetam 400 mg tres veces al día</t>
  </si>
  <si>
    <t xml:space="preserve">Nootrópico ruso del Instituto Zakusov</t>
  </si>
  <si>
    <t xml:space="preserve">Neznamov GG, Teleshova ES. 2009. Neurosci Behav Physiol; resumen según la ficha de ADDF</t>
  </si>
  <si>
    <t xml:space="preserve">Abierto, 56 días (según ADDF)</t>
  </si>
  <si>
    <t xml:space="preserve">31 con Noopept (según ADDF)</t>
  </si>
  <si>
    <t xml:space="preserve">Trastornos cognitivos leves de origen vascular y traumático (no Alzheimer)</t>
  </si>
  <si>
    <t xml:space="preserve">56 días</t>
  </si>
  <si>
    <t xml:space="preserve">Noopept 10 mg dos veces al día; piracetam 400 mg tres veces al día</t>
  </si>
  <si>
    <t xml:space="preserve">Ánimo y cognición, MMSE</t>
  </si>
  <si>
    <t xml:space="preserve">Según la ficha de ADDF: ambos mejoraron ánimo y cognición; en Noopept MMSE de 26 a 29. Resumen original sin texto en PubMed</t>
  </si>
  <si>
    <t xml:space="preserve">Según ADDF: alteraciones del sueño 5/31, irritabilidad 3/31, aumento de presión arterial 7/31</t>
  </si>
  <si>
    <t xml:space="preserve">Dosis de la fuente: Noopept 10 mg dos veces al día durante 56 días; en Rusia con receta</t>
  </si>
  <si>
    <t xml:space="preserve">cita encontrada; cifra no comprobable en el resumen. PMID 19234797; DOI 10.1007/s11055-009-9128-4 (título y año 2009 coinciden; sin resumen)</t>
  </si>
  <si>
    <t xml:space="preserve">PMID 19234797; DOI 10.1007/s11055-009-9128-4</t>
  </si>
  <si>
    <t xml:space="preserve">https://pubmed.ncbi.nlm.nih.gov/19234797/</t>
  </si>
  <si>
    <t xml:space="preserve">Piracetam en demencia (Cochrane)</t>
  </si>
  <si>
    <t xml:space="preserve">Revisión sobre el nootrópico más usado</t>
  </si>
  <si>
    <t xml:space="preserve">Flicker L, Grimley Evans J. Cochrane CD001011 (publicado 2001; página consultada con búsqueda 2011)</t>
  </si>
  <si>
    <t xml:space="preserve">Revisión sistemática</t>
  </si>
  <si>
    <t xml:space="preserve">24 estudios, 11.959 participantes</t>
  </si>
  <si>
    <t xml:space="preserve">Demencia o deterioro cognitivo</t>
  </si>
  <si>
    <t xml:space="preserve">Variable</t>
  </si>
  <si>
    <t xml:space="preserve">Impresión clínica global (GIC), cognición</t>
  </si>
  <si>
    <t xml:space="preserve">Solo GIC agrupable (4 estudios): OR 3,43 (IC95 2,32-5,07) a favor de piracetam, con completadores y heterogeneidad significativa (Chi2=19,17; p&lt;0,001); sin diferencias en cognición (incl. MMSE), dependencia ni depresión</t>
  </si>
  <si>
    <t xml:space="preserve">No consta en la página leída</t>
  </si>
  <si>
    <t xml:space="preserve">La empresa que comercializa piracetam no liberó resultados de varios ensayos sin publicar según la página; revisión previa de empleados y consultores de UCB</t>
  </si>
  <si>
    <t xml:space="preserve">página existe. https://www.cochrane.org/evidence/CD001011 (HTTP 200); Cochrane CD001011</t>
  </si>
  <si>
    <t xml:space="preserve">Cochrane CD001011</t>
  </si>
  <si>
    <t xml:space="preserve">https://www.cochrane.org/evidence/CD001011_evidence-efficacy-piracetam-dementia-or-cognitive-impairment-inadequate-clinical-use-sufficient</t>
  </si>
  <si>
    <t xml:space="preserve">Psilocibina 15-25 mg para depresión en deterioro leve o Alzheimer temprano</t>
  </si>
  <si>
    <t xml:space="preserve">Registro del Johns Hopkins</t>
  </si>
  <si>
    <t xml:space="preserve">Johns Hopkins University. Registro ClinicalTrials.gov</t>
  </si>
  <si>
    <t xml:space="preserve">Abierto, fase 1 temprana, sin grupo control</t>
  </si>
  <si>
    <t xml:space="preserve">20 estimados</t>
  </si>
  <si>
    <t xml:space="preserve">Deterioro cognitivo leve o Alzheimer temprano con depresión (18-85 años)</t>
  </si>
  <si>
    <t xml:space="preserve">Hasta septiembre 2027 (estimado)</t>
  </si>
  <si>
    <t xml:space="preserve">15 mg/70 kg en sesión 1; sesión 2 igual o 25 mg/70 kg</t>
  </si>
  <si>
    <t xml:space="preserve">Escala de Cornell de depresión en demencia, 1 semana tras sesión 2</t>
  </si>
  <si>
    <t xml:space="preserve">Sin resultados; hasResults falso; estado: reclutando</t>
  </si>
  <si>
    <t xml:space="preserve">Johns Hopkins University</t>
  </si>
  <si>
    <t xml:space="preserve">cita encontrada; cifra coincide. NCT04123314 (20 estimados, reclutando, sin resultados: coincide con el registro)</t>
  </si>
  <si>
    <t xml:space="preserve">NCT04123314</t>
  </si>
  <si>
    <t xml:space="preserve">https://clinicaltrials.gov/study/NCT04123314</t>
  </si>
  <si>
    <t xml:space="preserve">5-MeO-DMT</t>
  </si>
  <si>
    <t xml:space="preserve">5-MeO-DMT sublingual semanal</t>
  </si>
  <si>
    <t xml:space="preserve">Biomind Labs, empresa colombiana</t>
  </si>
  <si>
    <t xml:space="preserve">Biomind Labs Inc. Registro</t>
  </si>
  <si>
    <t xml:space="preserve">Fase 1/2, aleatorizado, triple ciego, placebo</t>
  </si>
  <si>
    <t xml:space="preserve">20 reales</t>
  </si>
  <si>
    <t xml:space="preserve">Alzheimer leve a moderado con ansiedad y depresión (40-80 años)</t>
  </si>
  <si>
    <t xml:space="preserve">4 semanas de dosis, seguimiento semana 5</t>
  </si>
  <si>
    <t xml:space="preserve">Dosis sublingual de 5-MeO-DMT o placebo una vez por semana</t>
  </si>
  <si>
    <t xml:space="preserve">FAS, PASAT, Digit Span, escalas de ansiedad y depresión, EEG</t>
  </si>
  <si>
    <t xml:space="preserve">Estado: completado (marzo 2025). Sin resultados publicados en el registro (hasResults falso)</t>
  </si>
  <si>
    <t xml:space="preserve">Biomind Labs Inc. (promotor comercial)</t>
  </si>
  <si>
    <t xml:space="preserve">cita encontrada; cifra coincide. NCT06812221 (20, completado 2025-03-15, sin resultados: coincide)</t>
  </si>
  <si>
    <t xml:space="preserve">NCT06812221</t>
  </si>
  <si>
    <t xml:space="preserve">https://clinicaltrials.gov/study/NCT06812221</t>
  </si>
  <si>
    <t xml:space="preserve">Cannabis (sublingual)</t>
  </si>
  <si>
    <t xml:space="preserve">Cannabis sublingual (gotas) 3 veces al día</t>
  </si>
  <si>
    <t xml:space="preserve">Empresa TO Pharmaceuticals, Israel</t>
  </si>
  <si>
    <t xml:space="preserve">TO Pharmaceuticals. Registro</t>
  </si>
  <si>
    <t xml:space="preserve">Fase 2, aleatorizado, triple ciego, placebo</t>
  </si>
  <si>
    <t xml:space="preserve">64 reales</t>
  </si>
  <si>
    <t xml:space="preserve">Demencia con agitación y agresión (60 años o más)</t>
  </si>
  <si>
    <t xml:space="preserve">16 semanas</t>
  </si>
  <si>
    <t xml:space="preserve">Gotas sublinguales de cannabis 3 veces al día</t>
  </si>
  <si>
    <t xml:space="preserve">CMAI semana 16</t>
  </si>
  <si>
    <t xml:space="preserve">Completado en agosto de 2019 sin resultados publicados en el registro (hasResults falso)</t>
  </si>
  <si>
    <t xml:space="preserve">TO Pharmaceuticals (comercial)</t>
  </si>
  <si>
    <t xml:space="preserve">cita encontrada; cifra coincide. NCT03328676 (64, completado 2019-08-18, sin resultados: coincide)</t>
  </si>
  <si>
    <t xml:space="preserve">NCT03328676</t>
  </si>
  <si>
    <t xml:space="preserve">https://clinicaltrials.gov/study/NCT03328676</t>
  </si>
  <si>
    <t xml:space="preserve">Piracetam 9600 y 4800 mg/día durante 12 meses</t>
  </si>
  <si>
    <t xml:space="preserve">UCB Pharma, deterioro cognitivo leve</t>
  </si>
  <si>
    <t xml:space="preserve">UCB Pharma. Registro</t>
  </si>
  <si>
    <t xml:space="preserve">Aleatorizado doble ciego</t>
  </si>
  <si>
    <t xml:space="preserve">676 reales</t>
  </si>
  <si>
    <t xml:space="preserve">Deterioro cognitivo leve (50-89 años)</t>
  </si>
  <si>
    <t xml:space="preserve">52 semanas</t>
  </si>
  <si>
    <t xml:space="preserve">Piracetam 9600 y 4800 mg/día</t>
  </si>
  <si>
    <t xml:space="preserve">Puntuación compuesta de batería cognitiva en 52 semanas</t>
  </si>
  <si>
    <t xml:space="preserve">Completado en enero de 2004; el registro no tiene resultados (hasResults falso); no encontré publicación</t>
  </si>
  <si>
    <t xml:space="preserve">UCB Pharma (fabricante)</t>
  </si>
  <si>
    <t xml:space="preserve">cita encontrada; cifra coincide. NCT00567060 (676, completado 2004-01, sin resultados: coincide)</t>
  </si>
  <si>
    <t xml:space="preserve">NCT00567060</t>
  </si>
  <si>
    <t xml:space="preserve">https://clinicaltrials.gov/study/NCT00567060</t>
  </si>
  <si>
    <t xml:space="preserve">SCI-110</t>
  </si>
  <si>
    <t xml:space="preserve">SCI-110: dronabinol 2,5-12,5 mg/día + palmitoiletanolamida 800 mg/día</t>
  </si>
  <si>
    <t xml:space="preserve">Centro Israelí de Alzheimer</t>
  </si>
  <si>
    <t xml:space="preserve">Israeli Medical Center for Alzheimer's. Registro</t>
  </si>
  <si>
    <t xml:space="preserve">Fase 2, abierto</t>
  </si>
  <si>
    <t xml:space="preserve">Alzheimer con agitación (60-85 años)</t>
  </si>
  <si>
    <t xml:space="preserve">Hasta 64 días</t>
  </si>
  <si>
    <t xml:space="preserve">Inicio 2,5 mg dronabinol + 800 mg PEA; sube 2,5 mg cada 3 días hasta 12,5 mg, dos veces al día</t>
  </si>
  <si>
    <t xml:space="preserve">Abandonos y eventos adversos</t>
  </si>
  <si>
    <t xml:space="preserve">Estado: desconocido, sin resultados</t>
  </si>
  <si>
    <t xml:space="preserve">Centro Israelí de Alzheimer; dronabinol fabricado por Pharmaceutics International</t>
  </si>
  <si>
    <t xml:space="preserve">Dosis de la fuente: ver arriba</t>
  </si>
  <si>
    <t xml:space="preserve">cita encontrada; cifra coincide. NCT05239390 (20 estimados, estado desconocido, sin resultados: coincide)</t>
  </si>
  <si>
    <t xml:space="preserve">NCT05239390</t>
  </si>
  <si>
    <t xml:space="preserve">https://clinicaltrials.gov/study/NCT05239390</t>
  </si>
  <si>
    <t xml:space="preserve">Psilocibina 25 mg x2 con entrenamiento cognitivo</t>
  </si>
  <si>
    <t xml:space="preserve">Instituto Nacional del Envejecimiento (NIA)</t>
  </si>
  <si>
    <t xml:space="preserve">National Institute on Aging. Registro</t>
  </si>
  <si>
    <t xml:space="preserve">Fase 2, aleatorizado</t>
  </si>
  <si>
    <t xml:space="preserve">200 estimados</t>
  </si>
  <si>
    <t xml:space="preserve">Mayores de 65 con deterioro leve o Alzheimer temprano, y sanos</t>
  </si>
  <si>
    <t xml:space="preserve">Entrenamiento diario 4 semanas; hasta 2030</t>
  </si>
  <si>
    <t xml:space="preserve">Psilocibina 25 mg oral x2 con 2 semanas de diferencia más entrenamiento cognitivo</t>
  </si>
  <si>
    <t xml:space="preserve">Puntuación compuesta de neuroplasticidad a 4 semanas</t>
  </si>
  <si>
    <t xml:space="preserve">En reclutamiento; sin resultados</t>
  </si>
  <si>
    <t xml:space="preserve">NIA (público)</t>
  </si>
  <si>
    <t xml:space="preserve">cita encontrada; cifra coincide. NCT07721467 (200 estimados, reclutando, fin 2030-12-31: coincide)</t>
  </si>
  <si>
    <t xml:space="preserve">NCT07721467</t>
  </si>
  <si>
    <t xml:space="preserve">https://clinicaltrials.gov/study/NCT07721467</t>
  </si>
  <si>
    <t xml:space="preserve">THC 0,75 y 1,5 mg dos veces al día (Delta-THC)</t>
  </si>
  <si>
    <t xml:space="preserve">Radboud, Países Bajos</t>
  </si>
  <si>
    <t xml:space="preserve">Radboud University Medical Center. Registro</t>
  </si>
  <si>
    <t xml:space="preserve">Fase 2, aleatorizado cuádruple ciego, con extensión abierta de 6 meses</t>
  </si>
  <si>
    <t xml:space="preserve">22 reales</t>
  </si>
  <si>
    <t xml:space="preserve">Demencia con síntomas neuropsiquiátricos</t>
  </si>
  <si>
    <t xml:space="preserve">Bloques de 3 días; extensión 6 meses</t>
  </si>
  <si>
    <t xml:space="preserve">THC en comprimidos 0,75 mg y luego 1,5 mg dos veces al día</t>
  </si>
  <si>
    <t xml:space="preserve">Completado en 2013; sin resultados en el registro (hasResults falso)</t>
  </si>
  <si>
    <t xml:space="preserve">Radboud University Medical Center</t>
  </si>
  <si>
    <t xml:space="preserve">cita encontrada; cifra coincide. NCT01302340 (22, completado 2013-12, sin resultados: coincide)</t>
  </si>
  <si>
    <t xml:space="preserve">NCT01302340</t>
  </si>
  <si>
    <t xml:space="preserve">https://clinicaltrials.gov/study/NCT01302340</t>
  </si>
  <si>
    <t xml:space="preserve">Nabilona en demencia frontotemporal</t>
  </si>
  <si>
    <t xml:space="preserve">Sunnybrook/Ducharme</t>
  </si>
  <si>
    <t xml:space="preserve">Simon Ducharme. Registro</t>
  </si>
  <si>
    <t xml:space="preserve">Fase 2 aleatorizado</t>
  </si>
  <si>
    <t xml:space="preserve">3 aleatorizados</t>
  </si>
  <si>
    <t xml:space="preserve">Demencia frontotemporal con agitación</t>
  </si>
  <si>
    <t xml:space="preserve">6 semanas previstas</t>
  </si>
  <si>
    <t xml:space="preserve">Nabilona oral vs placebo</t>
  </si>
  <si>
    <t xml:space="preserve">CMAI</t>
  </si>
  <si>
    <t xml:space="preserve">Terminado por reclutamiento lento: solo 3 en 2 años, financiación agotada; sin resultados</t>
  </si>
  <si>
    <t xml:space="preserve">Sin problemas de seguridad según el registro</t>
  </si>
  <si>
    <t xml:space="preserve">cita encontrada; cifra coincide. NCT05742698 (3 inscritos, terminado, sin resultados: coincide)</t>
  </si>
  <si>
    <t xml:space="preserve">NCT05742698</t>
  </si>
  <si>
    <t xml:space="preserve">https://clinicaltrials.gov/study/NCT05742698</t>
  </si>
  <si>
    <t xml:space="preserve">CBD:THC 50 mg:5 mg (0,2 ml)</t>
  </si>
  <si>
    <t xml:space="preserve">Universidad Federal de Integración Latinoamericana, Brasil</t>
  </si>
  <si>
    <t xml:space="preserve">Federal University of Latin American Integration. Registro</t>
  </si>
  <si>
    <t xml:space="preserve">Fase 2, aleatorizado, triple ciego, placebo MCT</t>
  </si>
  <si>
    <t xml:space="preserve">72 reales</t>
  </si>
  <si>
    <t xml:space="preserve">Alzheimer leve y moderado, 60 años o más</t>
  </si>
  <si>
    <t xml:space="preserve">180 días con evaluaciones cada 60 días</t>
  </si>
  <si>
    <t xml:space="preserve">0,2 ml de CBD:THC (50 mg:5 mg)</t>
  </si>
  <si>
    <t xml:space="preserve">MMSE; Cornell; GDS</t>
  </si>
  <si>
    <t xml:space="preserve">Completado marzo 2025; sin resultados publicados en el registro</t>
  </si>
  <si>
    <t xml:space="preserve">Universidad pública brasileña</t>
  </si>
  <si>
    <t xml:space="preserve">cita encontrada; cifra coincide. NCT06570928 (72, completado 2025-03-27, sin resultados: coincide)</t>
  </si>
  <si>
    <t xml:space="preserve">NCT06570928</t>
  </si>
  <si>
    <t xml:space="preserve">https://clinicaltrials.gov/study/NCT06570928</t>
  </si>
  <si>
    <t xml:space="preserve">Dronabinol 2,5 mg en dos pacientes con demencia</t>
  </si>
  <si>
    <t xml:space="preserve">Caso suizo, Zúrich</t>
  </si>
  <si>
    <t xml:space="preserve">Walther S, Schüpbach B, ... Strik W. 2011. J Clin Psychopharmacol</t>
  </si>
  <si>
    <t xml:space="preserve">Cruzado aleatorizado en 2 pacientes</t>
  </si>
  <si>
    <t xml:space="preserve">2</t>
  </si>
  <si>
    <t xml:space="preserve">Demencia con agitación</t>
  </si>
  <si>
    <t xml:space="preserve">Dronabinol 2,5 mg</t>
  </si>
  <si>
    <t xml:space="preserve">Agitación</t>
  </si>
  <si>
    <t xml:space="preserve">Resumen sin texto en PubMed; no leí cifras</t>
  </si>
  <si>
    <t xml:space="preserve">cita encontrada; cifra no comprobable en el resumen. PMID 21364345; DOI 10.1097/JCP.0b013e31820e861c (título y año 2011 coinciden; sin resumen)</t>
  </si>
  <si>
    <t xml:space="preserve">PMID 21364345; DOI 10.1097/JCP.0b013e31820e861c</t>
  </si>
  <si>
    <t xml:space="preserve">https://pubmed.ncbi.nlm.nih.gov/21364345/</t>
  </si>
  <si>
    <t xml:space="preserve">Stack de Stamets</t>
  </si>
  <si>
    <t xml:space="preserve">Stack de Stamets: microdosis de psilocibina + melena de león + niacina</t>
  </si>
  <si>
    <t xml:space="preserve">Paul Stamets, micólogo; divulgación comercial</t>
  </si>
  <si>
    <t xml:space="preserve">Varios: Healing Maps, North Spore, mckenna.academy; patente Stamets (Justia)</t>
  </si>
  <si>
    <t xml:space="preserve">libro o web</t>
  </si>
  <si>
    <t xml:space="preserve">Fuentes secundarias de divulgación; sin ensayo clínico</t>
  </si>
  <si>
    <t xml:space="preserve">Alzheimer en el discurso de Stamets; evidencia en ratones</t>
  </si>
  <si>
    <t xml:space="preserve">Microdosis de psilocibina, hongo Hericium (hericenonas y erinacinas) y ácido nicotínico; sin dosis concreta verificada</t>
  </si>
  <si>
    <t xml:space="preserve">Neurogénesis y cognición</t>
  </si>
  <si>
    <t xml:space="preserve">Estas webs dicen que los datos de neurogénesis con dosis bajas de psilocibina son de ratones y que no hay ensayo humano con esta combinación. Stamets ha solicitado patentes sobre la combinación; una solicitud listada en Justia es 20240285609 (abril 2024)</t>
  </si>
  <si>
    <t xml:space="preserve">Webs comerciales y de venta; Stamets es solicitante de patentes</t>
  </si>
  <si>
    <t xml:space="preserve">página no accesible. https://patents.justia.com/inventor/paul-edward-stamets (HTTP 403 desde el entorno; no se pudo confirmar la solicitud 20240285609)</t>
  </si>
  <si>
    <t xml:space="preserve">Justia: publicación 20240285609</t>
  </si>
  <si>
    <t xml:space="preserve">https://patents.justia.com/inventor/paul-edward-stamets</t>
  </si>
  <si>
    <t xml:space="preserve">Melena de león</t>
  </si>
  <si>
    <t xml:space="preserve">Melena de león (polvo) para madre con demencia</t>
  </si>
  <si>
    <t xml:space="preserve">Testimonio de cuidadora</t>
  </si>
  <si>
    <t xml:space="preserve">Foro de cuidadores caregivers.com, hilo 'any experience with lions mane'</t>
  </si>
  <si>
    <t xml:space="preserve">foro o testimonio</t>
  </si>
  <si>
    <t xml:space="preserve">Testimonio</t>
  </si>
  <si>
    <t xml:space="preserve">Madre de 81 años con demencia, ya con dos fármacos para la memoria</t>
  </si>
  <si>
    <t xml:space="preserve">Polvo de melena de león; dosis no consta</t>
  </si>
  <si>
    <t xml:space="preserve">Sin medición</t>
  </si>
  <si>
    <t xml:space="preserve">Respuestas en el hilo avisan de posibles interacciones con medicamentos y piden informar al médico y al farmacéutico; sin resultado cuantificado</t>
  </si>
  <si>
    <t xml:space="preserve">Foro</t>
  </si>
  <si>
    <t xml:space="preserve">página existe. https://portal.prod.caregivers.com/questions/any-experience-with-lions-mane-460809.htm (HTTP 200; habla de melena de león)</t>
  </si>
  <si>
    <t xml:space="preserve">URL</t>
  </si>
  <si>
    <t xml:space="preserve">https://portal.prod.caregivers.com/questions/any-experience-with-lions-mane-460809.htm</t>
  </si>
  <si>
    <t xml:space="preserve">nicotina_colinergicos</t>
  </si>
  <si>
    <t xml:space="preserve">Nicotina (parche)</t>
  </si>
  <si>
    <t xml:space="preserve">Nicotina en parche</t>
  </si>
  <si>
    <t xml:space="preserve">Colinérgico/nicotínico, ensayo Newhouse</t>
  </si>
  <si>
    <t xml:space="preserve">Newhouse P, Kellar K, Aisen P y col. 2012, Neurology</t>
  </si>
  <si>
    <t xml:space="preserve">doble ciego, placebo, 6 meses</t>
  </si>
  <si>
    <t xml:space="preserve">74 (39 nicotina, 35 placebo; 67 completaron)</t>
  </si>
  <si>
    <t xml:space="preserve">Deterioro cognitivo leve amnésico, no fumadores</t>
  </si>
  <si>
    <t xml:space="preserve">15 mg/día en parche</t>
  </si>
  <si>
    <t xml:space="preserve">Atención (Conners CPT, primaria), impresión clínica global, pruebas cognitivas computarizadas, valoraciones paciente/informante</t>
  </si>
  <si>
    <t xml:space="preserve">CPT: mejora significativa inducida por nicotina. Sin efecto significativo en mejoría global valorada por clínico. Secundarias: mejoras significativas en atención, memoria y velocidad psicomotora; mejoras en valoraciones de paciente/informante. 'Seguridad y tolerabilidad excelentes'.</t>
  </si>
  <si>
    <t xml:space="preserve">Seguridad y tolerabilidad descritas como excelentes (sin cifras en el resumen)</t>
  </si>
  <si>
    <t xml:space="preserve">Subvenciones NIA R01AG22462 y NCRR M01 RR00109. Conflictos: no consta en el resumen consultado</t>
  </si>
  <si>
    <t xml:space="preserve">Dosis del ensayo: 15 mg/día durante 6 meses en parche; (Gold 2012, PMID 22665146, carta de réplica a este trabajo, no leída)</t>
  </si>
  <si>
    <t xml:space="preserve">Parche de nicotina de venta en farmacia (coste no verificado)</t>
  </si>
  <si>
    <t xml:space="preserve">cita encontrada; cifra no comprobable en el resumen (PMID 22232050; el resultado no lleva cifras)</t>
  </si>
  <si>
    <t xml:space="preserve">PMID 22232050; DOI 10.1212/WNL.0b013e31823efcbb</t>
  </si>
  <si>
    <t xml:space="preserve">https://pubmed.ncbi.nlm.nih.gov/22232050/</t>
  </si>
  <si>
    <t xml:space="preserve">Nicotina en parche, 21 mg, hasta 24 meses (estudio MIND)</t>
  </si>
  <si>
    <t xml:space="preserve">Newhouse P y col., MIND, Univ. Southern California/Vanderbilt/ATRI, resultados publicados en CT.gov 17-sep-2026</t>
  </si>
  <si>
    <t xml:space="preserve">fase 2, aleatorizado, cuádruple ciego, paralelo</t>
  </si>
  <si>
    <t xml:space="preserve">348 aleatorizados</t>
  </si>
  <si>
    <t xml:space="preserve">Deterioro cognitivo leve con queja subjetiva de memoria</t>
  </si>
  <si>
    <t xml:space="preserve">Hasta 24 meses (inicio feb-2017, fin sep-2025)</t>
  </si>
  <si>
    <t xml:space="preserve">Parche 3,5 mg subiendo a 21 mg en 5 semanas, mantenido hasta mes 24, retirada en 3 semanas; llevado en horas de vigilia</t>
  </si>
  <si>
    <t xml:space="preserve">Primaria: Cogstate International Shopping List Test - recuerdo inmediato total (0-36). Secundarias: MCI-CGIC, recuerdo diferido, tareas Cogstate, CPT</t>
  </si>
  <si>
    <t xml:space="preserve">Primaria: medias 16,95 (nicotina) vs 16,59 (placebo) y 17,59 vs 17,47 en dos puntos; diferencia de medias 0,367 (IC -0,783 a 1,516; p=0,530) y 0,117 (IC -1,273 a 1,507; p=0,868). MCI-CGIC OR 0,59 (IC 0,27-1,29; p=0,187). Recuerdo diferido: diferencia 0,155 (IC -0,45 a 0,74). Otras tareas Cogstate: diferencias de medias entre -0,015 y 0,036 con IC que incluyen 0. CPT RT-SE: diferencia -0,545 (IC -1,474 a 0,383).</t>
  </si>
  <si>
    <t xml:space="preserve">Eventos graves: 27 de 171 (nicotina) vs 24 de 176 (placebo); otros eventos (umbral 3%): 140 vs 131 participantes</t>
  </si>
  <si>
    <t xml:space="preserve">Patrocinador USC; colaboradores NIA, Vanderbilt, ATRI. Acuerdo: el investigador principal es empleado del patrocinador. Resultados enviados 21-ago-2026.</t>
  </si>
  <si>
    <t xml:space="preserve">Mismo protocolo de dosis solo como descripción del ensayo; no hay protocolo doméstico en la fuente</t>
  </si>
  <si>
    <t xml:space="preserve">cita encontrada; cifra coincide (NCT02720445; medias 16,95/16,59, diferencias 0,367 y 0,117 con IC y p, OR 0,59 y n=348 en resultados de CT.gov)</t>
  </si>
  <si>
    <t xml:space="preserve">NCT02720445</t>
  </si>
  <si>
    <t xml:space="preserve">https://clinicaltrials.gov/study/NCT02720445</t>
  </si>
  <si>
    <t xml:space="preserve">Nicotina en parche, MCI (ensayo NIA)</t>
  </si>
  <si>
    <t xml:space="preserve">Colinérgico/nicotínico</t>
  </si>
  <si>
    <t xml:space="preserve">NIA, 'Nicotine Treatment of Mild Cognitive Impairment (MCI)', registro CT.gov</t>
  </si>
  <si>
    <t xml:space="preserve">aleatorizado</t>
  </si>
  <si>
    <t xml:space="preserve">75 (estimado)</t>
  </si>
  <si>
    <t xml:space="preserve">Deterioro cognitivo leve</t>
  </si>
  <si>
    <t xml:space="preserve">no consta en el registro consultado</t>
  </si>
  <si>
    <t xml:space="preserve">Estado UNKNOWN; sin resultados registrados en CT.gov (hasResults=false). Es el registro NIH de un ensayo de Newhouse; la publicación Neurology 2012 describe un ensayo de 74 sujetos.</t>
  </si>
  <si>
    <t xml:space="preserve">Patrocinador NIA</t>
  </si>
  <si>
    <t xml:space="preserve">cita encontrada; cifra coincide (NCT00091468; n=75 estimado, estado UNKNOWN, sin resultados)</t>
  </si>
  <si>
    <t xml:space="preserve">NCT00091468</t>
  </si>
  <si>
    <t xml:space="preserve">https://clinicaltrials.gov/study/NCT00091468</t>
  </si>
  <si>
    <t xml:space="preserve">Nicotina en parche, 5-10 mg/día</t>
  </si>
  <si>
    <t xml:space="preserve">Colinérgico/nicotínico, ensayo clásico</t>
  </si>
  <si>
    <t xml:space="preserve">White HK, Levin ED 1999, Psychopharmacology</t>
  </si>
  <si>
    <t xml:space="preserve">doble ciego, placebo, cruzado (2 periodos de 4 semanas, lavado 2 semanas)</t>
  </si>
  <si>
    <t xml:space="preserve">8</t>
  </si>
  <si>
    <t xml:space="preserve">Alzheimer leve-moderado</t>
  </si>
  <si>
    <t xml:space="preserve">4 semanas por periodo</t>
  </si>
  <si>
    <t xml:space="preserve">Parche Nicotrol 16 h/día: 5 mg/día semana 1, 10 mg/día semanas 2-3, 5 mg/día semana 4</t>
  </si>
  <si>
    <t xml:space="preserve">Atención (CPT de Conners), pruebas motoras y de memoria</t>
  </si>
  <si>
    <t xml:space="preserve">Mejora significativa del rendimiento en CPT con reducción significativa de errores de omisión y de la variabilidad del tiempo de reacción. Sin mejoría en pruebas motoras ni de memoria.</t>
  </si>
  <si>
    <t xml:space="preserve">Financiación: no consta en el resumen consultado</t>
  </si>
  <si>
    <t xml:space="preserve">cita encontrada; cifra no comprobable en el resumen (PMID 10326778; el resultado no lleva cifras)</t>
  </si>
  <si>
    <t xml:space="preserve">PMID 10326778; DOI 10.1007/s002130050931</t>
  </si>
  <si>
    <t xml:space="preserve">https://pubmed.ncbi.nlm.nih.gov/10326778/</t>
  </si>
  <si>
    <t xml:space="preserve">Nicotina en parche, hasta 21 mg/24 h</t>
  </si>
  <si>
    <t xml:space="preserve">Snaedal J y col. 1996, Dementia</t>
  </si>
  <si>
    <t xml:space="preserve">doble ciego, placebo, cruzado (2x4 semanas, lavado 2 semanas)</t>
  </si>
  <si>
    <t xml:space="preserve">18</t>
  </si>
  <si>
    <t xml:space="preserve">Alzheimer probable leve-moderado (MMSE 20,3 +/- 4,6)</t>
  </si>
  <si>
    <t xml:space="preserve">Parche dérmico, mayoría toleró 21 mg/24 h, algunos 14 mg/24 h</t>
  </si>
  <si>
    <t xml:space="preserve">Memoria a corto plazo, fluidez verbal, atención, velocidad psicomotora, nicotina en sangre</t>
  </si>
  <si>
    <t xml:space="preserve">La memoria a corto plazo mejoró significativamente a las 4 semanas tanto con nicotina como con placebo (p&lt;0,05/p&lt;0,01). Los autores concluyen que los resultados no indican que la nicotina en parche tenga significación en el tratamiento de los déficits de memoria.</t>
  </si>
  <si>
    <t xml:space="preserve">cita encontrada; cifra coincide (PMID 8788082; p&lt;0,05 y p&lt;0,01 en el resumen)</t>
  </si>
  <si>
    <t xml:space="preserve">PMID 8788082; DOI 10.1159/000106852</t>
  </si>
  <si>
    <t xml:space="preserve">https://pubmed.ncbi.nlm.nih.gov/8788082/</t>
  </si>
  <si>
    <t xml:space="preserve">Nicotina en parche, 7 días</t>
  </si>
  <si>
    <t xml:space="preserve">Wilson AL y col. 1995, Pharmacol Biochem Behav</t>
  </si>
  <si>
    <t xml:space="preserve">doble ciego, placebo (7 d placebo, 8 d nicotina, 7 d lavado)</t>
  </si>
  <si>
    <t xml:space="preserve">6</t>
  </si>
  <si>
    <t xml:space="preserve">22 días</t>
  </si>
  <si>
    <t xml:space="preserve">Parche de nicotina sostenida (dosis no indicada en el resumen)</t>
  </si>
  <si>
    <t xml:space="preserve">Aprendizaje, memoria, conducta, cognición global, actividad, frecuencia cardiaca</t>
  </si>
  <si>
    <t xml:space="preserve">Mejora del aprendizaje durante nicotina que persistió en el lavado. Memoria, conducta y cognición global sin efecto significativo. Sueño con descenso significativo.</t>
  </si>
  <si>
    <t xml:space="preserve">Descenso significativo del sueño; administración 'parece segura'</t>
  </si>
  <si>
    <t xml:space="preserve">Subvención NIA T32 AG00198</t>
  </si>
  <si>
    <t xml:space="preserve">cita encontrada; cifra no comprobable en el resumen (PMID 7667377; el resultado no lleva cifras)</t>
  </si>
  <si>
    <t xml:space="preserve">PMID 7667377; DOI 10.1016/0091-3057(95)00043-V</t>
  </si>
  <si>
    <t xml:space="preserve">https://pubmed.ncbi.nlm.nih.gov/7667377/</t>
  </si>
  <si>
    <t xml:space="preserve">Nicotina (administración aguda)</t>
  </si>
  <si>
    <t xml:space="preserve">Sahakian B, Jones G, Levy R y col. 1989, Br J Psychiatry</t>
  </si>
  <si>
    <t xml:space="preserve">estudio experimental en pacientes con Alzheimer (diseño exacto no en el resumen)</t>
  </si>
  <si>
    <t xml:space="preserve">Demencia tipo Alzheimer</t>
  </si>
  <si>
    <t xml:space="preserve">agudo</t>
  </si>
  <si>
    <t xml:space="preserve">Atención y procesamiento de información computarizados, fusión crítica de parpadeo</t>
  </si>
  <si>
    <t xml:space="preserve">Mejora 'significativa y marcada' en sensibilidad discriminativa y tiempos de reacción; mejora en detección de luz parpadeante.</t>
  </si>
  <si>
    <t xml:space="preserve">cita encontrada; cifra no comprobable en el resumen (PMID 2597885; el resultado no lleva cifras)</t>
  </si>
  <si>
    <t xml:space="preserve">PMID 2597885; DOI 10.1192/bjp.154.6.797</t>
  </si>
  <si>
    <t xml:space="preserve">https://pubmed.ncbi.nlm.nih.gov/2597885/</t>
  </si>
  <si>
    <t xml:space="preserve">Nicotina en parche, síndrome de Down con declive cognitivo</t>
  </si>
  <si>
    <t xml:space="preserve">Newhouse P y col., Vanderbilt, resultados CT.gov 2022</t>
  </si>
  <si>
    <t xml:space="preserve">fase 1-2, abierto, un solo grupo</t>
  </si>
  <si>
    <t xml:space="preserve">7</t>
  </si>
  <si>
    <t xml:space="preserve">Síndrome de Down con declive cognitivo relacionado con la edad</t>
  </si>
  <si>
    <t xml:space="preserve">28 días de tratamiento, seguimiento a 42 días</t>
  </si>
  <si>
    <t xml:space="preserve">Parche 7 mg (titulado de 2 a 16 h/día en 7 días), algunos subieron a 14 mg</t>
  </si>
  <si>
    <t xml:space="preserve">Tolerabilidad (primaria) y tiempo de reacción simple, CPT, recuerdo selectivo de Buschke</t>
  </si>
  <si>
    <t xml:space="preserve">Tiempo de respuesta simple: 760,08 / 737,13 / 695,52 / 772,79 ms en 4 puntos. Buschke: 33,75 / 41,5 / 54,5 / 45,5 palabras. CPT T-score: 47,82 / 49,23 / 43 / 42,95.</t>
  </si>
  <si>
    <t xml:space="preserve">5 de 7 participantes con otros eventos adversos; 0 graves</t>
  </si>
  <si>
    <t xml:space="preserve">Patrocinador Vanderbilt (investigador es empleado del patrocinador)</t>
  </si>
  <si>
    <t xml:space="preserve">cita encontrada; cifra coincide (NCT01778946; 760,08 ms, Buschke 33,75 y CPT 47,82 en resultados de CT.gov; n=7)</t>
  </si>
  <si>
    <t xml:space="preserve">NCT01778946</t>
  </si>
  <si>
    <t xml:space="preserve">https://clinicaltrials.gov/study/NCT01778946</t>
  </si>
  <si>
    <t xml:space="preserve">Nicotina (dosis baja)</t>
  </si>
  <si>
    <t xml:space="preserve">Nicotina en dosis baja</t>
  </si>
  <si>
    <t xml:space="preserve">Irán, preprint</t>
  </si>
  <si>
    <t xml:space="preserve">Samnia Z, Yousefi Z, Mahdavi A y col. 2022, Research Square (preprint)</t>
  </si>
  <si>
    <t xml:space="preserve">otro</t>
  </si>
  <si>
    <t xml:space="preserve">cuasi-experimental con grupo control, asignación aleatoria</t>
  </si>
  <si>
    <t xml:space="preserve">50 hombres</t>
  </si>
  <si>
    <t xml:space="preserve">Deterioro cognitivo leve (clínicas de neurología de Tabriz)</t>
  </si>
  <si>
    <t xml:space="preserve">dosis baja (no especificada en el resumen)</t>
  </si>
  <si>
    <t xml:space="preserve">Memoria de trabajo (Wechsler) y emoción positiva (PANAS)</t>
  </si>
  <si>
    <t xml:space="preserve">Tras la intervención, memoria de trabajo y emoción positiva significativamente mayores en el grupo experimental (P&lt;0,05); sin diferencia previa.</t>
  </si>
  <si>
    <t xml:space="preserve">Preprint sin revisión por pares en el momento del registro. Financiación: no consta</t>
  </si>
  <si>
    <t xml:space="preserve">cita encontrada; cifra coincide (DOI 10.21203/rs.3.rs-1954093/v1; p&lt;0,05 en el resumen)</t>
  </si>
  <si>
    <t xml:space="preserve">DOI 10.21203/rs.3.rs-1954093/v1 (Europe PMC PPR541622)</t>
  </si>
  <si>
    <t xml:space="preserve">https://doi.org/10.21203/rs.3.rs-1954093/v1</t>
  </si>
  <si>
    <t xml:space="preserve">Tabaquismo (paradoja fumadores)</t>
  </si>
  <si>
    <t xml:space="preserve">Epidemiología pro-nicotina</t>
  </si>
  <si>
    <t xml:space="preserve">Lee PN 1994, Dementia</t>
  </si>
  <si>
    <t xml:space="preserve">revisión de 19 estudios caso-control</t>
  </si>
  <si>
    <t xml:space="preserve">19 estudios</t>
  </si>
  <si>
    <t xml:space="preserve">Alzheimer y fumadores</t>
  </si>
  <si>
    <t xml:space="preserve">n/a</t>
  </si>
  <si>
    <t xml:space="preserve">fumador alguna vez vs nunca</t>
  </si>
  <si>
    <t xml:space="preserve">Riesgo relativo de Alzheimer</t>
  </si>
  <si>
    <t xml:space="preserve">RR 0,64 (IC 95% 0,54-0,76; p&lt;0,001); 0,60 (IC 0,46-0,78) en estudios sin fallos de diseño. El autor descarta un estudio prospectivo positivo por fiabilidad del diagnóstico por certificados de defunción.</t>
  </si>
  <si>
    <t xml:space="preserve">Financiación: no consta en el resumen. Cataldo 2010 (fila siguiente) examina la afiliación tabacalera de estudios de esta literatura.</t>
  </si>
  <si>
    <t xml:space="preserve">cita encontrada; cifra coincide (PMID 8090255; RR 0,64 con IC, 0,60 en estudios sin fallos, p&lt;0,001)</t>
  </si>
  <si>
    <t xml:space="preserve">PMID 8090255; DOI 10.1159/000110372</t>
  </si>
  <si>
    <t xml:space="preserve">https://pubmed.ncbi.nlm.nih.gov/8090255/</t>
  </si>
  <si>
    <t xml:space="preserve">Brenner DE y col. 1993, Neurology</t>
  </si>
  <si>
    <t xml:space="preserve">caso-control poblacional</t>
  </si>
  <si>
    <t xml:space="preserve">152 casos, 180 controles</t>
  </si>
  <si>
    <t xml:space="preserve">haber fumado alguna vez</t>
  </si>
  <si>
    <t xml:space="preserve">Odds ratio de Alzheimer</t>
  </si>
  <si>
    <t xml:space="preserve">OR ajustado 0,61 (IC 0,37-0,99); mayor reducción en quienes fumaron menos; los autores dicen que no sugiere usar el tabaco como prevención.</t>
  </si>
  <si>
    <t xml:space="preserve">cita encontrada; cifra coincide (PMID 8437692; OR 0,61, IC 0,37-0,99)</t>
  </si>
  <si>
    <t xml:space="preserve">PMID 8437692; DOI 10.1212/WNL.43.2.293</t>
  </si>
  <si>
    <t xml:space="preserve">https://pubmed.ncbi.nlm.nih.gov/8437692/</t>
  </si>
  <si>
    <t xml:space="preserve">Tabaquismo y afiliación a la industria tabacalera</t>
  </si>
  <si>
    <t xml:space="preserve">Seguir el dinero</t>
  </si>
  <si>
    <t xml:space="preserve">Cataldo JK, Prochaska JJ, Glantz SA 2010, J Alzheimers Dis</t>
  </si>
  <si>
    <t xml:space="preserve">metaanálisis de 43 estudios, controlando afiliación tabacalera de autores</t>
  </si>
  <si>
    <t xml:space="preserve">43 estudios (11 con autores afiliados a tabacaleras)</t>
  </si>
  <si>
    <t xml:space="preserve">fumar vs no</t>
  </si>
  <si>
    <t xml:space="preserve">OR/RR de Alzheimer según afiliación</t>
  </si>
  <si>
    <t xml:space="preserve">Caso-control sin afiliación (18): OR 0,91 (0,75-1,10). Caso-control con afiliación (8): OR 0,86 (0,75-0,98). Cohortes sin afiliación (14): RR 1,45 (1,16-1,80). Cohortes con afiliación (3): RR 0,60 (0,27-1,32). Regresión: estudios con autores afiliados, -0,37 +/- 0,13 (P=0,008).</t>
  </si>
  <si>
    <t xml:space="preserve">Financiación: no consta en el resumen</t>
  </si>
  <si>
    <t xml:space="preserve">cita encontrada; cifra coincide (PMID 20110594; 0,91; 0,86; 1,45; 0,60; regresion -0,37 y P=0,008)</t>
  </si>
  <si>
    <t xml:space="preserve">PMID 20110594; DOI 10.3233/JAD-2010-1240</t>
  </si>
  <si>
    <t xml:space="preserve">https://pubmed.ncbi.nlm.nih.gov/20110594/</t>
  </si>
  <si>
    <t xml:space="preserve">Tabaquismo (fumador actual)</t>
  </si>
  <si>
    <t xml:space="preserve">Epidemiología, riesgo</t>
  </si>
  <si>
    <t xml:space="preserve">Reitz C y col. 2007, Neurology (Rotterdam)</t>
  </si>
  <si>
    <t xml:space="preserve">cohorte prospectiva</t>
  </si>
  <si>
    <t xml:space="preserve">6.868</t>
  </si>
  <si>
    <t xml:space="preserve">General &gt;=55 años sin demencia</t>
  </si>
  <si>
    <t xml:space="preserve">7,1 años de media</t>
  </si>
  <si>
    <t xml:space="preserve">fumador actual vs nunca</t>
  </si>
  <si>
    <t xml:space="preserve">Demencia, Alzheimer</t>
  </si>
  <si>
    <t xml:space="preserve">Fumador actual: demencia HR 1,47 (1,18-1,86); Alzheimer HR 1,56 (1,21-2,02); aumento restringido a personas sin APOE e4; sin asociación en ex fumadores.</t>
  </si>
  <si>
    <t xml:space="preserve">cita encontrada; cifra coincide (PMID 17785668; HR 1,47 y 1,56)</t>
  </si>
  <si>
    <t xml:space="preserve">PMID 17785668; DOI 10.1212/01.wnl.0000271395.29695.9a</t>
  </si>
  <si>
    <t xml:space="preserve">https://pubmed.ncbi.nlm.nih.gov/17785668/</t>
  </si>
  <si>
    <t xml:space="preserve">Tabaquismo intenso en edad media</t>
  </si>
  <si>
    <t xml:space="preserve">Rusanen M y col. 2011, Arch Intern Med</t>
  </si>
  <si>
    <t xml:space="preserve">cohorte prospectiva, 23 años</t>
  </si>
  <si>
    <t xml:space="preserve">21.123</t>
  </si>
  <si>
    <t xml:space="preserve">General (sistema sanitario multiétnico)</t>
  </si>
  <si>
    <t xml:space="preserve">23 años de media</t>
  </si>
  <si>
    <t xml:space="preserve">más de 2 paquetes/día en la mediana edad</t>
  </si>
  <si>
    <t xml:space="preserve">Demencia, Alzheimer, vascular</t>
  </si>
  <si>
    <t xml:space="preserve">Más de 2 paquetes/día: demencia HR 2,14 (1,65-2,78); Alzheimer HR 2,57 (1,63-4,03); demencia vascular HR 2,72 (1,20-6,18).</t>
  </si>
  <si>
    <t xml:space="preserve">cita encontrada; cifra coincide (PMID 20975015; HR 2,14, 2,57 y 2,72)</t>
  </si>
  <si>
    <t xml:space="preserve">PMID 20975015; DOI 10.1001/archinternmed.2010.393</t>
  </si>
  <si>
    <t xml:space="preserve">https://pubmed.ncbi.nlm.nih.gov/20975015/</t>
  </si>
  <si>
    <t xml:space="preserve">Nicotina (agua de bebida)</t>
  </si>
  <si>
    <t xml:space="preserve">Nicotina crónica en agua de bebida</t>
  </si>
  <si>
    <t xml:space="preserve">Animal</t>
  </si>
  <si>
    <t xml:space="preserve">Sabbagh MN y col. 2008, Neurosci Lett</t>
  </si>
  <si>
    <t xml:space="preserve">ratones transgénicos J20 (APP Sw/Ind)</t>
  </si>
  <si>
    <t xml:space="preserve">20 semanas</t>
  </si>
  <si>
    <t xml:space="preserve">nicotina en agua de bebida</t>
  </si>
  <si>
    <t xml:space="preserve">Aβ40/42 en hipocampo y corteza, actividad nAChR, GFAP, sinaptofisina</t>
  </si>
  <si>
    <t xml:space="preserve">Sin efecto significativo en Aβ total 40 o 42. Aumento de actividad de receptores nicotínicos; reducción de GFAP cortical; sin efecto en sinaptofisina.</t>
  </si>
  <si>
    <t xml:space="preserve">cita encontrada; cifra no comprobable en el resumen (PMID 18926877; sin cifras de resultado, 40 y 42 son nombres de Abeta)</t>
  </si>
  <si>
    <t xml:space="preserve">PMID 18926877; DOI 10.1016/j.neulet.2008.10.004</t>
  </si>
  <si>
    <t xml:space="preserve">https://pubmed.ncbi.nlm.nih.gov/18926877/</t>
  </si>
  <si>
    <t xml:space="preserve">Agonistas nicotínicos (revisión)</t>
  </si>
  <si>
    <t xml:space="preserve">Agonistas nicotínicos (15 fármacos, 39 ensayos)</t>
  </si>
  <si>
    <t xml:space="preserve">Agonistas nicotínicos, ensayos abandonados</t>
  </si>
  <si>
    <t xml:space="preserve">Crestini A y col. 2024, Cells</t>
  </si>
  <si>
    <t xml:space="preserve">revisión sistemática de CT.gov y EudraCT</t>
  </si>
  <si>
    <t xml:space="preserve">39 ensayos, 14 estudios seleccionados de 8.261 registros</t>
  </si>
  <si>
    <t xml:space="preserve">Demencias</t>
  </si>
  <si>
    <t xml:space="preserve">varios agonistas nAChR</t>
  </si>
  <si>
    <t xml:space="preserve">Seguridad y eficacia</t>
  </si>
  <si>
    <t xml:space="preserve">Mayoría fase II, algunos 'en curso durante años'; 6 ensayos con datos detallados de eventos adversos, 12 con eficacia (atención, conducta, cognición). Algunos ensayos reportan mejora de atención; en otros resultados la eficacia 'sigue muy controvertida'.</t>
  </si>
  <si>
    <t xml:space="preserve">Mayoría de efectos físicos 'bien tolerados'</t>
  </si>
  <si>
    <t xml:space="preserve">Sin conflictos declarados por los autores</t>
  </si>
  <si>
    <t xml:space="preserve">cita encontrada; cifra coincide (PMID 38334629; 39 ensayos, 14 estudios, 6 con eventos adversos y 12 con eficacia)</t>
  </si>
  <si>
    <t xml:space="preserve">PMID 38334629; DOI 10.3390/cells13030237</t>
  </si>
  <si>
    <t xml:space="preserve">https://pubmed.ncbi.nlm.nih.gov/38334629/</t>
  </si>
  <si>
    <t xml:space="preserve">Nicotina (vapor)</t>
  </si>
  <si>
    <t xml:space="preserve">Nicotina en vapor (cigarrillo electrónico)</t>
  </si>
  <si>
    <t xml:space="preserve">Vapor, industria tabacalera</t>
  </si>
  <si>
    <t xml:space="preserve">Green HJ y col. 2024, Harm Reduct J</t>
  </si>
  <si>
    <t xml:space="preserve">cruzado de 5 brazos, parcialmente ciego</t>
  </si>
  <si>
    <t xml:space="preserve">40</t>
  </si>
  <si>
    <t xml:space="preserve">Fumadores sanos</t>
  </si>
  <si>
    <t xml:space="preserve">5 sesiones, abstinencia de 12 h</t>
  </si>
  <si>
    <t xml:space="preserve">e-cigarrillo 18 mg/ml, 12 mg/ml, 0 mg/ml, cigarrillo, sin producto</t>
  </si>
  <si>
    <t xml:space="preserve">CANTAB atención sostenida, estado de ánimo, deseo de fumar</t>
  </si>
  <si>
    <t xml:space="preserve">Mejora significativa en atención sostenida con e-cigarrillo con nicotina y con cigarrillo frente a ningún producto; sin diferencias entre ambos.</t>
  </si>
  <si>
    <t xml:space="preserve">Financiado por British American Tobacco; autores empleados y accionistas de BAT. Población no es Alzheimer.</t>
  </si>
  <si>
    <t xml:space="preserve">cita encontrada; cifra no comprobable en el resumen (PMID 38582919; el resultado no lleva cifras)</t>
  </si>
  <si>
    <t xml:space="preserve">PMID 38582919; DOI 10.1186/s12954-024-00993-0</t>
  </si>
  <si>
    <t xml:space="preserve">https://pubmed.ncbi.nlm.nih.gov/38582919/</t>
  </si>
  <si>
    <t xml:space="preserve">Huperzina A</t>
  </si>
  <si>
    <t xml:space="preserve">Huperzina A 200 y 400 mcg dos veces al día</t>
  </si>
  <si>
    <t xml:space="preserve">Medicina china, Huperzia serrata</t>
  </si>
  <si>
    <t xml:space="preserve">Rafii MS y col. 2011, Neurology (ADCS)</t>
  </si>
  <si>
    <t xml:space="preserve">fase II multicéntrico, placebo</t>
  </si>
  <si>
    <t xml:space="preserve">210 (70 por brazo; 177 completaron)</t>
  </si>
  <si>
    <t xml:space="preserve">200 mcg x2/día o 400 mcg x2/día</t>
  </si>
  <si>
    <t xml:space="preserve">ADAS-Cog (primaria), MMSE, ADCS-CGIC, ADL, NPI</t>
  </si>
  <si>
    <t xml:space="preserve">200 mcg x2: sin cambio en ADAS-Cog a 16 sem. 400 mcg x2: mejora de 2,27 puntos ADAS-Cog a las 11 sem vs empeoramiento de 0,29 con placebo (p=0,001); a 16 sem mejora 1,92 vs 0,34 (p=0,07). CGIC, NPI y ADL no significativos.</t>
  </si>
  <si>
    <t xml:space="preserve">no consta cifra en el resumen</t>
  </si>
  <si>
    <t xml:space="preserve">Subvenciones NIA P30 AG008051 y U19 AG010483; CT.gov NCT00083590 lista a Neuro-Hitech como colaborador</t>
  </si>
  <si>
    <t xml:space="preserve">200 a 400 mcg dos veces al día según el ensayo</t>
  </si>
  <si>
    <t xml:space="preserve">cita encontrada; cifra coincide (PMID 21502597; NCT00083590 sin resultados en CT.gov; 2,27, 0,29, 0,001, 1,92, 0,34 y 0,07)</t>
  </si>
  <si>
    <t xml:space="preserve">PMID 21502597; NCT00083590; DOI 10.1212/WNL.0b013e318216eb7b</t>
  </si>
  <si>
    <t xml:space="preserve">https://pubmed.ncbi.nlm.nih.gov/21502597/</t>
  </si>
  <si>
    <t xml:space="preserve">Huperzina A 400 mcg/día</t>
  </si>
  <si>
    <t xml:space="preserve">China, ensayo multicéntrico</t>
  </si>
  <si>
    <t xml:space="preserve">Zhang Z y col. 2002, Zhonghua Yi Xue Za Zhi</t>
  </si>
  <si>
    <t xml:space="preserve">doble ciego, placebo, 15 centros</t>
  </si>
  <si>
    <t xml:space="preserve">202 (100 huperzina, 102 placebo)</t>
  </si>
  <si>
    <t xml:space="preserve">Alzheimer posible/probable leve-moderado</t>
  </si>
  <si>
    <t xml:space="preserve">400 mcg/día</t>
  </si>
  <si>
    <t xml:space="preserve">ADAS-Cog, MMSE, ADL, CIBIC-plus, ADAS-non-Cog</t>
  </si>
  <si>
    <t xml:space="preserve">Mejora de 4,6 puntos en ADAS-Cog (P=0,000) y 2,7 en MMSE desde basal; &gt;=4 puntos en ADAS-Cog: 56,1% vs 12,5% (P=0,000); MMSE &gt;=4: 37,8% vs 10,1%; CIBIC-plus 59,2% vs 40,6% (P=0,01); ADL &gt;=10%: 32,7% vs 17,2%.</t>
  </si>
  <si>
    <t xml:space="preserve">Edema bilateral de tobillos e insomnio, leves y transitorios, en el 3% de tratados</t>
  </si>
  <si>
    <t xml:space="preserve">400 mcg/día en 12 semanas</t>
  </si>
  <si>
    <t xml:space="preserve">coste no verificado</t>
  </si>
  <si>
    <t xml:space="preserve">cita encontrada; cifra coincide (PMID 12181083; 4,6 y 2,7 puntos, 56,1% vs 12,5%, 59,2% vs 40,6%)</t>
  </si>
  <si>
    <t xml:space="preserve">PMID 12181083</t>
  </si>
  <si>
    <t xml:space="preserve">https://pubmed.ncbi.nlm.nih.gov/12181083/</t>
  </si>
  <si>
    <t xml:space="preserve">China, metaanálisis</t>
  </si>
  <si>
    <t xml:space="preserve">Xing SH y col. 2014, Evid Based Complement Alternat Med</t>
  </si>
  <si>
    <t xml:space="preserve">metaanálisis</t>
  </si>
  <si>
    <t xml:space="preserve">8 ensayos Alzheimer (733) y 2 ensayos demencia vascular (92)</t>
  </si>
  <si>
    <t xml:space="preserve">Alzheimer y demencia vascular</t>
  </si>
  <si>
    <t xml:space="preserve">variable</t>
  </si>
  <si>
    <t xml:space="preserve">MMSE, ADL, cociente de memoria</t>
  </si>
  <si>
    <t xml:space="preserve">Mejora significativa de MMSE y ADL en Alzheimer y demencia vascular; mayor eficacia con mayor duración; mejora significativa del cociente de memoria en Alzheimer.</t>
  </si>
  <si>
    <t xml:space="preserve">Mayoría leves a moderados y transitorios</t>
  </si>
  <si>
    <t xml:space="preserve">cita encontrada; cifra no comprobable en el resumen (PMID 24639880; el resultado no lleva cifras)</t>
  </si>
  <si>
    <t xml:space="preserve">PMID 24639880; DOI 10.1155/2014/363985</t>
  </si>
  <si>
    <t xml:space="preserve">https://pubmed.ncbi.nlm.nih.gov/24639880/</t>
  </si>
  <si>
    <t xml:space="preserve">Huperzina A (intranasal)</t>
  </si>
  <si>
    <t xml:space="preserve">Huperzina A intranasal</t>
  </si>
  <si>
    <t xml:space="preserve">Animal, vía intranasal</t>
  </si>
  <si>
    <t xml:space="preserve">Wang CY y col. 2011, Neuropsychopharmacology</t>
  </si>
  <si>
    <t xml:space="preserve">ratones APP/PS1 dobles transgénicos y células SH-SY5Y</t>
  </si>
  <si>
    <t xml:space="preserve">Ratones y células</t>
  </si>
  <si>
    <t xml:space="preserve">4 meses</t>
  </si>
  <si>
    <t xml:space="preserve">gel nasal de huperzina A</t>
  </si>
  <si>
    <t xml:space="preserve">ADAM10, BACE1, APP695, Aβ, GSK3, beta-catenina</t>
  </si>
  <si>
    <t xml:space="preserve">Aumento de ADAM10; descenso de BACE1 y APP695; reducción de Aβ y carga de Aβ; inhibición de GSK3 y aumento de beta-catenina.</t>
  </si>
  <si>
    <t xml:space="preserve">Sin toxicidad evidente de la vía intranasal en ratones</t>
  </si>
  <si>
    <t xml:space="preserve">cita encontrada; cifra no comprobable en el resumen (PMID 21289607; sin cifras de resultado, solo nombres de proteinas)</t>
  </si>
  <si>
    <t xml:space="preserve">PMID 21289607; DOI 10.1038/npp.2010.245</t>
  </si>
  <si>
    <t xml:space="preserve">https://pubmed.ncbi.nlm.nih.gov/21289607/</t>
  </si>
  <si>
    <t xml:space="preserve">Huperzina A liberación sostenida</t>
  </si>
  <si>
    <t xml:space="preserve">China, farmacéutica</t>
  </si>
  <si>
    <t xml:space="preserve">Shandong Luye Pharmaceutical, CT.gov 2011</t>
  </si>
  <si>
    <t xml:space="preserve">fase 2/3, cuádruple ciego, doble simulación, control placebo y activo</t>
  </si>
  <si>
    <t xml:space="preserve">390 (estimado)</t>
  </si>
  <si>
    <t xml:space="preserve">Alzheimer leve-moderado (50-85 años)</t>
  </si>
  <si>
    <t xml:space="preserve">400 mcg una vez al día (sostenida) vs 200 mcg x2 vs placebo</t>
  </si>
  <si>
    <t xml:space="preserve">ADAS-Cog sem 24</t>
  </si>
  <si>
    <t xml:space="preserve">Estado UNKNOWN, última verificación 2011, sin resultados registrados.</t>
  </si>
  <si>
    <t xml:space="preserve">Patrocinador: Luye Pharmaceutical (industria)</t>
  </si>
  <si>
    <t xml:space="preserve">cita encontrada; cifra coincide (NCT01282619; n=390 estimado, estado UNKNOWN)</t>
  </si>
  <si>
    <t xml:space="preserve">NCT01282619</t>
  </si>
  <si>
    <t xml:space="preserve">https://clinicaltrials.gov/study/NCT01282619</t>
  </si>
  <si>
    <t xml:space="preserve">Huperzina A liberación controlada</t>
  </si>
  <si>
    <t xml:space="preserve">Wanbangde Pharmaceutical Group, CT.gov</t>
  </si>
  <si>
    <t xml:space="preserve">en reclutamiento (2025-2028)</t>
  </si>
  <si>
    <t xml:space="preserve">720</t>
  </si>
  <si>
    <t xml:space="preserve">Sin resultados.</t>
  </si>
  <si>
    <t xml:space="preserve">Patrocinador: Wanbangde (industria)</t>
  </si>
  <si>
    <t xml:space="preserve">cita encontrada; cifra coincide (NCT07066826; n=720 estimado, reclutando)</t>
  </si>
  <si>
    <t xml:space="preserve">NCT07066826</t>
  </si>
  <si>
    <t xml:space="preserve">https://clinicaltrials.gov/study/NCT07066826</t>
  </si>
  <si>
    <t xml:space="preserve">Galantamina (campanilla de las nieves)</t>
  </si>
  <si>
    <t xml:space="preserve">Galantamina de Galanthus (campanilla de las nieves)</t>
  </si>
  <si>
    <t xml:space="preserve">Etnofarmacología, Cáucaso/Bulgaria</t>
  </si>
  <si>
    <t xml:space="preserve">Heinrich M, Teoh HL 2004, J Ethnopharmacol</t>
  </si>
  <si>
    <t xml:space="preserve">revisión histórica</t>
  </si>
  <si>
    <t xml:space="preserve">Poliomielitis y Alzheimer</t>
  </si>
  <si>
    <t xml:space="preserve">Historia del desarrollo de la galantamina</t>
  </si>
  <si>
    <t xml:space="preserve">Traza la historia desde observaciones en el Cáucaso (sur de Rusia), uso en Bulgaria (poliomielitis) hasta Alzheimer; 'se sabe poco de la historia temprana' y señala lagunas en etnofarmacología y uso clínico.</t>
  </si>
  <si>
    <t xml:space="preserve">cita encontrada; cifra no comprobable en el resumen (PMID 15137996; revision historica sin cifras)</t>
  </si>
  <si>
    <t xml:space="preserve">PMID 15137996; DOI 10.1016/j.jep.2004.02.012</t>
  </si>
  <si>
    <t xml:space="preserve">https://pubmed.ncbi.nlm.nih.gov/15137996/</t>
  </si>
  <si>
    <t xml:space="preserve">Alfoscerato de colina (alfa-GPC)</t>
  </si>
  <si>
    <t xml:space="preserve">Alfoscerato de colina (alfa-GPC) 600 mg</t>
  </si>
  <si>
    <t xml:space="preserve">Corea, soft capsule</t>
  </si>
  <si>
    <t xml:space="preserve">Jeon J y col. 2024, BMC Geriatr</t>
  </si>
  <si>
    <t xml:space="preserve">multicéntrico, doble ciego, placebo</t>
  </si>
  <si>
    <t xml:space="preserve">100</t>
  </si>
  <si>
    <t xml:space="preserve">Deterioro cognitivo leve amnésico</t>
  </si>
  <si>
    <t xml:space="preserve">Cápsula SHCog con 600 mg de alfa-GPC</t>
  </si>
  <si>
    <t xml:space="preserve">ADAS-cog</t>
  </si>
  <si>
    <t xml:space="preserve">ADAS-cog descendió 2,34 puntos, significativamente más que placebo.</t>
  </si>
  <si>
    <t xml:space="preserve">Sin eventos graves; sin retiradas; incidencia no distinta de placebo</t>
  </si>
  <si>
    <t xml:space="preserve">Conflictos: declaran no tener. Registro KCT0008797</t>
  </si>
  <si>
    <t xml:space="preserve">600 mg/día en cápsula, 12 semanas</t>
  </si>
  <si>
    <t xml:space="preserve">cita encontrada; cifra coincide (PMID 39300341; 2,34 puntos ADAS-cog)</t>
  </si>
  <si>
    <t xml:space="preserve">PMID 39300341; KCT0008797; DOI 10.1186/s12877-024-05366-7</t>
  </si>
  <si>
    <t xml:space="preserve">https://pubmed.ncbi.nlm.nih.gov/39300341/</t>
  </si>
  <si>
    <t xml:space="preserve">Alfoscerato de colina + donepezilo</t>
  </si>
  <si>
    <t xml:space="preserve">Italia, ASCOMALVA</t>
  </si>
  <si>
    <t xml:space="preserve">Amenta F y col. 2014, J Alzheimers Dis</t>
  </si>
  <si>
    <t xml:space="preserve">doble ciego, placebo (donepezilo + alfoscerato vs donepezilo + placebo); resultados intermedios</t>
  </si>
  <si>
    <t xml:space="preserve">113 de 210 planificados</t>
  </si>
  <si>
    <t xml:space="preserve">Alzheimer con daño isquémico cerebral</t>
  </si>
  <si>
    <t xml:space="preserve">alfoscerato de colina + donepezilo</t>
  </si>
  <si>
    <t xml:space="preserve">MMSE, ADAS-Cog, ADL, IADL, NPI</t>
  </si>
  <si>
    <t xml:space="preserve">El grupo de referencia empeoró de forma moderada; la combinación 'enlenteció significativamente' los cambios en todos los parámetros.</t>
  </si>
  <si>
    <t xml:space="preserve">cita encontrada; cifra no comprobable en el resumen (PMID 24898643; el resultado no lleva cifras)</t>
  </si>
  <si>
    <t xml:space="preserve">PMID 24898643; DOI 10.3233/JAD-140150</t>
  </si>
  <si>
    <t xml:space="preserve">https://pubmed.ncbi.nlm.nih.gov/24898643/</t>
  </si>
  <si>
    <t xml:space="preserve">Alfa-GPC vs citicolina intramuscular</t>
  </si>
  <si>
    <t xml:space="preserve">Italia, ensayo antiguo</t>
  </si>
  <si>
    <t xml:space="preserve">Di Perri R y col. 1991, J Int Med Res</t>
  </si>
  <si>
    <t xml:space="preserve">abierto, comparativo</t>
  </si>
  <si>
    <t xml:space="preserve">120</t>
  </si>
  <si>
    <t xml:space="preserve">Demencia vascular leve-moderada</t>
  </si>
  <si>
    <t xml:space="preserve">90 días</t>
  </si>
  <si>
    <t xml:space="preserve">1 g/día de alfa-GPC o de CDP intramuscular</t>
  </si>
  <si>
    <t xml:space="preserve">Escalas psicométricas (Parkside, Sandoz, fluidez, Hamilton, Wechsler)</t>
  </si>
  <si>
    <t xml:space="preserve">Ambos tratamientos con mejora sintomática; alfa-GPC con mayor eficacia estadística en la mayoría de las pruebas.</t>
  </si>
  <si>
    <t xml:space="preserve">Muy buena tolerabilidad</t>
  </si>
  <si>
    <t xml:space="preserve">cita encontrada; cifra no comprobable en el resumen (PMID 1916007; el resultado no lleva cifras)</t>
  </si>
  <si>
    <t xml:space="preserve">PMID 1916007; DOI 10.1177/030006059101900406</t>
  </si>
  <si>
    <t xml:space="preserve">https://pubmed.ncbi.nlm.nih.gov/1916007/</t>
  </si>
  <si>
    <t xml:space="preserve">Citicolina (CDP-colina)</t>
  </si>
  <si>
    <t xml:space="preserve">Citicolina oral 500 mg dos veces al día</t>
  </si>
  <si>
    <t xml:space="preserve">Italia, deterioro vascular</t>
  </si>
  <si>
    <t xml:space="preserve">Cotroneo AM y col. 2013, Clin Interv Aging (IDEALE)</t>
  </si>
  <si>
    <t xml:space="preserve">abierto multicéntrico con grupo control</t>
  </si>
  <si>
    <t xml:space="preserve">349 (265 citicolina, 84 control)</t>
  </si>
  <si>
    <t xml:space="preserve">Deterioro cognitivo vascular leve (se excluyó Alzheimer probable)</t>
  </si>
  <si>
    <t xml:space="preserve">9 meses</t>
  </si>
  <si>
    <t xml:space="preserve">500 mg dos veces al día</t>
  </si>
  <si>
    <t xml:space="preserve">MMSE, ADL, IADL</t>
  </si>
  <si>
    <t xml:space="preserve">MMSE estable (22,4, 22,7, 22,9) con diferencia significativa vs control a T1 y T2; sin diferencias en ADL/IADL; GDS P=0,06.</t>
  </si>
  <si>
    <t xml:space="preserve">No se registraron eventos adversos</t>
  </si>
  <si>
    <t xml:space="preserve">500 mg dos veces al día, 9 meses</t>
  </si>
  <si>
    <t xml:space="preserve">cita encontrada; cifra coincide (PMID 23403474; MMSE 22,4, 22,7 y 22,9; GDS P=0,06)</t>
  </si>
  <si>
    <t xml:space="preserve">PMID 23403474; DOI 10.2147/CIA.S38420</t>
  </si>
  <si>
    <t xml:space="preserve">https://pubmed.ncbi.nlm.nih.gov/23403474/</t>
  </si>
  <si>
    <t xml:space="preserve">Cochrane, revisión</t>
  </si>
  <si>
    <t xml:space="preserve">Fioravanti M, Yanagi M 2005, Cochrane</t>
  </si>
  <si>
    <t xml:space="preserve">revisión de ensayos doble ciego</t>
  </si>
  <si>
    <t xml:space="preserve">14 estudios</t>
  </si>
  <si>
    <t xml:space="preserve">Mayores con trastornos cerebrales crónicos</t>
  </si>
  <si>
    <t xml:space="preserve">20 días a 12 meses</t>
  </si>
  <si>
    <t xml:space="preserve">Atención, memoria, conducta, impresión global, tolerabilidad</t>
  </si>
  <si>
    <t xml:space="preserve">Sin evidencia de efecto en atención; evidencia de beneficio en memoria y conducta; impresión global más fuerte. Bien tolerada.</t>
  </si>
  <si>
    <t xml:space="preserve">Bien tolerada</t>
  </si>
  <si>
    <t xml:space="preserve">Conflicto: el revisor principal fue investigador en algunos estudios incluidos</t>
  </si>
  <si>
    <t xml:space="preserve">cita encontrada; cifra no comprobable en el resumen (PMID 15846601; el resultado no lleva cifras)</t>
  </si>
  <si>
    <t xml:space="preserve">PMID 15846601; DOI 10.1002/14651858.CD000269.pub3</t>
  </si>
  <si>
    <t xml:space="preserve">https://pubmed.ncbi.nlm.nih.gov/15846601/</t>
  </si>
  <si>
    <t xml:space="preserve">Citicolina oral combinada</t>
  </si>
  <si>
    <t xml:space="preserve">Turquía, vida real</t>
  </si>
  <si>
    <t xml:space="preserve">Özge A y col. 2026, Nutrients</t>
  </si>
  <si>
    <t xml:space="preserve">cohorte retrospectiva bicéntrica</t>
  </si>
  <si>
    <t xml:space="preserve">100 pacientes + 50 controles</t>
  </si>
  <si>
    <t xml:space="preserve">Demencia prodrómica/deterioro tipo Alzheimer temprano</t>
  </si>
  <si>
    <t xml:space="preserve">6-9 meses</t>
  </si>
  <si>
    <t xml:space="preserve">preparado combinado de citicolina (dosis no en el resumen)</t>
  </si>
  <si>
    <t xml:space="preserve">Neuropsicología (Stroop, TMT, SDMT, MoCA)</t>
  </si>
  <si>
    <t xml:space="preserve">Mejora (todas p&lt;0,05) en funciones ejecutivas, velocidad de procesamiento, memoria de trabajo, memoria visuoespacial, fluidez semántica y episódica; mejora en cognición global.</t>
  </si>
  <si>
    <t xml:space="preserve">La farmacéutica aportó apoyo estadístico y cubrió la tasa de publicación</t>
  </si>
  <si>
    <t xml:space="preserve">cita encontrada; cifra no comprobable en el resumen (PMID 41754112; el resumen no muestra p&lt;0,05 explicito)</t>
  </si>
  <si>
    <t xml:space="preserve">PMID 41754112; DOI 10.3390/nu18040595</t>
  </si>
  <si>
    <t xml:space="preserve">https://pubmed.ncbi.nlm.nih.gov/41754112/</t>
  </si>
  <si>
    <t xml:space="preserve">Citicolina suplemento, sueño y cognición</t>
  </si>
  <si>
    <t xml:space="preserve">EE.UU., NIA</t>
  </si>
  <si>
    <t xml:space="preserve">Emory University, CT.gov NCT05200208</t>
  </si>
  <si>
    <t xml:space="preserve">piloto aleatorizado, doble ciego</t>
  </si>
  <si>
    <t xml:space="preserve">20</t>
  </si>
  <si>
    <t xml:space="preserve">3 meses</t>
  </si>
  <si>
    <t xml:space="preserve">suplemento de citicolina vs placebo</t>
  </si>
  <si>
    <t xml:space="preserve">PSQI, Epworth, RAVLT, TMT A/B, MoCA</t>
  </si>
  <si>
    <t xml:space="preserve">Completado dic-2025; sin resultados registrados en CT.gov.</t>
  </si>
  <si>
    <t xml:space="preserve">Emory; colaboradores NIA y Emory ADRC</t>
  </si>
  <si>
    <t xml:space="preserve">cita encontrada; cifra coincide (NCT05200208; n=20, COMPLETED, cierre 2025-12-21 coincide con dic-2025)</t>
  </si>
  <si>
    <t xml:space="preserve">NCT05200208</t>
  </si>
  <si>
    <t xml:space="preserve">https://clinicaltrials.gov/study/NCT05200208</t>
  </si>
  <si>
    <t xml:space="preserve">Fosfatidilserina</t>
  </si>
  <si>
    <t xml:space="preserve">Fosfatidilserina 300 mg/día</t>
  </si>
  <si>
    <t xml:space="preserve">Italia (Fidia), clásico</t>
  </si>
  <si>
    <t xml:space="preserve">Engel RR y col. 1992, Eur Neuropsychopharmacol</t>
  </si>
  <si>
    <t xml:space="preserve">doble ciego, cruzado (8 semanas, lavados)</t>
  </si>
  <si>
    <t xml:space="preserve">33</t>
  </si>
  <si>
    <t xml:space="preserve">Demencia degenerativa primaria leve (MMS 15-27)</t>
  </si>
  <si>
    <t xml:space="preserve">8 semanas por fase</t>
  </si>
  <si>
    <t xml:space="preserve">BC-PS 300 mg/día (Fidia)</t>
  </si>
  <si>
    <t xml:space="preserve">Impresión global, GBS, psicometría, P300, EEG</t>
  </si>
  <si>
    <t xml:space="preserve">Más pacientes mejoraron en impresión global con PS (fase 1); sin mejoras significativas en GBS ni en psicometría ni P300; EEG con desplazamiento hacia la normalidad.</t>
  </si>
  <si>
    <t xml:space="preserve">300 mg/día</t>
  </si>
  <si>
    <t xml:space="preserve">cita encontrada; cifra no comprobable en el resumen (PMID 1633433; sin cifras de resultado; n=33 y 300 mg/d si aparecen)</t>
  </si>
  <si>
    <t xml:space="preserve">PMID 1633433; DOI 10.1016/0924-977X(92)90025-4</t>
  </si>
  <si>
    <t xml:space="preserve">https://pubmed.ncbi.nlm.nih.gov/1633433/</t>
  </si>
  <si>
    <t xml:space="preserve">Fosfatidilserina 100 mg tres veces al día</t>
  </si>
  <si>
    <t xml:space="preserve">Crook TH y col. 1991, Neurology</t>
  </si>
  <si>
    <t xml:space="preserve">placebo</t>
  </si>
  <si>
    <t xml:space="preserve">149</t>
  </si>
  <si>
    <t xml:space="preserve">Deterioro de memoria asociado a la edad</t>
  </si>
  <si>
    <t xml:space="preserve">BC-PS 100 mg x3/día</t>
  </si>
  <si>
    <t xml:space="preserve">Tareas de aprendizaje y memoria</t>
  </si>
  <si>
    <t xml:space="preserve">Mejora vs placebo en tareas de memoria cotidiana; el subgrupo con menor rendimiento basal respondió más, con mejora en pruebas computarizadas, neuropsicológicas y valoración clínica global.</t>
  </si>
  <si>
    <t xml:space="preserve">cita encontrada; cifra no comprobable en el resumen (PMID 2027477; el resultado no lleva cifras)</t>
  </si>
  <si>
    <t xml:space="preserve">PMID 2027477; DOI 10.1212/WNL.41.5.644</t>
  </si>
  <si>
    <t xml:space="preserve">https://pubmed.ncbi.nlm.nih.gov/2027477/</t>
  </si>
  <si>
    <t xml:space="preserve">China</t>
  </si>
  <si>
    <t xml:space="preserve">Zhang YY y col. 2015, Genet Mol Res</t>
  </si>
  <si>
    <t xml:space="preserve">clínico + ratas</t>
  </si>
  <si>
    <t xml:space="preserve">57 pacientes (25 control, 32 observación)</t>
  </si>
  <si>
    <t xml:space="preserve">Alzheimer; ratas con modelo Alzheimer</t>
  </si>
  <si>
    <t xml:space="preserve">300 mg/día en pacientes; 15 y 30 mg/kg en ratas</t>
  </si>
  <si>
    <t xml:space="preserve">Vocabulario, emparejamiento de imágenes; latencia de escape, SOD, acetilcolinesterasa</t>
  </si>
  <si>
    <t xml:space="preserve">Mejora de puntuaciones (P&lt;0,05) y mayor que control; en ratas menor latencia, aumento de SOD y OH-, descenso de acetilcolinesterasa; 30 mg/kg más eficaz que 15.</t>
  </si>
  <si>
    <t xml:space="preserve">cita encontrada; cifra coincide (PMID 26345866; P&lt;0,05; 30 y 15 mg/kg)</t>
  </si>
  <si>
    <t xml:space="preserve">PMID 26345866; DOI 10.4238/2015.august.10.13</t>
  </si>
  <si>
    <t xml:space="preserve">https://pubmed.ncbi.nlm.nih.gov/26345866/</t>
  </si>
  <si>
    <t xml:space="preserve">Fosfatidilserina (enriquecida en DHA)</t>
  </si>
  <si>
    <t xml:space="preserve">Fosfatidilserina-omega 3 en MCI</t>
  </si>
  <si>
    <t xml:space="preserve">Industria (Enzymotec)</t>
  </si>
  <si>
    <t xml:space="preserve">Enzymotec, CT.gov NCT02211560</t>
  </si>
  <si>
    <t xml:space="preserve">aleatorizado, cuádruple ciego</t>
  </si>
  <si>
    <t xml:space="preserve">97</t>
  </si>
  <si>
    <t xml:space="preserve">Deterioro cognitivo leve 65-85 años</t>
  </si>
  <si>
    <t xml:space="preserve">3, 6, 12 meses</t>
  </si>
  <si>
    <t xml:space="preserve">PS enriquecida en DHA</t>
  </si>
  <si>
    <t xml:space="preserve">Selective Reminding Test</t>
  </si>
  <si>
    <t xml:space="preserve">TERMINADO por dificultades de reclutamiento; sin resultados registrados.</t>
  </si>
  <si>
    <t xml:space="preserve">Patrocinador: Enzymotec (industria)</t>
  </si>
  <si>
    <t xml:space="preserve">cita encontrada; cifra coincide (NCT02211560; n=97, TERMINATED)</t>
  </si>
  <si>
    <t xml:space="preserve">NCT02211560</t>
  </si>
  <si>
    <t xml:space="preserve">https://clinicaltrials.gov/study/NCT02211560</t>
  </si>
  <si>
    <t xml:space="preserve">Cafeína</t>
  </si>
  <si>
    <t xml:space="preserve">Cafeína en agua de bebida</t>
  </si>
  <si>
    <t xml:space="preserve">Cafeína/café, Arendash</t>
  </si>
  <si>
    <t xml:space="preserve">Arendash GW y col. 2006, Neuroscience</t>
  </si>
  <si>
    <t xml:space="preserve">ratones APPsw, 4-9 meses</t>
  </si>
  <si>
    <t xml:space="preserve">~5 meses</t>
  </si>
  <si>
    <t xml:space="preserve">1,5 mg/ratón/día (equivalente humano 500 mg de cafeína, ~5 tazas)</t>
  </si>
  <si>
    <t xml:space="preserve">Memoria espacial, memoria de trabajo, Aβ hipocampal, PS1, BACE</t>
  </si>
  <si>
    <t xml:space="preserve">Ratones transgénicos con cafeína rindieron mejor que controles y similar a no transgénicos; menor Aβ hipocampal; reducción de PS1 y BACE; descenso de Aβ1-40/1-42 en cultivos N2a; adenosina cerebral restaurada.</t>
  </si>
  <si>
    <t xml:space="preserve">Equivalente humano citado: 500 mg de cafeína al día</t>
  </si>
  <si>
    <t xml:space="preserve">cita encontrada; cifra coincide (PMID 16938404; 1,5 mg/raton = 500 mg humanos)</t>
  </si>
  <si>
    <t xml:space="preserve">PMID 16938404; DOI 10.1016/j.neuroscience.2006.07.021</t>
  </si>
  <si>
    <t xml:space="preserve">https://pubmed.ncbi.nlm.nih.gov/16938404/</t>
  </si>
  <si>
    <t xml:space="preserve">Cafeína en ratones con deterioro establecido</t>
  </si>
  <si>
    <t xml:space="preserve">Arendash GW y col. 2009, J Alzheimers Dis</t>
  </si>
  <si>
    <t xml:space="preserve">ratones APPsw de 18-19 meses</t>
  </si>
  <si>
    <t xml:space="preserve">4-5 semanas</t>
  </si>
  <si>
    <t xml:space="preserve">cafeína en agua (equivalente a 5 tazas de café/día)</t>
  </si>
  <si>
    <t xml:space="preserve">Memoria de trabajo, depósito de Aβ</t>
  </si>
  <si>
    <t xml:space="preserve">Memoria de trabajo 'muy superior'; Aβ hipocampal -40%, corteza entorrinal -46%; inhibición de BACE1 vía cRaf-1/NFkappaB; GSK3 reducido en células N2a.</t>
  </si>
  <si>
    <t xml:space="preserve">Subvención NIA P50AG025711</t>
  </si>
  <si>
    <t xml:space="preserve">cita encontrada; cifra coincide (PMID 19581722; -40% y -46%)</t>
  </si>
  <si>
    <t xml:space="preserve">PMID 19581722; DOI 10.3233/JAD-2009-1071</t>
  </si>
  <si>
    <t xml:space="preserve">https://pubmed.ncbi.nlm.nih.gov/19581722/</t>
  </si>
  <si>
    <t xml:space="preserve">Cafeína aguda y crónica</t>
  </si>
  <si>
    <t xml:space="preserve">Cafeína/café, Cao</t>
  </si>
  <si>
    <t xml:space="preserve">Cao C y col. 2009, J Alzheimers Dis</t>
  </si>
  <si>
    <t xml:space="preserve">ratones transgénicos jóvenes y viejos</t>
  </si>
  <si>
    <t xml:space="preserve">agudo y crónico</t>
  </si>
  <si>
    <t xml:space="preserve">cafeína oral</t>
  </si>
  <si>
    <t xml:space="preserve">Aβ en líquido intersticial, plasma y cerebro</t>
  </si>
  <si>
    <t xml:space="preserve">Reducción rápida de Aβ en líquido intersticial cerebral y plasma sin cambio en eliminación; reducciones sostenidas con tratamiento largo; Aβ plasmático no correlacionó con Aβ cerebral ni con cognición.</t>
  </si>
  <si>
    <t xml:space="preserve">Subvenciones NIA K01 AG029524, R01 AG013956, P50AG025711</t>
  </si>
  <si>
    <t xml:space="preserve">cita encontrada; cifra no comprobable en el resumen (PMID 19581723; el resultado no lleva cifras)</t>
  </si>
  <si>
    <t xml:space="preserve">PMID 19581723; DOI 10.3233/JAD-2009-1087</t>
  </si>
  <si>
    <t xml:space="preserve">https://pubmed.ncbi.nlm.nih.gov/19581723/</t>
  </si>
  <si>
    <t xml:space="preserve">Cafeína en sangre</t>
  </si>
  <si>
    <t xml:space="preserve">Cao C y col. 2012, J Alzheimers Dis</t>
  </si>
  <si>
    <t xml:space="preserve">caso-control con seguimiento de 2-4 años</t>
  </si>
  <si>
    <t xml:space="preserve">124 en dos cohortes</t>
  </si>
  <si>
    <t xml:space="preserve">MCI</t>
  </si>
  <si>
    <t xml:space="preserve">2-4 años</t>
  </si>
  <si>
    <t xml:space="preserve">niveles plasmáticos</t>
  </si>
  <si>
    <t xml:space="preserve">Conversión a demencia</t>
  </si>
  <si>
    <t xml:space="preserve">Cafeína plasmática -51% en MCI que progresaron; ningún progresor superó 1200 ng/ml, mientras la mitad de los estables sí; GCSF, IL-10 e IL-6 reducidos en progresores.</t>
  </si>
  <si>
    <t xml:space="preserve">Subvenciones NIA R01AG020094, P50 AG025711 y otras</t>
  </si>
  <si>
    <t xml:space="preserve">cita encontrada; cifra coincide (PMID 22430531; -51% y 1200 ng/ml)</t>
  </si>
  <si>
    <t xml:space="preserve">PMID 22430531; DOI 10.3233/JAD-2012-111781</t>
  </si>
  <si>
    <t xml:space="preserve">https://pubmed.ncbi.nlm.nih.gov/22430531/</t>
  </si>
  <si>
    <t xml:space="preserve">Café y té</t>
  </si>
  <si>
    <t xml:space="preserve">Café y té en edad media</t>
  </si>
  <si>
    <t xml:space="preserve">Cafeína/café, epidemiología</t>
  </si>
  <si>
    <t xml:space="preserve">Eskelinen MH y col. 2009, J Alzheimers Dis (CAIDE)</t>
  </si>
  <si>
    <t xml:space="preserve">cohorte, 21 años</t>
  </si>
  <si>
    <t xml:space="preserve">1.409 reevaluados</t>
  </si>
  <si>
    <t xml:space="preserve">Población general</t>
  </si>
  <si>
    <t xml:space="preserve">21 años</t>
  </si>
  <si>
    <t xml:space="preserve">3-5 tazas de café/día</t>
  </si>
  <si>
    <t xml:space="preserve">61 casos de demencia (48 Alzheimer); riesgo 65% menor con 3-5 tazas/día; té no asociado.</t>
  </si>
  <si>
    <t xml:space="preserve">3-5 tazas de café/día (descripción epidemiológica)</t>
  </si>
  <si>
    <t xml:space="preserve">cita encontrada; cifra coincide (PMID 19158424; 61 casos, 48 Alzheimer, 65%)</t>
  </si>
  <si>
    <t xml:space="preserve">PMID 19158424; DOI 10.3233/JAD-2009-0920</t>
  </si>
  <si>
    <t xml:space="preserve">https://pubmed.ncbi.nlm.nih.gov/19158424/</t>
  </si>
  <si>
    <t xml:space="preserve">Consumo de cafeína</t>
  </si>
  <si>
    <t xml:space="preserve">Driscoll I y col. 2016, J Gerontol A (WHIMS)</t>
  </si>
  <si>
    <t xml:space="preserve">cohorte</t>
  </si>
  <si>
    <t xml:space="preserve">6.467 mujeres &gt;=65</t>
  </si>
  <si>
    <t xml:space="preserve">Mujeres posmenopáusicas</t>
  </si>
  <si>
    <t xml:space="preserve">&lt;=10 años</t>
  </si>
  <si>
    <t xml:space="preserve">por encima de mediana (261 mg) vs por debajo (64 mg)</t>
  </si>
  <si>
    <t xml:space="preserve">Demencia probable, deterioro cognitivo</t>
  </si>
  <si>
    <t xml:space="preserve">Demencia HR 0,74 (0,56-0,99; p=0,04); cualquier deterioro HR 0,74 (0,60-0,91; p=0,005).</t>
  </si>
  <si>
    <t xml:space="preserve">cita encontrada; cifra coincide (PMID 27678290; HR 0,74 e IC; p no aparece en el resumen)</t>
  </si>
  <si>
    <t xml:space="preserve">PMID 27678290; DOI 10.1093/gerona/glw078</t>
  </si>
  <si>
    <t xml:space="preserve">https://pubmed.ncbi.nlm.nih.gov/27678290/</t>
  </si>
  <si>
    <t xml:space="preserve">Café con cafeína, sin cafeína, té</t>
  </si>
  <si>
    <t xml:space="preserve">Zhang Y y col. 2026, JAMA (NHS y HPFS)</t>
  </si>
  <si>
    <t xml:space="preserve">cohortes prospectivas hasta 43 años</t>
  </si>
  <si>
    <t xml:space="preserve">131.821</t>
  </si>
  <si>
    <t xml:space="preserve">mediana 36,8 años</t>
  </si>
  <si>
    <t xml:space="preserve">2-3 tazas de café con cafeína/día o 1-2 tazas de té</t>
  </si>
  <si>
    <t xml:space="preserve">Demencia (11.033 casos), declive cognitivo subjetivo, TICS</t>
  </si>
  <si>
    <t xml:space="preserve">Cuarto vs primer cuartil de café con cafeína: 141 vs 330 casos/100.000 persona-años, HR 0,82 (0,76-0,89); declive subjetivo 7,8% vs 9,5%, PR 0,85 (0,78-0,93); TICS diferencia 0,11 (0,01-0,21). Café descafeinado no asociado.</t>
  </si>
  <si>
    <t xml:space="preserve">Subvenciones NIH (NIDDK, NINR). Conflictos: no consta en el resumen</t>
  </si>
  <si>
    <t xml:space="preserve">2-3 tazas de café con cafeína/día</t>
  </si>
  <si>
    <t xml:space="preserve">cita encontrada; cifra coincide (PMID 41661604; 141 vs 330 por 100.000; HR 0,82; 7,8% vs 9,5%)</t>
  </si>
  <si>
    <t xml:space="preserve">PMID 41661604; DOI 10.1001/jama.2025.27259</t>
  </si>
  <si>
    <t xml:space="preserve">https://pubmed.ncbi.nlm.nih.gov/41661604/</t>
  </si>
  <si>
    <t xml:space="preserve">Cafeína 400 mg/día</t>
  </si>
  <si>
    <t xml:space="preserve">Francia, ensayo en curso</t>
  </si>
  <si>
    <t xml:space="preserve">CHU de Lille, ensayo CAFCA, CT.gov NCT04570085</t>
  </si>
  <si>
    <t xml:space="preserve">fase 3, aleatorizado, doble ciego</t>
  </si>
  <si>
    <t xml:space="preserve">248 (estimado)</t>
  </si>
  <si>
    <t xml:space="preserve">Alzheimer inicial-moderado, &gt;=50 años</t>
  </si>
  <si>
    <t xml:space="preserve">30 semanas (hasta dic-2027)</t>
  </si>
  <si>
    <t xml:space="preserve">100 mg, hasta 400 mg/día en 2 tomas, tras 6 semanas de dieta sin cafeína</t>
  </si>
  <si>
    <t xml:space="preserve">Cambios en puntuación NTB</t>
  </si>
  <si>
    <t xml:space="preserve">En reclutamiento; sin resultados.</t>
  </si>
  <si>
    <t xml:space="preserve">Patrocinador CHU Lille; colaboradores GIRCI, DISTALZ, Región Nord-Pas de Calais, Meo coffee</t>
  </si>
  <si>
    <t xml:space="preserve">400 mg/día en 2 tomas de 200 mg</t>
  </si>
  <si>
    <t xml:space="preserve">cita encontrada; cifra coincide (NCT04570085; n=248 estimado, reclutando)</t>
  </si>
  <si>
    <t xml:space="preserve">NCT04570085</t>
  </si>
  <si>
    <t xml:space="preserve">https://clinicaltrials.gov/study/NCT04570085</t>
  </si>
  <si>
    <t xml:space="preserve">Té verde (extracto LGNC-07)</t>
  </si>
  <si>
    <t xml:space="preserve">Extracto de té verde + L-teanina (LGNC-07) 1.680 mg</t>
  </si>
  <si>
    <t xml:space="preserve">Corea, teanina</t>
  </si>
  <si>
    <t xml:space="preserve">Park SK y col. 2011, J Med Food</t>
  </si>
  <si>
    <t xml:space="preserve">doble ciego, placebo</t>
  </si>
  <si>
    <t xml:space="preserve">91 (45 tratamiento, 46 placebo)</t>
  </si>
  <si>
    <t xml:space="preserve">Deterioro cognitivo leve (MMSE-K 21-26)</t>
  </si>
  <si>
    <t xml:space="preserve">1.680 mg de LGNC-07</t>
  </si>
  <si>
    <t xml:space="preserve">Rey-Kim, Stroop, EEG</t>
  </si>
  <si>
    <t xml:space="preserve">Mejora marginal en reconocimiento diferido (P=0,0572); en MMSE-K 21-23 (n=11 vs 9) mejora significativa del cociente de memoria y lectura de palabras; ondas theta aumentadas.</t>
  </si>
  <si>
    <t xml:space="preserve">1.680 mg/día durante 16 semanas</t>
  </si>
  <si>
    <t xml:space="preserve">cita encontrada; cifra coincide (PMID 21303262; P=0,0572 y MMSE-K 21-23; n 11 vs 9 no comprobado)</t>
  </si>
  <si>
    <t xml:space="preserve">PMID 21303262; DOI 10.1089/jmf.2009.1374</t>
  </si>
  <si>
    <t xml:space="preserve">https://pubmed.ncbi.nlm.nih.gov/21303262/</t>
  </si>
  <si>
    <t xml:space="preserve">Colina (dieta)</t>
  </si>
  <si>
    <t xml:space="preserve">Colina de la dieta</t>
  </si>
  <si>
    <t xml:space="preserve">Colina, epidemiología</t>
  </si>
  <si>
    <t xml:space="preserve">Karosas T y col. 2025, J Nutr (Rush MAP)</t>
  </si>
  <si>
    <t xml:space="preserve">991</t>
  </si>
  <si>
    <t xml:space="preserve">Mayores sin Alzheimer; edad 81,4 +/- 7,2</t>
  </si>
  <si>
    <t xml:space="preserve">7,67 años</t>
  </si>
  <si>
    <t xml:space="preserve">200-250, 251-300, 301-350, &gt;350 mg/día vs el cuartil más bajo</t>
  </si>
  <si>
    <t xml:space="preserve">Alzheimer clínico</t>
  </si>
  <si>
    <t xml:space="preserve">Alzheimer 266 (27%). HR 0,73 (0,45-1,17), 0,60 (0,60-0,98; p=0,04), 0,62 (0,36-1,07), 0,49 (0,25-0,95; p=0,04); riesgo mínimo ~350 mg/día.</t>
  </si>
  <si>
    <t xml:space="preserve">Subvención NIA R01 AG017917; autora declara fondos del Egg Nutrition Center, Balchem y otros</t>
  </si>
  <si>
    <t xml:space="preserve">~350 mg/día de colina en dieta</t>
  </si>
  <si>
    <t xml:space="preserve">cita encontrada; cifra coincide (PMID 40447055; 266 casos, HR 0,49 en el cuartil alto)</t>
  </si>
  <si>
    <t xml:space="preserve">PMID 40447055</t>
  </si>
  <si>
    <t xml:space="preserve">https://pubmed.ncbi.nlm.nih.gov/40447055/</t>
  </si>
  <si>
    <t xml:space="preserve">infecciones</t>
  </si>
  <si>
    <t xml:space="preserve">Valaciclovir</t>
  </si>
  <si>
    <t xml:space="preserve">Valaciclovir 4 g/día</t>
  </si>
  <si>
    <t xml:space="preserve">Teoría herpética (HSV-1/2) del Alzheimer; antiviral repropuesto</t>
  </si>
  <si>
    <t xml:space="preserve">Devanand DP, Wisniewski T y cols., 2026, JAMA (VALAD)</t>
  </si>
  <si>
    <t xml:space="preserve">Fase 2, doble ciego, placebo, 3 clínicas de EE.UU.</t>
  </si>
  <si>
    <t xml:space="preserve">120 (60 vs 60); 93 completaron (77,5%)</t>
  </si>
  <si>
    <t xml:space="preserve">Alzheimer probable o DCL con biomarcadores AD, seropositivos HSV-1/2, MMSE 18-28</t>
  </si>
  <si>
    <t xml:space="preserve">78 semanas</t>
  </si>
  <si>
    <t xml:space="preserve">Valaciclovir 4 g/día vs placebo</t>
  </si>
  <si>
    <t xml:space="preserve">ADAS-Cog11 (0-70); ADCS-ADL; PET amiloide florbetapir SUVR; PET tau MK-6240; eventos adversos</t>
  </si>
  <si>
    <t xml:space="preserve">Cambio LSM ADAS-Cog11 a 78 sem: 10,86 (IC95% 8,80 a 12,91) con valaciclovir vs 6,92 (4,88 a 8,97) con placebo; diferencia 3,93 (1,03 a 6,83), P=.01 (más empeoramiento con valaciclovir). ADCS-ADL: -13,78 vs -10,16 (dif. -3,62; IC -8,16 a 0,93). PET amiloide: 0,03 vs 0,01 (dif. 0,02; -0,08 a 0,12). PET tau: 0,07 vs -0,04 (dif. 0,11; -0,06 a 0,28).</t>
  </si>
  <si>
    <t xml:space="preserve">Creatinina sérica elevada 5 (8,3%) vs 2 (3,3%); COVID-19 3 (5%) vs 2 (3,3%)</t>
  </si>
  <si>
    <t xml:space="preserve">Subvención NIA (NIH). Declaración de conflictos no leída en el resumen: no consta</t>
  </si>
  <si>
    <t xml:space="preserve">cita encontrada; cifra coincide (PMID 41405855, NCT03282916)</t>
  </si>
  <si>
    <t xml:space="preserve">PMID 41405855; DOI 10.1001/jama.2025.21738; NCT03282916</t>
  </si>
  <si>
    <t xml:space="preserve">https://pubmed.ncbi.nlm.nih.gov/41405855/</t>
  </si>
  <si>
    <t xml:space="preserve">Valaciclovir 4 g/día en DCL</t>
  </si>
  <si>
    <t xml:space="preserve">Teoría herpética; prevención en fase prodrómica</t>
  </si>
  <si>
    <t xml:space="preserve">Devanand DP, Huey ED y cols., 2026, Alzheimer Dis Assoc Disord (VALMCI); datos de registro NCT04710030</t>
  </si>
  <si>
    <t xml:space="preserve">Piloto doble ciego, placebo</t>
  </si>
  <si>
    <t xml:space="preserve">50 (42 completaron, 84%)</t>
  </si>
  <si>
    <t xml:space="preserve">DCL, seropositivos HSV1/2, PET amiloide florbetapir positivo</t>
  </si>
  <si>
    <t xml:space="preserve">12 meses (52 semanas)</t>
  </si>
  <si>
    <t xml:space="preserve">Valaciclovir 500 mg x 8 comprimidos/día (4 g/día) vs placebo</t>
  </si>
  <si>
    <t xml:space="preserve">PET amiloide SUVR (primario); PACC z; ADCS-ADL-PI</t>
  </si>
  <si>
    <t xml:space="preserve">Dif. LSM SUVR -0,01 (IC95% -0,12 a 0,10; P=0,82); PACC dif. 0,16 (-0,17 a 0,49; P=0,32); ADCS-ADL-PI dif. 1,96 (-0,43 a 4,34; P=0,11). Registro: cambio PACC z LSM 0,30 (valaciclovir) vs 0,03 (placebo); ADCS-ADL-PI 1,65 vs -0,31; SUVR 0,07 vs 0,08.</t>
  </si>
  <si>
    <t xml:space="preserve">Registro: 1 evento grave en cada brazo (1/24 y 1/26)</t>
  </si>
  <si>
    <t xml:space="preserve">Promotor: New York State Psychiatric Institute; subvención no consta en la API</t>
  </si>
  <si>
    <t xml:space="preserve">cita encontrada; cifra coincide (PMID 42210804, NCT04710030; cifras de registro no figuran en el resumen)</t>
  </si>
  <si>
    <t xml:space="preserve">PMID 42210804; DOI 10.1097/WAD.0000000000000735; NCT04710030</t>
  </si>
  <si>
    <t xml:space="preserve">https://pubmed.ncbi.nlm.nih.gov/42210804/</t>
  </si>
  <si>
    <t xml:space="preserve">Valaciclovir 1,5 g/día 1 semana y 3 g/día 3 semanas</t>
  </si>
  <si>
    <t xml:space="preserve">Teoría herpética; piloto abierto sueco</t>
  </si>
  <si>
    <t xml:space="preserve">VALZ-Pilot, Lövheim H (Umeå/Uppsala), registro NCT02997982; resumen en AlzForum</t>
  </si>
  <si>
    <t xml:space="preserve">Fase II abierto, un solo brazo</t>
  </si>
  <si>
    <t xml:space="preserve">33 (según registro); 32 completaron (según AlzForum)</t>
  </si>
  <si>
    <t xml:space="preserve">Alzheimer temprano o DCL tipo Alzheimer, portadores ApoE4 y HSV positivos</t>
  </si>
  <si>
    <t xml:space="preserve">Valaciclovir (registro: comprimidos 500 mg)</t>
  </si>
  <si>
    <t xml:space="preserve">Tau total en LCR (primario registro); factibilidad y seguridad</t>
  </si>
  <si>
    <t xml:space="preserve">Registro sin resultados publicados. AlzForum: 32 de 33 completaron; adversos leves y transitorios; LCR con valaciclovir en rango terapéutico; tau total y NfL en LCR sin cambio, sTREM2 en LCR aumentó (sin cifras en la página); el PET del subestudio falló por el trazador.</t>
  </si>
  <si>
    <t xml:space="preserve">Leves y transitorios (AlzForum)</t>
  </si>
  <si>
    <t xml:space="preserve">Promotor: Hugo Lövheim; financiación no consta</t>
  </si>
  <si>
    <t xml:space="preserve">cita encontrada; cifra no comprobable en el resumen (NCT02997982 en CT.gov, sin resultados; página AlzForum existe)</t>
  </si>
  <si>
    <t xml:space="preserve">NCT02997982; https://www.alzforum.org/therapeutics/valacyclovir</t>
  </si>
  <si>
    <t xml:space="preserve">https://clinicaltrials.gov/study/NCT02997982</t>
  </si>
  <si>
    <t xml:space="preserve">Antiherpéticos (clase)</t>
  </si>
  <si>
    <t xml:space="preserve">Antivirales anti-herpéticos (aciclovir, valaciclovir, penciclovir, ganciclovir, valganciclovir, famciclovir)</t>
  </si>
  <si>
    <t xml:space="preserve">Teoría herpética; epidemiología en bases de datos</t>
  </si>
  <si>
    <t xml:space="preserve">Kabakova M y cols., 2026, J Drugs Dermatol</t>
  </si>
  <si>
    <t xml:space="preserve">Cohorte retrospectiva emparejada, TriNetX</t>
  </si>
  <si>
    <t xml:space="preserve">231.277 por cohorte tras emparejar (615.324 con HSV identificados)</t>
  </si>
  <si>
    <t xml:space="preserve">Personas con HSV oral/mucocutáneo o anogenital, sin AD previo</t>
  </si>
  <si>
    <t xml:space="preserve">Antiviral tratado vs no tratado</t>
  </si>
  <si>
    <t xml:space="preserve">Incidencia de AD y demencia (CIE-10)</t>
  </si>
  <si>
    <t xml:space="preserve">HSV oral/mucocutáneo: RR AD 0,87 (IC95% 0,73-0,92); demencia RR 0,83 (0,77-0,90). Anogenital: sin asociación significativa.</t>
  </si>
  <si>
    <t xml:space="preserve">Subvención no consta</t>
  </si>
  <si>
    <t xml:space="preserve">cita encontrada; cifra coincide (PMID 41779765)</t>
  </si>
  <si>
    <t xml:space="preserve">PMID 41779765; DOI 10.36849/jdd.9474</t>
  </si>
  <si>
    <t xml:space="preserve">https://pubmed.ncbi.nlm.nih.gov/41779765/</t>
  </si>
  <si>
    <t xml:space="preserve">Medicación anti-herpética</t>
  </si>
  <si>
    <t xml:space="preserve">Teoría herpética; cohorte de Taiwán</t>
  </si>
  <si>
    <t xml:space="preserve">Tzeng NS y cols., 2018, Neurotherapeutics</t>
  </si>
  <si>
    <t xml:space="preserve">Cohorte retrospectiva poblacional (NHIRD Taiwán)</t>
  </si>
  <si>
    <t xml:space="preserve">33.448 (8.362 con HSV; 25.086 controles)</t>
  </si>
  <si>
    <t xml:space="preserve">Pacientes con HSV nuevo diagnóstico y controles sin HSV</t>
  </si>
  <si>
    <t xml:space="preserve">seguimiento largo desde el año 2000 (duración exacta no consta en resumen)</t>
  </si>
  <si>
    <t xml:space="preserve">Fármacos antiherpéticos vs ninguno</t>
  </si>
  <si>
    <t xml:space="preserve">Demencia (Cox)</t>
  </si>
  <si>
    <t xml:space="preserve">HR ajustado demencia con HSV 2,564 (IC95% 2,351-2,795); con antiherpéticos HR 0,092 (0,079-0,108), P&lt;0,001.</t>
  </si>
  <si>
    <t xml:space="preserve">Tri-Service General Hospital Research Foundation</t>
  </si>
  <si>
    <t xml:space="preserve">cita encontrada; cifra coincide (PMID 29488144)</t>
  </si>
  <si>
    <t xml:space="preserve">PMID 29488144; DOI 10.1007/s13311-018-0611-x</t>
  </si>
  <si>
    <t xml:space="preserve">https://pubmed.ncbi.nlm.nih.gov/29488144/</t>
  </si>
  <si>
    <t xml:space="preserve">Antiherpéticos (aciclovir, valaciclovir, famciclovir)</t>
  </si>
  <si>
    <t xml:space="preserve">Teoría herpética; cohorte holandesa</t>
  </si>
  <si>
    <t xml:space="preserve">Alghamdi A y cols., 2026, BMJ Open</t>
  </si>
  <si>
    <t xml:space="preserve">Cohorte retrospectiva emparejada 1:10 (IADB.nl)</t>
  </si>
  <si>
    <t xml:space="preserve">262.757 (23.887 expuestos; 238.870 controles)</t>
  </si>
  <si>
    <t xml:space="preserve">Adultos 50-80 años sin demencia</t>
  </si>
  <si>
    <t xml:space="preserve">1994-2024</t>
  </si>
  <si>
    <t xml:space="preserve">Cualquier antiherpético vs ninguno</t>
  </si>
  <si>
    <t xml:space="preserve">Inicio de tratamiento para AD (rivastigmina, donepezilo, galantamina, memantina)</t>
  </si>
  <si>
    <t xml:space="preserve">HR 0,09 (IC95% 0,07 a 0,13) de iniciar fármacos para AD con exposición a antiherpéticos.</t>
  </si>
  <si>
    <t xml:space="preserve">cita encontrada; cifra coincide (PMID 42297456)</t>
  </si>
  <si>
    <t xml:space="preserve">PMID 42297456; DOI 10.1136/bmjopen-2025-114033</t>
  </si>
  <si>
    <t xml:space="preserve">https://pubmed.ncbi.nlm.nih.gov/42297456/</t>
  </si>
  <si>
    <t xml:space="preserve">Antiherpéticos (metaanálisis)</t>
  </si>
  <si>
    <t xml:space="preserve">Teoría herpética</t>
  </si>
  <si>
    <t xml:space="preserve">Chang ST y cols., 2026, J Alzheimers Dis</t>
  </si>
  <si>
    <t xml:space="preserve">Revisión sistemática y metaanálisis de cohortes (PROSPERO CRD42022368318)</t>
  </si>
  <si>
    <t xml:space="preserve">14 cohortes, más de 10 millones</t>
  </si>
  <si>
    <t xml:space="preserve">Adultos mayores de 50 sin demencia</t>
  </si>
  <si>
    <t xml:space="preserve">Aciclovir, famciclovir, ganciclovir, valaciclovir, valganciclovir</t>
  </si>
  <si>
    <t xml:space="preserve">aHR 0,77 (0,67-0,89) diagnosticados y tratados vs diagnosticados sin tratar; 0,90 (0,87-0,94) tratados vs no tratados; 0,87 (0,78-0,97) tratados vs ni diagnosticados ni tratados. La gravedad de la infección explicó 89,01% de la heterogeneidad.</t>
  </si>
  <si>
    <t xml:space="preserve">Far Eastern Memorial Hospital-National Yang Ming University collaboration grant</t>
  </si>
  <si>
    <t xml:space="preserve">cita encontrada; cifra coincide (PMID 41467972)</t>
  </si>
  <si>
    <t xml:space="preserve">PMID 41467972; DOI 10.1177/13872877251409323</t>
  </si>
  <si>
    <t xml:space="preserve">https://pubmed.ncbi.nlm.nih.gov/41467972/</t>
  </si>
  <si>
    <t xml:space="preserve">Vacuna zóster (atenuada)</t>
  </si>
  <si>
    <t xml:space="preserve">Vacuna del herpes zóster atenuada y antiherpéticos</t>
  </si>
  <si>
    <t xml:space="preserve">Teoría herpética (VZV); revisión sistemática</t>
  </si>
  <si>
    <t xml:space="preserve">Alghamdi A y cols., 2025, Pharmaceuticals</t>
  </si>
  <si>
    <t xml:space="preserve">Revisión sistemática PRISMA</t>
  </si>
  <si>
    <t xml:space="preserve">11 estudios incluidos de 200</t>
  </si>
  <si>
    <t xml:space="preserve">Observacionales sobre HZ, vacuna y AD</t>
  </si>
  <si>
    <t xml:space="preserve">Vacuna HZ; antiherpéticos</t>
  </si>
  <si>
    <t xml:space="preserve">Riesgo de AD</t>
  </si>
  <si>
    <t xml:space="preserve">Vacunación HZ: estimaciones de riesgo 0,57 a 0,99. Antiherpéticos: 0,65 a 0,96. HZ solo: resultados mixtos.</t>
  </si>
  <si>
    <t xml:space="preserve">King Abdulaziz University</t>
  </si>
  <si>
    <t xml:space="preserve">cita encontrada; cifra coincide (PMID 40430540)</t>
  </si>
  <si>
    <t xml:space="preserve">PMID 40430540; DOI 10.3390/ph18050722</t>
  </si>
  <si>
    <t xml:space="preserve">https://pubmed.ncbi.nlm.nih.gov/40430540/</t>
  </si>
  <si>
    <t xml:space="preserve">Vacuna zóster viva atenuada</t>
  </si>
  <si>
    <t xml:space="preserve">Teoría herpética; experimento natural</t>
  </si>
  <si>
    <t xml:space="preserve">Eyting M y cols., 2025, Nature</t>
  </si>
  <si>
    <t xml:space="preserve">Regresión discontinua con corte por fecha de nacimiento (2 sept 1933), historias clínicas Gales</t>
  </si>
  <si>
    <t xml:space="preserve">gran población (n exacto no en resumen)</t>
  </si>
  <si>
    <t xml:space="preserve">Adultos de Gales</t>
  </si>
  <si>
    <t xml:space="preserve">7 años de seguimiento</t>
  </si>
  <si>
    <t xml:space="preserve">Vacuna zóster (cobertura 0,01% frente a 47,2%)</t>
  </si>
  <si>
    <t xml:space="preserve">Nuevo diagnóstico de demencia</t>
  </si>
  <si>
    <t xml:space="preserve">Reducción de 3,5 puntos porcentuales (IC95% 0,6-7,1; P=0,019), 20,0% relativo (6,5-33,4). Efecto mayor en mujeres.</t>
  </si>
  <si>
    <t xml:space="preserve">NIAID y NIA (NIH)</t>
  </si>
  <si>
    <t xml:space="preserve">cita encontrada; cifra coincide (PMID 40175543)</t>
  </si>
  <si>
    <t xml:space="preserve">PMID 40175543; DOI 10.1038/s41586-025-08800-x</t>
  </si>
  <si>
    <t xml:space="preserve">https://pubmed.ncbi.nlm.nih.gov/40175543/</t>
  </si>
  <si>
    <t xml:space="preserve">Xie M y cols., 2025, Cell</t>
  </si>
  <si>
    <t xml:space="preserve">Regresión discontinua, Gales</t>
  </si>
  <si>
    <t xml:space="preserve">no consta en resumen</t>
  </si>
  <si>
    <t xml:space="preserve">Personas de 80 años en Gales; con demencia</t>
  </si>
  <si>
    <t xml:space="preserve">Vacuna HZ</t>
  </si>
  <si>
    <t xml:space="preserve">DCL, muertes por demencia</t>
  </si>
  <si>
    <t xml:space="preserve">La vacunación también reduce diagnósticos de DCL y, entre quienes ya tenían demencia, las muertes por demencia.</t>
  </si>
  <si>
    <t xml:space="preserve">NIA, NIAID, Wu Tsai Neurosciences Institute</t>
  </si>
  <si>
    <t xml:space="preserve">cita encontrada; cifra no comprobable en el resumen (PMID 41338191)</t>
  </si>
  <si>
    <t xml:space="preserve">PMID 41338191; DOI 10.1016/j.cell.2025.11.007</t>
  </si>
  <si>
    <t xml:space="preserve">https://pubmed.ncbi.nlm.nih.gov/41338191/</t>
  </si>
  <si>
    <t xml:space="preserve">Valaciclovir 100 y 150 mg/kg</t>
  </si>
  <si>
    <t xml:space="preserve">Teoría herpética; modelo animal en India</t>
  </si>
  <si>
    <t xml:space="preserve">Tripathi P, Shah J, 2026, Mol Neurobiol</t>
  </si>
  <si>
    <t xml:space="preserve">Rata, estreptozotocina intracerebroventricular 3 mg/kg; donepezilo 5 mg/kg de referencia</t>
  </si>
  <si>
    <t xml:space="preserve">Ratas modelo AD</t>
  </si>
  <si>
    <t xml:space="preserve">21 días</t>
  </si>
  <si>
    <t xml:space="preserve">Conducta; Aβ1-40/1-42, p-tau, BACE-1, inflamación, estrés oxidativo, neprilisina, IDE</t>
  </si>
  <si>
    <t xml:space="preserve">Mejora dosis-dependiente de conducta; Aβ, p-tau y BACE-1 reducidos (p&lt;0,001); neprilisina e IDE aumentadas (p&lt;0,001).</t>
  </si>
  <si>
    <t xml:space="preserve">Gujarat State Biotechnology Mission</t>
  </si>
  <si>
    <t xml:space="preserve">cita encontrada; cifra coincide (PMID 41524814)</t>
  </si>
  <si>
    <t xml:space="preserve">PMID 41524814; DOI 10.1007/s12035-025-05652-4</t>
  </si>
  <si>
    <t xml:space="preserve">https://pubmed.ncbi.nlm.nih.gov/41524814/</t>
  </si>
  <si>
    <t xml:space="preserve">Doxiciclina + rifampicina</t>
  </si>
  <si>
    <t xml:space="preserve">Doxiciclina 200 mg/día + rifampicina 300 mg/día</t>
  </si>
  <si>
    <t xml:space="preserve">Teoría infecciosa (Chlamydia/bacterias); antibióticos</t>
  </si>
  <si>
    <t xml:space="preserve">Loeb MB, Molloy DW y cols., 2004, J Am Geriatr Soc</t>
  </si>
  <si>
    <t xml:space="preserve">Triple ciego, placebo, 5 clínicas de Canadá</t>
  </si>
  <si>
    <t xml:space="preserve">101</t>
  </si>
  <si>
    <t xml:space="preserve">Alzheimer probable leve-moderado</t>
  </si>
  <si>
    <t xml:space="preserve">3 meses de tratamiento; evaluación a 6 y 12 meses</t>
  </si>
  <si>
    <t xml:space="preserve">Doxiciclina 200 mg + rifampicina 300 mg al día</t>
  </si>
  <si>
    <t xml:space="preserve">SADAScog a 6 meses (primario)</t>
  </si>
  <si>
    <t xml:space="preserve">Menor deterioro SADAScog a 6 meses: -2,75 puntos (IC95% -5,28 a -0,22; P=.034). A 12 meses: -4,31 (-9,17 a 0,56; P=.079). Menos conducta disfuncional a 3 meses. Sin diferencias en detección de C. pneumoniae.</t>
  </si>
  <si>
    <t xml:space="preserve">Sin diferencia significativa de eventos adversos entre grupos (P=.34)</t>
  </si>
  <si>
    <t xml:space="preserve">Dosis de la fuente: doxiciclina 200 mg + rifampicina 300 mg al día durante 3 meses (con prescripción).</t>
  </si>
  <si>
    <t xml:space="preserve">cita encontrada; cifra coincide (PMID 14962152)</t>
  </si>
  <si>
    <t xml:space="preserve">PMID 14962152; DOI 10.1111/j.1532-5415.2004.52109.x</t>
  </si>
  <si>
    <t xml:space="preserve">https://pubmed.ncbi.nlm.nih.gov/14962152/</t>
  </si>
  <si>
    <t xml:space="preserve">Doxiciclina 100 mg x2 y/o rifampicina 300 mg</t>
  </si>
  <si>
    <t xml:space="preserve">Teoría infecciosa; ensayo de confirmación</t>
  </si>
  <si>
    <t xml:space="preserve">Molloy DW y cols., 2013, Int J Geriatr Psychiatry (DARAD)</t>
  </si>
  <si>
    <t xml:space="preserve">Factorial 2x2, ciego, 14 clínicas de Canadá</t>
  </si>
  <si>
    <t xml:space="preserve">406</t>
  </si>
  <si>
    <t xml:space="preserve">Alzheimer leve-moderado (SMMSE 14-26)</t>
  </si>
  <si>
    <t xml:space="preserve">Doxiciclina 100 mg dos veces/día, rifampicina 300 mg/día, ambas o placebo</t>
  </si>
  <si>
    <t xml:space="preserve">SADAS-cog y CDR-SB (co-primarios)</t>
  </si>
  <si>
    <t xml:space="preserve">Deterioro significativo del SADAS-cog con rifampicina y con doxiciclina frente a placebo; con ambas juntas sin diferencia significativa frente a placebo (n=305). CDR-SB sin efectos. Conclusión de los autores: sin beneficio.</t>
  </si>
  <si>
    <t xml:space="preserve">Canadian Institutes of Health Research</t>
  </si>
  <si>
    <t xml:space="preserve">cita encontrada; cifra coincide (PMID 22718435)</t>
  </si>
  <si>
    <t xml:space="preserve">PMID 22718435; DOI 10.1002/gps.3846</t>
  </si>
  <si>
    <t xml:space="preserve">https://pubmed.ncbi.nlm.nih.gov/22718435/</t>
  </si>
  <si>
    <t xml:space="preserve">Minociclina</t>
  </si>
  <si>
    <t xml:space="preserve">Minociclina 200 o 400 mg/día</t>
  </si>
  <si>
    <t xml:space="preserve">Antibiótico antiinflamatorio repropuesto</t>
  </si>
  <si>
    <t xml:space="preserve">Howard R y cols., 2020, JAMA Neurol (MADE)</t>
  </si>
  <si>
    <t xml:space="preserve">Doble ciego, semifactorial, 32 clínicas NHS</t>
  </si>
  <si>
    <t xml:space="preserve">554 aleatorizados (544 elegibles)</t>
  </si>
  <si>
    <t xml:space="preserve">Alzheimer leve (sMMSE &gt;=24)</t>
  </si>
  <si>
    <t xml:space="preserve">Minociclina 400 mg o 200 mg/día vs placebo</t>
  </si>
  <si>
    <t xml:space="preserve">sMMSE y BADLS</t>
  </si>
  <si>
    <t xml:space="preserve">No retrasó el deterioro cognitivo ni funcional. Completaron 28,8% (400 mg), 61,9% (200 mg) y 63,7% (placebo); 400 mg mal tolerado.</t>
  </si>
  <si>
    <t xml:space="preserve">Mala tolerancia a 400 mg (abandonos)</t>
  </si>
  <si>
    <t xml:space="preserve">NIHR y MRC</t>
  </si>
  <si>
    <t xml:space="preserve">cita encontrada; cifra coincide (PMID 31738372)</t>
  </si>
  <si>
    <t xml:space="preserve">PMID 31738372; DOI 10.1001/jamaneurol.2019.3762; ISRCTN16105064</t>
  </si>
  <si>
    <t xml:space="preserve">https://pubmed.ncbi.nlm.nih.gov/31738372/</t>
  </si>
  <si>
    <t xml:space="preserve">Rifampicina (oral)</t>
  </si>
  <si>
    <t xml:space="preserve">Rifampicina oral</t>
  </si>
  <si>
    <t xml:space="preserve">Antibiótico antiagregante de oligómeros; Japón</t>
  </si>
  <si>
    <t xml:space="preserve">Umeda T y cols., 2016, Brain</t>
  </si>
  <si>
    <t xml:space="preserve">Células APP-Osaka y ratones APPOSK, Tg2576, tau609</t>
  </si>
  <si>
    <t xml:space="preserve">Células y ratones</t>
  </si>
  <si>
    <t xml:space="preserve">1 mes</t>
  </si>
  <si>
    <t xml:space="preserve">Rifampicina oral 0,5 y 1 mg/día</t>
  </si>
  <si>
    <t xml:space="preserve">Oligómeros Aβ y tau, sinapsis, microglía, memoria (Morris)</t>
  </si>
  <si>
    <t xml:space="preserve">En APPOSK de 17 meses redujo oligómeros Aβ, tau hiperfosforilada, pérdida sináptica y activación microglial dosis-dependiente; a 1 mg/día la memoria igualó a la de hermanos no transgénicos. En células, mayor efecto de 5 compuestos probados.</t>
  </si>
  <si>
    <t xml:space="preserve">cita encontrada; cifra coincide (PMID 27020329)</t>
  </si>
  <si>
    <t xml:space="preserve">PMID 27020329; DOI 10.1093/brain/aww042</t>
  </si>
  <si>
    <t xml:space="preserve">https://pubmed.ncbi.nlm.nih.gov/27020329/</t>
  </si>
  <si>
    <t xml:space="preserve">Rifampicina (intranasal)</t>
  </si>
  <si>
    <t xml:space="preserve">Rifampicina intranasal</t>
  </si>
  <si>
    <t xml:space="preserve">Antibiótico antiagregante de tau; Japón</t>
  </si>
  <si>
    <t xml:space="preserve">Umeda T y cols., 2022, Biomedicines</t>
  </si>
  <si>
    <t xml:space="preserve">Ratones tau264 inyectados con fracción de tau oligomérico de cerebro AD</t>
  </si>
  <si>
    <t xml:space="preserve">24 semanas (3 veces/semana)</t>
  </si>
  <si>
    <t xml:space="preserve">Rifampicina nasal</t>
  </si>
  <si>
    <t xml:space="preserve">Propagación de tau, ovillos, sinapsis, Morris</t>
  </si>
  <si>
    <t xml:space="preserve">Inhibió la propagación de oligómeros de tau y ovillos en corteza entorrinal, evitó pérdida sináptica y neuronal y mantuvo la cognición normal.</t>
  </si>
  <si>
    <t xml:space="preserve">Osaka City University; MEXT Japón; Research Foundation for Dementia of Osaka</t>
  </si>
  <si>
    <t xml:space="preserve">cita encontrada; cifra no comprobable en el resumen (PMID 35203506)</t>
  </si>
  <si>
    <t xml:space="preserve">PMID 35203506; DOI 10.3390/biomedicines10020297</t>
  </si>
  <si>
    <t xml:space="preserve">https://pubmed.ncbi.nlm.nih.gov/35203506/</t>
  </si>
  <si>
    <t xml:space="preserve">Inhibidores de gingipaínas</t>
  </si>
  <si>
    <t xml:space="preserve">Atuzaginstat (COR388), inhibidor de gingipaínas</t>
  </si>
  <si>
    <t xml:space="preserve">Teoría Porphyromonas gingivalis</t>
  </si>
  <si>
    <t xml:space="preserve">GAIN, Cortexyme; registro NCT03823404 y AlzForum</t>
  </si>
  <si>
    <t xml:space="preserve">Fase 2/3 cuádruple ciego, placebo</t>
  </si>
  <si>
    <t xml:space="preserve">643</t>
  </si>
  <si>
    <t xml:space="preserve">48 semanas</t>
  </si>
  <si>
    <t xml:space="preserve">COR388 40 mg o 80 mg dos veces/día vs placebo</t>
  </si>
  <si>
    <t xml:space="preserve">ADAS-Cog11 y ADCS-ADL</t>
  </si>
  <si>
    <t xml:space="preserve">AlzForum: no alcanzó los dos co-primarios. Subgrupo prespecificado de 242 con ADN de P. gingivalis en saliva: dosis alta 57% de enlentecimiento en ADAS-Cog11 (significativo), dosis baja 42% (no significativo), sin efecto en ADCS-ADL. Registro, ADAS-Cog11 sem. 48: 26,6 (80 mg), 27,9 (40 mg), 28,4 (placebo).</t>
  </si>
  <si>
    <t xml:space="preserve">Gastrointestinales 12-15%; transaminasas &gt;3x LSN 7% (baja) y 15% (alta); abandonos por transaminasas: 1 placebo, 5 y 17; abandono total 25% placebo y 40% fármaco; suspensión parcial (feb 2021) y total (ene 2022) por la FDA por hígado</t>
  </si>
  <si>
    <t xml:space="preserve">Promotor Cortexyme Inc. (industria, hoy Quince Therapeutics)</t>
  </si>
  <si>
    <t xml:space="preserve">cita encontrada; cifra no comprobable en el resumen (NCT03823404 en CT.gov; página AlzForum existe)</t>
  </si>
  <si>
    <t xml:space="preserve">NCT03823404; https://www.alzforum.org/therapeutics/atuzaginstat</t>
  </si>
  <si>
    <t xml:space="preserve">https://clinicaltrials.gov/study/NCT03823404</t>
  </si>
  <si>
    <t xml:space="preserve">Dominy SS y cols., 2019, Sci Adv</t>
  </si>
  <si>
    <t xml:space="preserve">Cerebros humanos post mortem, ratones y células</t>
  </si>
  <si>
    <t xml:space="preserve">Cerebro AD, ratón, neuronas</t>
  </si>
  <si>
    <t xml:space="preserve">Inhibidores de molécula pequeña diseñados por Cortexyme</t>
  </si>
  <si>
    <t xml:space="preserve">P. gingivalis y gingipaínas en cerebro, Aβ1-42, tau, neuroinflamación</t>
  </si>
  <si>
    <t xml:space="preserve">P. gingivalis y gingipaínas identificadas en cerebro de pacientes, con niveles correlacionados con patología tau y ubiquitina; infección oral en ratón colonizó el cerebro y aumentó Aβ1-42; los inhibidores redujeron la carga bacteriana, bloquearon Aβ1-42, redujeron neuroinflamación y rescataron neuronas.</t>
  </si>
  <si>
    <t xml:space="preserve">NIDCR NIH y Cortexyme, Inc. (varios autores de la empresa)</t>
  </si>
  <si>
    <t xml:space="preserve">cita encontrada; cifra coincide (PMID 30746447)</t>
  </si>
  <si>
    <t xml:space="preserve">PMID 30746447; DOI 10.1126/sciadv.aau3333</t>
  </si>
  <si>
    <t xml:space="preserve">https://pubmed.ncbi.nlm.nih.gov/30746447/</t>
  </si>
  <si>
    <t xml:space="preserve">Higiene oral (cepillado)</t>
  </si>
  <si>
    <t xml:space="preserve">Cepillado dental diario</t>
  </si>
  <si>
    <t xml:space="preserve">Higiene oral</t>
  </si>
  <si>
    <t xml:space="preserve">Paganini-Hill A y cols., 2012, J Am Geriatr Soc</t>
  </si>
  <si>
    <t xml:space="preserve">Cohorte longitudinal Leisure World</t>
  </si>
  <si>
    <t xml:space="preserve">5.468</t>
  </si>
  <si>
    <t xml:space="preserve">Adultos mayores (mediana 81 años), California</t>
  </si>
  <si>
    <t xml:space="preserve">1992-2010</t>
  </si>
  <si>
    <t xml:space="preserve">Frecuencia de cepillado, dentición, dentaduras</t>
  </si>
  <si>
    <t xml:space="preserve">Demencia incidente (Cox)</t>
  </si>
  <si>
    <t xml:space="preserve">Dentados que no se cepillaban a diario: riesgo de demencia 22% a 65% mayor que quienes lo hacían 3 veces al día. Varones con masticación natural inadecuada sin dentadura: 91% más riesgo.</t>
  </si>
  <si>
    <t xml:space="preserve">NIA y NIAMS (NIH)</t>
  </si>
  <si>
    <t xml:space="preserve">Cepillado dental tres veces al día (categoría de referencia del estudio).</t>
  </si>
  <si>
    <t xml:space="preserve">Muy bajo</t>
  </si>
  <si>
    <t xml:space="preserve">cita encontrada; cifra coincide (PMID 22860988)</t>
  </si>
  <si>
    <t xml:space="preserve">PMID 22860988; DOI 10.1111/j.1532-5415.2012.04064.x</t>
  </si>
  <si>
    <t xml:space="preserve">https://pubmed.ncbi.nlm.nih.gov/22860988/</t>
  </si>
  <si>
    <t xml:space="preserve">Tratamiento periodontal</t>
  </si>
  <si>
    <t xml:space="preserve">Raspado periodontal con antibiótico local (Periofol 2%)</t>
  </si>
  <si>
    <t xml:space="preserve">Higiene oral; periodontitis y deterioro cognitivo</t>
  </si>
  <si>
    <t xml:space="preserve">Ramadhani A y cols., 2025, revista no consta (DOI 10.1055/s-0044-1795115)</t>
  </si>
  <si>
    <t xml:space="preserve">Análisis secundario de ensayo de 24 semanas</t>
  </si>
  <si>
    <t xml:space="preserve">27 (14 en intervención)</t>
  </si>
  <si>
    <t xml:space="preserve">Diabetes tipo 2 con periodontitis; riesgo de DCL por sangre</t>
  </si>
  <si>
    <t xml:space="preserve">Raspado cada 2 semanas hasta semana 6, con Periofol 2% local</t>
  </si>
  <si>
    <t xml:space="preserve">Inflamación periodontal, TNF-a, PCR, IL-6, puntuación de riesgo de DCL en plasma</t>
  </si>
  <si>
    <t xml:space="preserve">Los parámetros periodontales mejoraron en ambos grupos; los cambios en proteínas plasmáticas de riesgo de DCL siguieron sin estar claros.</t>
  </si>
  <si>
    <t xml:space="preserve">cita encontrada; cifra no comprobable en el resumen (PMID 39750521)</t>
  </si>
  <si>
    <t xml:space="preserve">PMID 39750521; DOI 10.1055/s-0044-1795115</t>
  </si>
  <si>
    <t xml:space="preserve">https://pubmed.ncbi.nlm.nih.gov/39750521/</t>
  </si>
  <si>
    <t xml:space="preserve">Tratamiento periodontal intensivo</t>
  </si>
  <si>
    <t xml:space="preserve">Higiene oral; ensayo terminado</t>
  </si>
  <si>
    <t xml:space="preserve">Dental Carotid Cognitive Study, Univ. Maryland, registro NCT03755362</t>
  </si>
  <si>
    <t xml:space="preserve">Aleatorizado abierto, 2 brazos</t>
  </si>
  <si>
    <t xml:space="preserve">26 reales (60 previstos)</t>
  </si>
  <si>
    <t xml:space="preserve">Mayores de 65 con estenosis carotídea asintomática, DCL y periodontitis</t>
  </si>
  <si>
    <t xml:space="preserve">1 año previsto</t>
  </si>
  <si>
    <t xml:space="preserve">Raspado y alisado radicular + higiene oral vs tratamiento estándar</t>
  </si>
  <si>
    <t xml:space="preserve">MoCA a 1 año</t>
  </si>
  <si>
    <t xml:space="preserve">TERMINADO por la pandemia de COVID-19; sin resultados publicados en el registro.</t>
  </si>
  <si>
    <t xml:space="preserve">Univ. Maryland, Baltimore</t>
  </si>
  <si>
    <t xml:space="preserve">cita encontrada; cifra no comprobable en el resumen (NCT03755362 en CT.gov, terminado, sin resultados)</t>
  </si>
  <si>
    <t xml:space="preserve">NCT03755362</t>
  </si>
  <si>
    <t xml:space="preserve">https://clinicaltrials.gov/study/NCT03755362</t>
  </si>
  <si>
    <t xml:space="preserve">Tratamiento periodontal quirúrgico y no quirúrgico</t>
  </si>
  <si>
    <t xml:space="preserve">Higiene oral; ensayo en curso</t>
  </si>
  <si>
    <t xml:space="preserve">CHU de Lieja, registro NCT07233512</t>
  </si>
  <si>
    <t xml:space="preserve">Aleatorizado cruzado doble ciego</t>
  </si>
  <si>
    <t xml:space="preserve">26 previstos</t>
  </si>
  <si>
    <t xml:space="preserve">Alzheimer leve-moderado con enfermedad periodontal</t>
  </si>
  <si>
    <t xml:space="preserve">hasta 24 meses; fin previsto 2029</t>
  </si>
  <si>
    <t xml:space="preserve">Terapia periodontal inmediata vs retrasada 6 meses</t>
  </si>
  <si>
    <t xml:space="preserve">PACC</t>
  </si>
  <si>
    <t xml:space="preserve">En curso, sin resultados.</t>
  </si>
  <si>
    <t xml:space="preserve">CHU de Lieja</t>
  </si>
  <si>
    <t xml:space="preserve">cita encontrada; cifra no comprobable en el resumen (NCT07233512 en CT.gov, sin datos)</t>
  </si>
  <si>
    <t xml:space="preserve">NCT07233512</t>
  </si>
  <si>
    <t xml:space="preserve">https://clinicaltrials.gov/study/NCT07233512</t>
  </si>
  <si>
    <t xml:space="preserve">Tratamiento de enfermedad periodontal en Alzheimer</t>
  </si>
  <si>
    <t xml:space="preserve">Union Hospital, Tongji Medical College, registro NCT05183321</t>
  </si>
  <si>
    <t xml:space="preserve">Intervención, no iniciado</t>
  </si>
  <si>
    <t xml:space="preserve">190 previstos</t>
  </si>
  <si>
    <t xml:space="preserve">Alzheimer con enfermedad periodontal</t>
  </si>
  <si>
    <t xml:space="preserve">no consta en la lista</t>
  </si>
  <si>
    <t xml:space="preserve">Aún no reclutando, sin resultados.</t>
  </si>
  <si>
    <t xml:space="preserve">Union Hospital, Tongji</t>
  </si>
  <si>
    <t xml:space="preserve">cita encontrada; cifra no comprobable en el resumen (NCT05183321 en CT.gov, no iniciado)</t>
  </si>
  <si>
    <t xml:space="preserve">NCT05183321</t>
  </si>
  <si>
    <t xml:space="preserve">https://clinicaltrials.gov/study/NCT05183321</t>
  </si>
  <si>
    <t xml:space="preserve">Anticuerpos anti-gingipaínas</t>
  </si>
  <si>
    <t xml:space="preserve">Anticuerpos frente a gingipaínas</t>
  </si>
  <si>
    <t xml:space="preserve">Teoría Porphyromonas gingivalis; ensayo sin resultados</t>
  </si>
  <si>
    <t xml:space="preserve">Hospital Universitario de Münster, registro NCT02109705</t>
  </si>
  <si>
    <t xml:space="preserve">Observacional caso-control prospectivo</t>
  </si>
  <si>
    <t xml:space="preserve">90 estimados</t>
  </si>
  <si>
    <t xml:space="preserve">Alzheimer, otras demencias, cognitivamente sanos</t>
  </si>
  <si>
    <t xml:space="preserve">2014-2021</t>
  </si>
  <si>
    <t xml:space="preserve">Medición de anticuerpos</t>
  </si>
  <si>
    <t xml:space="preserve">Cmax de anticuerpos frente a gingipaínas</t>
  </si>
  <si>
    <t xml:space="preserve">Completado; sin resultados en el registro.</t>
  </si>
  <si>
    <t xml:space="preserve">Univ. Hospital Muenster</t>
  </si>
  <si>
    <t xml:space="preserve">cita encontrada; cifra no comprobable en el resumen (NCT02109705 en CT.gov, sin resultados)</t>
  </si>
  <si>
    <t xml:space="preserve">NCT02109705</t>
  </si>
  <si>
    <t xml:space="preserve">https://clinicaltrials.gov/study/NCT02109705</t>
  </si>
  <si>
    <t xml:space="preserve">Antibióticos tempranos (NLRP3)</t>
  </si>
  <si>
    <t xml:space="preserve">Antibióticos tempranos / NLRP3</t>
  </si>
  <si>
    <t xml:space="preserve">Chlamydia pneumoniae en retina</t>
  </si>
  <si>
    <t xml:space="preserve">Gaire BP, Koronyo Y y cols., 2026, Nat Commun</t>
  </si>
  <si>
    <t xml:space="preserve">Tejido humano retina/cerebro, proteómica, neuronas y ratones APPSWE/PS1dE9</t>
  </si>
  <si>
    <t xml:space="preserve">Retina y cerebro de AD, MCI, controles; ratones</t>
  </si>
  <si>
    <t xml:space="preserve">Infección en cultivo y ratones</t>
  </si>
  <si>
    <t xml:space="preserve">C. pneumoniae, NLRP3, Aβ42, cognición</t>
  </si>
  <si>
    <t xml:space="preserve">Más carga en retina y cerebro AD, creciente con APOE e4, estadio y déficit; la infección indujo Aβ, inflamasoma y neurotoxicidad en cultivos y ratones, y la infección crónica empeoró la cognición. Los autores proponen atenuar NLRP3 o antibióticos tempranos.</t>
  </si>
  <si>
    <t xml:space="preserve">NIA (NIH)</t>
  </si>
  <si>
    <t xml:space="preserve">cita encontrada; cifra no comprobable en el resumen (PMID 41571675)</t>
  </si>
  <si>
    <t xml:space="preserve">PMID 41571675; DOI 10.1038/s41467-026-68580-4</t>
  </si>
  <si>
    <t xml:space="preserve">https://pubmed.ncbi.nlm.nih.gov/41571675/</t>
  </si>
  <si>
    <t xml:space="preserve">Antifúngicos</t>
  </si>
  <si>
    <t xml:space="preserve">Antifúngicos (hipótesis)</t>
  </si>
  <si>
    <t xml:space="preserve">Hongos en cerebro</t>
  </si>
  <si>
    <t xml:space="preserve">Pisa D, Alonso R, Carrasco L y cols., 2015, Sci Rep</t>
  </si>
  <si>
    <t xml:space="preserve">Tejido cerebral post mortem; anticuerpos y secuenciación de ADN</t>
  </si>
  <si>
    <t xml:space="preserve">Casos AD y controles, más 10 AD adicionales</t>
  </si>
  <si>
    <t xml:space="preserve">SNC de pacientes con AD y controles</t>
  </si>
  <si>
    <t xml:space="preserve">Ninguna intervención</t>
  </si>
  <si>
    <t xml:space="preserve">Células y hifas fúngicas</t>
  </si>
  <si>
    <t xml:space="preserve">Material fúngico en corteza frontal, cerebelo, entorrinal/hipocampo y plexo coroideo de AD, ausente en controles; las 10 AD adicionales infectadas; también en vasos sanguíneos; varias especies por secuenciación.</t>
  </si>
  <si>
    <t xml:space="preserve">cita encontrada; cifra no comprobable en el resumen (PMID 26468932)</t>
  </si>
  <si>
    <t xml:space="preserve">PMID 26468932; DOI 10.1038/srep15015</t>
  </si>
  <si>
    <t xml:space="preserve">https://pubmed.ncbi.nlm.nih.gov/26468932/</t>
  </si>
  <si>
    <t xml:space="preserve">Penicilina periódica</t>
  </si>
  <si>
    <t xml:space="preserve">Penicilina periódica y dispersor de biofilm (propuesta)</t>
  </si>
  <si>
    <t xml:space="preserve">Espiroquetas (Borrelia, Treponema denticola) y biofilm</t>
  </si>
  <si>
    <t xml:space="preserve">Allen HB, 2021, J Alzheimers Dis</t>
  </si>
  <si>
    <t xml:space="preserve">Hipótesis y protocolo, sin ensayo</t>
  </si>
  <si>
    <t xml:space="preserve">Penicilina periódica para prevención; penicilina más dispersor de biofilm en AD temprano</t>
  </si>
  <si>
    <t xml:space="preserve">Propuesta; control por análisis de sangre semicuantitativo</t>
  </si>
  <si>
    <t xml:space="preserve">Postula que las espiroquetas forman biofilms intra y extracelulares que originan ovillos y neuroinflamación. Propone ensayo; el resumen no aporta resultados.</t>
  </si>
  <si>
    <t xml:space="preserve">Pauta del autor según Norins: penicilina 1,2 millones UI cada 2 semanas x3, probenecid 500 mg x2, citalopram 20 mg, rifampicina 500 mg x2.</t>
  </si>
  <si>
    <t xml:space="preserve">cita encontrada; cifra no comprobable en el resumen (PMID 34542071)</t>
  </si>
  <si>
    <t xml:space="preserve">PMID 34542071; DOI 10.3233/JAD-210429</t>
  </si>
  <si>
    <t xml:space="preserve">https://pubmed.ncbi.nlm.nih.gov/34542071/</t>
  </si>
  <si>
    <t xml:space="preserve">Espiroquetas (sin intervención)</t>
  </si>
  <si>
    <t xml:space="preserve">Espiroquetas y neurodegeneración</t>
  </si>
  <si>
    <t xml:space="preserve">Borrelia, Treponema, Leptospira</t>
  </si>
  <si>
    <t xml:space="preserve">Horton M y cols., 2026, J Med Microbiol</t>
  </si>
  <si>
    <t xml:space="preserve">Revisión sistemática de observacionales</t>
  </si>
  <si>
    <t xml:space="preserve">27 estudios (13 T. pallidum, 13 B. burgdorferi, 1 Leptospira)</t>
  </si>
  <si>
    <t xml:space="preserve">Adultos</t>
  </si>
  <si>
    <t xml:space="preserve">2000-mayo 2025</t>
  </si>
  <si>
    <t xml:space="preserve">Sin intervención</t>
  </si>
  <si>
    <t xml:space="preserve">Asociación con cognición y neurodegeneración</t>
  </si>
  <si>
    <t xml:space="preserve">Sin metaanálisis global por heterogeneidad; síntesis cuantitativa solo de MMSE. Sífilis y leptospirosis: resultados cognitivos consistentes (resumen truncado, resto no transcrito).</t>
  </si>
  <si>
    <t xml:space="preserve">cita encontrada; cifra no comprobable en el resumen (PMID 41790564)</t>
  </si>
  <si>
    <t xml:space="preserve">PMID 41790564; DOI 10.1099/jmm.0.002136</t>
  </si>
  <si>
    <t xml:space="preserve">https://pubmed.ncbi.nlm.nih.gov/41790564/</t>
  </si>
  <si>
    <t xml:space="preserve">Erradicación de Helicobacter pylori</t>
  </si>
  <si>
    <t xml:space="preserve">Infección gástrica</t>
  </si>
  <si>
    <t xml:space="preserve">Keränen E y cols., 2025, Epidemiology</t>
  </si>
  <si>
    <t xml:space="preserve">Caso-control anidado, Finlandia</t>
  </si>
  <si>
    <t xml:space="preserve">70.520 casos y 281.233 controles</t>
  </si>
  <si>
    <t xml:space="preserve">AD diagnosticado 2005-2011</t>
  </si>
  <si>
    <t xml:space="preserve">exposición al menos 5 años antes</t>
  </si>
  <si>
    <t xml:space="preserve">Tratamiento erradicador dispensado</t>
  </si>
  <si>
    <t xml:space="preserve">OR 1,06 (1,02-1,11) crudo y 1,03 (0,99-1,07) ajustado; sin asociación acumulativa.</t>
  </si>
  <si>
    <t xml:space="preserve">cita encontrada; cifra coincide (PMID 39868701)</t>
  </si>
  <si>
    <t xml:space="preserve">PMID 39868701; DOI 10.1097/EDE.0000000000001831</t>
  </si>
  <si>
    <t xml:space="preserve">https://pubmed.ncbi.nlm.nih.gov/39868701/</t>
  </si>
  <si>
    <t xml:space="preserve">Beta-amiloide antimicrobiano</t>
  </si>
  <si>
    <t xml:space="preserve">Aβ como péptido antimicrobiano</t>
  </si>
  <si>
    <t xml:space="preserve">Aβ como defensa innata</t>
  </si>
  <si>
    <t xml:space="preserve">Kumar DK y cols., 2016, Sci Transl Med</t>
  </si>
  <si>
    <t xml:space="preserve">Ratones, gusanos y cultivos</t>
  </si>
  <si>
    <t xml:space="preserve">Modelos AD</t>
  </si>
  <si>
    <t xml:space="preserve">Expresión de Aβ frente a infecciones</t>
  </si>
  <si>
    <t xml:space="preserve">Protección frente a infección</t>
  </si>
  <si>
    <t xml:space="preserve">Aβ protege frente a infecciones fúngicas y bacterianas; su oligomerización puede ser necesaria; infección cerebral con Salmonella en 5XFAD sembró depósito de amiloide.</t>
  </si>
  <si>
    <t xml:space="preserve">Cure Alzheimer's Fund, Helmsley, NIAID, NIH</t>
  </si>
  <si>
    <t xml:space="preserve">cita encontrada; cifra no comprobable en el resumen (PMID 27225182)</t>
  </si>
  <si>
    <t xml:space="preserve">PMID 27225182; DOI 10.1126/scitranslmed.aaf1059</t>
  </si>
  <si>
    <t xml:space="preserve">https://pubmed.ncbi.nlm.nih.gov/27225182/</t>
  </si>
  <si>
    <t xml:space="preserve">Tau y amilina (sin intervención)</t>
  </si>
  <si>
    <t xml:space="preserve">Tau fosforilada y amilina como antimicrobianas</t>
  </si>
  <si>
    <t xml:space="preserve">Defensa innata</t>
  </si>
  <si>
    <t xml:space="preserve">Eimer WA y cols., 2026, Nat Neurosci; Vijaya Kumar DK y cols., 2025, Alzheimers Dement</t>
  </si>
  <si>
    <t xml:space="preserve">Neuronas humanas y C. elegans</t>
  </si>
  <si>
    <t xml:space="preserve">Células y gusanos</t>
  </si>
  <si>
    <t xml:space="preserve">Sin intervención terapéutica</t>
  </si>
  <si>
    <t xml:space="preserve">Neutralización de HSV-1; antibacteriano de amilina</t>
  </si>
  <si>
    <t xml:space="preserve">Tau fosforilada neutraliza HSV-1 uniéndose a cápsides. Amilina elimina &gt;=99,9% de bacterias a dosis bajas, sinergia con Aβ y protege células y C. elegans de Salmonella o Candida.</t>
  </si>
  <si>
    <t xml:space="preserve">Cure Alzheimer's Fund, NIA, Dake Family Foundation</t>
  </si>
  <si>
    <t xml:space="preserve">cita encontrada; cifra no comprobable en el resumen (PMID 41408481 y 40731182)</t>
  </si>
  <si>
    <t xml:space="preserve">PMID 41408481; PMID 40731182</t>
  </si>
  <si>
    <t xml:space="preserve">https://pubmed.ncbi.nlm.nih.gov/41408481/</t>
  </si>
  <si>
    <t xml:space="preserve">ADN HSV-1 (sin intervención)</t>
  </si>
  <si>
    <t xml:space="preserve">ADN de HSV-1 en cerebro</t>
  </si>
  <si>
    <t xml:space="preserve">Itzhaki, teoría herpética</t>
  </si>
  <si>
    <t xml:space="preserve">Jamieson GA, Itzhaki RF y cols., 1992, J Pathol</t>
  </si>
  <si>
    <t xml:space="preserve">Post mortem con PCR</t>
  </si>
  <si>
    <t xml:space="preserve">36 (21 AD, 15 ancianos normales) + jóvenes</t>
  </si>
  <si>
    <t xml:space="preserve">Cerebros</t>
  </si>
  <si>
    <t xml:space="preserve">Ninguna</t>
  </si>
  <si>
    <t xml:space="preserve">ADN del gen de timidina quinasa viral</t>
  </si>
  <si>
    <t xml:space="preserve">Positivo en 14/21 AD y 9/15 ancianos normales; corteza temporal e hipocampo habitualmente positivos; occipital negativo; jóvenes negativos.</t>
  </si>
  <si>
    <t xml:space="preserve">cita encontrada; cifra coincide (PMID 1328575)</t>
  </si>
  <si>
    <t xml:space="preserve">PMID 1328575; DOI 10.1002/path.1711670403</t>
  </si>
  <si>
    <t xml:space="preserve">https://pubmed.ncbi.nlm.nih.gov/1328575/</t>
  </si>
  <si>
    <t xml:space="preserve">Programa MEND</t>
  </si>
  <si>
    <t xml:space="preserve">Programa MEND (incluye componente antimicrobiano según su autor)</t>
  </si>
  <si>
    <t xml:space="preserve">Bredesen; medicina funcional multifactorial</t>
  </si>
  <si>
    <t xml:space="preserve">Bredesen DE, 2014, Aging</t>
  </si>
  <si>
    <t xml:space="preserve">Serie de 10 pacientes</t>
  </si>
  <si>
    <t xml:space="preserve">AD, DCL amnésico, deterioro subjetivo</t>
  </si>
  <si>
    <t xml:space="preserve">hasta 2,5 años</t>
  </si>
  <si>
    <t xml:space="preserve">Programa personalizado multimodal</t>
  </si>
  <si>
    <t xml:space="preserve">Cognición subjetiva y objetiva</t>
  </si>
  <si>
    <t xml:space="preserve">9 de 10 mejoraron en 3-6 meses; 6 volvieron al trabajo; el fallo fue un caso de AD muy avanzado.</t>
  </si>
  <si>
    <t xml:space="preserve">Subvenciones NIA</t>
  </si>
  <si>
    <t xml:space="preserve">cita encontrada; cifra coincide (PMID 25324467)</t>
  </si>
  <si>
    <t xml:space="preserve">PMID 25324467; DOI 10.18632/aging.100690</t>
  </si>
  <si>
    <t xml:space="preserve">https://pubmed.ncbi.nlm.nih.gov/25324467/</t>
  </si>
  <si>
    <t xml:space="preserve">Bredesen</t>
  </si>
  <si>
    <t xml:space="preserve">Bredesen DE y cols., 2016, Aging</t>
  </si>
  <si>
    <t xml:space="preserve">Serie de 10 con RM y neuropsicología</t>
  </si>
  <si>
    <t xml:space="preserve">10 (9 ApoE4+)</t>
  </si>
  <si>
    <t xml:space="preserve">Deterioro cognitivo</t>
  </si>
  <si>
    <t xml:space="preserve">5-24 meses</t>
  </si>
  <si>
    <t xml:space="preserve">MEND</t>
  </si>
  <si>
    <t xml:space="preserve">RM cuantitativa y tests</t>
  </si>
  <si>
    <t xml:space="preserve">Los autores describen mejora de magnitud sin precedentes (cifras no incluidas en el resumen).</t>
  </si>
  <si>
    <t xml:space="preserve">Subvenciones NIA; conflictos no consta en resumen</t>
  </si>
  <si>
    <t xml:space="preserve">cita encontrada; cifra no comprobable en el resumen (PMID 27294343)</t>
  </si>
  <si>
    <t xml:space="preserve">PMID 27294343; DOI 10.18632/aging.100981</t>
  </si>
  <si>
    <t xml:space="preserve">https://pubmed.ncbi.nlm.nih.gov/27294343/</t>
  </si>
  <si>
    <t xml:space="preserve">Protocolo ReCODE</t>
  </si>
  <si>
    <t xml:space="preserve">Medicina de precisión (ReCODE) frente a estándar</t>
  </si>
  <si>
    <t xml:space="preserve">Bredesen; ensayo pragmático</t>
  </si>
  <si>
    <t xml:space="preserve">EVANTHEA, Alzheimer's Prevention and Reversal Project, registro NCT05894954</t>
  </si>
  <si>
    <t xml:space="preserve">Aleatorizado, evaluador ciego</t>
  </si>
  <si>
    <t xml:space="preserve">73</t>
  </si>
  <si>
    <t xml:space="preserve">DCL o demencia temprana</t>
  </si>
  <si>
    <t xml:space="preserve">9 meses (2023-2026)</t>
  </si>
  <si>
    <t xml:space="preserve">Programa de precisión vs estándar AAN</t>
  </si>
  <si>
    <t xml:space="preserve">MoCA y CNS Vital Signs</t>
  </si>
  <si>
    <t xml:space="preserve">Completado en feb 2026, sin resultados publicados en el registro.</t>
  </si>
  <si>
    <t xml:space="preserve">Promotor: Alzheimer's Prevention and Reversal Project, Inc.</t>
  </si>
  <si>
    <t xml:space="preserve">cita encontrada; cifra no comprobable en el resumen (NCT05894954 en CT.gov, sin resultados)</t>
  </si>
  <si>
    <t xml:space="preserve">NCT05894954</t>
  </si>
  <si>
    <t xml:space="preserve">https://clinicaltrials.gov/study/NCT05894954</t>
  </si>
  <si>
    <t xml:space="preserve">Ivermectina</t>
  </si>
  <si>
    <t xml:space="preserve">Ivermectina 2 mg/kg</t>
  </si>
  <si>
    <t xml:space="preserve">Antiparasitario repropuesto</t>
  </si>
  <si>
    <t xml:space="preserve">Farajpour N, Soraya H, 2026, revista con DOI 10.1080/17582024</t>
  </si>
  <si>
    <t xml:space="preserve">Rata, estreptozotocina 3 mg/kg x2</t>
  </si>
  <si>
    <t xml:space="preserve">19 días</t>
  </si>
  <si>
    <t xml:space="preserve">Ivermectina intraperitoneal 2 mg/kg</t>
  </si>
  <si>
    <t xml:space="preserve">Histología, placas Aβ, acetilcolinesterasa, memoria</t>
  </si>
  <si>
    <t xml:space="preserve">Redujo neuronas picnóticas, placas Aβ y acetilcolinesterasa y mejoró aprendizaje y memoria.</t>
  </si>
  <si>
    <t xml:space="preserve">cita encontrada; cifra no comprobable en el resumen (PMID 40879672)</t>
  </si>
  <si>
    <t xml:space="preserve">PMID 40879672; DOI 10.1080/17582024.2025.2554374</t>
  </si>
  <si>
    <t xml:space="preserve">https://pubmed.ncbi.nlm.nih.gov/40879672/</t>
  </si>
  <si>
    <t xml:space="preserve">Artemisinina</t>
  </si>
  <si>
    <t xml:space="preserve">Medicina china; antimalárico</t>
  </si>
  <si>
    <t xml:space="preserve">Chen Y y cols., 2026, Am J Chin Med</t>
  </si>
  <si>
    <t xml:space="preserve">SH-SY5Y, neuronas primarias y ratones 3xTg-AD</t>
  </si>
  <si>
    <t xml:space="preserve">ROS, mitocondria, Aβ1-42, apoptosis, cognición</t>
  </si>
  <si>
    <t xml:space="preserve">Redujo ROS, restauró función mitocondrial, disminuyó Aβ1-42 y alivió déficits cognitivos; efectos abolidos por inhibidores de PKA o CaMK IV.</t>
  </si>
  <si>
    <t xml:space="preserve">NSFC, Univ. Macau y otros</t>
  </si>
  <si>
    <t xml:space="preserve">cita encontrada; cifra coincide (PMID 42623143)</t>
  </si>
  <si>
    <t xml:space="preserve">PMID 42623143; DOI 10.1142/S0192415X26500667</t>
  </si>
  <si>
    <t xml:space="preserve">https://pubmed.ncbi.nlm.nih.gov/42623143/</t>
  </si>
  <si>
    <t xml:space="preserve">Artemisinina + N-acetilcisteína + resveratrol + hesperidina</t>
  </si>
  <si>
    <t xml:space="preserve">Combinación nutracéutica; Irán</t>
  </si>
  <si>
    <t xml:space="preserve">Mohamadpour M y cols., 2026, Neurochem Res</t>
  </si>
  <si>
    <t xml:space="preserve">Rata STZ-ICV, 4 grupos</t>
  </si>
  <si>
    <t xml:space="preserve">30 días</t>
  </si>
  <si>
    <t xml:space="preserve">Combinación oral</t>
  </si>
  <si>
    <t xml:space="preserve">Morris, tau fosforilada, Aβ, caspasa-3</t>
  </si>
  <si>
    <t xml:space="preserve">Mejora parcial de conducta y reducción de Aβ, p-tau y caspasa-3 con mayor preservación neuronal.</t>
  </si>
  <si>
    <t xml:space="preserve">Ministry of Science Research and Technology</t>
  </si>
  <si>
    <t xml:space="preserve">cita encontrada; cifra no comprobable en el resumen (PMID 42440180)</t>
  </si>
  <si>
    <t xml:space="preserve">PMID 42440180; DOI 10.1007/s11064-026-04833-4</t>
  </si>
  <si>
    <t xml:space="preserve">https://pubmed.ncbi.nlm.nih.gov/42440180/</t>
  </si>
  <si>
    <t xml:space="preserve">Ozonoterapia (autohemoterapia)</t>
  </si>
  <si>
    <t xml:space="preserve">Autohemoterapia mayor con oxígeno-ozono</t>
  </si>
  <si>
    <t xml:space="preserve">Ozonoterapia; Italia</t>
  </si>
  <si>
    <t xml:space="preserve">Micarelli A y cols., 2026, Neurol Int</t>
  </si>
  <si>
    <t xml:space="preserve">Cohorte retrospectiva, 10 sesiones</t>
  </si>
  <si>
    <t xml:space="preserve">81 DCL y 93 controles</t>
  </si>
  <si>
    <t xml:space="preserve">5 semanas</t>
  </si>
  <si>
    <t xml:space="preserve">2 sesiones/semana</t>
  </si>
  <si>
    <t xml:space="preserve">Olfato (Sniffin Sticks), MMSE, MoCA</t>
  </si>
  <si>
    <t xml:space="preserve">Normósmicos de 32,1% a 50,6%; MoCA total aumentó; MMSE sin cambio. Los autores advierten que no se puede atribuir causalidad sin ensayo con simulacro.</t>
  </si>
  <si>
    <t xml:space="preserve">cita encontrada; cifra coincide (PMID 41893043)</t>
  </si>
  <si>
    <t xml:space="preserve">PMID 41893043; DOI 10.3390/neurolint18030041</t>
  </si>
  <si>
    <t xml:space="preserve">https://pubmed.ncbi.nlm.nih.gov/41893043/</t>
  </si>
  <si>
    <t xml:space="preserve">Nanopartículas de plata</t>
  </si>
  <si>
    <t xml:space="preserve">Nanopartículas de plata dietéticas</t>
  </si>
  <si>
    <t xml:space="preserve">Plata coloidal</t>
  </si>
  <si>
    <t xml:space="preserve">Shou R y cols., 2026, npj Sci Food</t>
  </si>
  <si>
    <t xml:space="preserve">Ratones expuestos crónicamente</t>
  </si>
  <si>
    <t xml:space="preserve">crónica</t>
  </si>
  <si>
    <t xml:space="preserve">Suplemento de nanopartículas de plata</t>
  </si>
  <si>
    <t xml:space="preserve">Microbiota, neuroinflamación, Aβ, cognición</t>
  </si>
  <si>
    <t xml:space="preserve">Se acumulan en intestino, cerebro e hígado y causan lesiones tipo Alzheimer, deterioro cognitivo y depósito de Aβ; Bifidobacterium breve MCC1274 las alivió.</t>
  </si>
  <si>
    <t xml:space="preserve">Lesiones tipo Alzheimer reportadas</t>
  </si>
  <si>
    <t xml:space="preserve">NSFC y programas de Zhejiang</t>
  </si>
  <si>
    <t xml:space="preserve">cita encontrada; cifra coincide (PMID 41935066)</t>
  </si>
  <si>
    <t xml:space="preserve">PMID 41935066; DOI 10.1038/s41538-026-00820-9</t>
  </si>
  <si>
    <t xml:space="preserve">https://pubmed.ncbi.nlm.nih.gov/41935066/</t>
  </si>
  <si>
    <t xml:space="preserve">Ceftriaxona</t>
  </si>
  <si>
    <t xml:space="preserve">Antibiótico y transportador de glutamato GLT-1</t>
  </si>
  <si>
    <t xml:space="preserve">Feng NN y cols., 2025, Neuropharmacology</t>
  </si>
  <si>
    <t xml:space="preserve">Ratones APP/PS1 y C57BL/6J</t>
  </si>
  <si>
    <t xml:space="preserve">Cognición (NOR, NLR, Morris), tau, estrés de RE, Gsk3b</t>
  </si>
  <si>
    <t xml:space="preserve">Redujo marcadores de estrés de retículo, fosforilación de tau y actividad de Gsk3b y mejoró el deterioro cognitivo.</t>
  </si>
  <si>
    <t xml:space="preserve">NSFC y Henan</t>
  </si>
  <si>
    <t xml:space="preserve">cita encontrada; cifra no comprobable en el resumen (PMID 40716511)</t>
  </si>
  <si>
    <t xml:space="preserve">PMID 40716511; DOI 10.1016/j.neuropharm.2025.110600</t>
  </si>
  <si>
    <t xml:space="preserve">https://pubmed.ncbi.nlm.nih.gov/40716511/</t>
  </si>
  <si>
    <t xml:space="preserve">Antimicrobianos por patógeno</t>
  </si>
  <si>
    <t xml:space="preserve">Antimicrobianos por patógeno (propuesta)</t>
  </si>
  <si>
    <t xml:space="preserve">Alzheimer's Germ Quest</t>
  </si>
  <si>
    <t xml:space="preserve">Norins LC, 2021, Antibiotics</t>
  </si>
  <si>
    <t xml:space="preserve">Revisión de propuestas de ensayo</t>
  </si>
  <si>
    <t xml:space="preserve">Aciclovir, penciclovir, foscarnet, valaciclovir 4 g/día, penicilina, doxiciclina 200 mg + rifampicina 300 mg, rifampicina &gt;=450 mg/día, nitazoxanida, dapsona 100 mg/día</t>
  </si>
  <si>
    <t xml:space="preserve">Propuesta</t>
  </si>
  <si>
    <t xml:space="preserve">Lista de antimicrobianos candidatos por patógeno (virus herpes, espiroquetas, C. pneumoniae, P. gingivalis, Toxoplasma, micobacterias).</t>
  </si>
  <si>
    <t xml:space="preserve">Sin financiación externa; autor fundador de la organización benéfica Alzheimer's Germ Quest</t>
  </si>
  <si>
    <t xml:space="preserve">cita encontrada; cifra no comprobable en el resumen (DOI 10.3390/antibiotics10030327; PMC8003809 existe)</t>
  </si>
  <si>
    <t xml:space="preserve">DOI 10.3390/antibiotics10030327</t>
  </si>
  <si>
    <t xml:space="preserve">https://pmc.ncbi.nlm.nih.gov/articles/PMC8003809/</t>
  </si>
  <si>
    <t xml:space="preserve">metabolico_cetonas</t>
  </si>
  <si>
    <t xml:space="preserve">Triglicérido caprílico (Axona)</t>
  </si>
  <si>
    <t xml:space="preserve">AC-1202 (triglicérido caprílico, base de Axona)</t>
  </si>
  <si>
    <t xml:space="preserve">MCT/cetonas; Accera</t>
  </si>
  <si>
    <t xml:space="preserve">Henderson et al., 2009, Nutr Metab (Lond)</t>
  </si>
  <si>
    <t xml:space="preserve">doble ciego, placebo, multicéntrico, paralelo</t>
  </si>
  <si>
    <t xml:space="preserve">152</t>
  </si>
  <si>
    <t xml:space="preserve">AC-1202 diario (dosis exacta no recogida en el resumen), dieta normal y fármacos habituales</t>
  </si>
  <si>
    <t xml:space="preserve">ADAS-Cog y ADCS-CGIC; BHB sérico; estratificación por APOE4</t>
  </si>
  <si>
    <t xml:space="preserve">ADAS-Cog día 45: diferencia 1,9 puntos, p=0,0235 (ITT). En APOE4 negativos (N=55 ITT): 4,77 puntos día 45 (p=0,0005) y 3,36 día 90 (p=0,0148). Por protocolo APOE4-: 5,73 (p=0,0027) y 4,39 (p=0,0143). Cumplidores APOE4-: 6,26 (p=0,0011) y 5,33 (p=0,0063). Correlación BHB-ADAS-Cog en APOE4- día 90 p=0,008.</t>
  </si>
  <si>
    <t xml:space="preserve">Más frecuentes con AC-1202, sobre todo digestivos, leves-moderados y transitorios</t>
  </si>
  <si>
    <t xml:space="preserve">Financiado y diseñado por Accera Inc.; SH, LB, JV, FG y LC son o fueron empleados de Accera, que también escribió el artículo</t>
  </si>
  <si>
    <t xml:space="preserve">cita encontrada; cifra coincide (PMID 19664276)</t>
  </si>
  <si>
    <t xml:space="preserve">PMID 19664276; DOI 10.1186/1743-7075-6-31; NCT00142805</t>
  </si>
  <si>
    <t xml:space="preserve">https://pubmed.ncbi.nlm.nih.gov/19664276/</t>
  </si>
  <si>
    <t xml:space="preserve">Aceite MCT</t>
  </si>
  <si>
    <t xml:space="preserve">MCT en bebida emulsionada (dosis única)</t>
  </si>
  <si>
    <t xml:space="preserve">MCT/cetonas</t>
  </si>
  <si>
    <t xml:space="preserve">Reger et al., 2004, Neurobiol Aging</t>
  </si>
  <si>
    <t xml:space="preserve">cruzado, dosis única, día MCT vs día placebo</t>
  </si>
  <si>
    <t xml:space="preserve">Alzheimer o deterioro cognitivo leve</t>
  </si>
  <si>
    <t xml:space="preserve">Dos días de prueba</t>
  </si>
  <si>
    <t xml:space="preserve">Bebida con MCT emulsionado vs placebo</t>
  </si>
  <si>
    <t xml:space="preserve">BHB; ADAS-Cog; recuerdo de párrafo; efecto de APOE</t>
  </si>
  <si>
    <t xml:space="preserve">BHB subió a los 90 min (P=0,007). ADAS-Cog mejoró en APOE4 negativos pero no en positivos (P=0,04). Mayor cetona se asoció a mayor mejora en recuerdo de párrafo (P=0,02).</t>
  </si>
  <si>
    <t xml:space="preserve">no consta en el resumen (varios autores de la línea Accera/Henderson)</t>
  </si>
  <si>
    <t xml:space="preserve">cita encontrada; cifra coincide (PMID 15123336)</t>
  </si>
  <si>
    <t xml:space="preserve">PMID 15123336; DOI 10.1016/S0197-4580(03)00087-3</t>
  </si>
  <si>
    <t xml:space="preserve">https://pubmed.ncbi.nlm.nih.gov/15123336/</t>
  </si>
  <si>
    <t xml:space="preserve">Dieta cetogénica</t>
  </si>
  <si>
    <t xml:space="preserve">Dieta muy baja en carbohidratos (cetosis dietética)</t>
  </si>
  <si>
    <t xml:space="preserve">Krikorian et al., 2012, Neurobiol Aging</t>
  </si>
  <si>
    <t xml:space="preserve">dos grupos: alta vs muy baja en carbohidratos</t>
  </si>
  <si>
    <t xml:space="preserve">23</t>
  </si>
  <si>
    <t xml:space="preserve">6 semanas</t>
  </si>
  <si>
    <t xml:space="preserve">Dieta muy baja en carbohidratos</t>
  </si>
  <si>
    <t xml:space="preserve">Memoria verbal, peso, cintura, glucosa e insulina en ayunas, cetonas</t>
  </si>
  <si>
    <t xml:space="preserve">Memoria verbal mejoró en dieta baja en carbohidratos (p=0,01); peso p&lt;0,0001; cintura p&lt;0,0001; glucosa en ayunas p=0,009; insulina en ayunas p=0,005. Cetonas correlacionaron con memoria (p=0,04). Depresión sin cambio.</t>
  </si>
  <si>
    <t xml:space="preserve">no consta (texto no abierto)</t>
  </si>
  <si>
    <t xml:space="preserve">Dieta muy baja en carbohidratos 6 semanas (según el estudio).</t>
  </si>
  <si>
    <t xml:space="preserve">cita encontrada; cifra coincide (PMID 21130529)</t>
  </si>
  <si>
    <t xml:space="preserve">PMID 21130529; DOI 10.1016/j.neurobiolaging.2010.10.006</t>
  </si>
  <si>
    <t xml:space="preserve">https://pubmed.ncbi.nlm.nih.gov/21130529/</t>
  </si>
  <si>
    <t xml:space="preserve">Fórmula cetogénica con MCT (Ketonformula)</t>
  </si>
  <si>
    <t xml:space="preserve">MCT/cetonas; Japón</t>
  </si>
  <si>
    <t xml:space="preserve">Ota et al., 2019, Neurosci Lett</t>
  </si>
  <si>
    <t xml:space="preserve">fase aguda cruzada y fase crónica abierta</t>
  </si>
  <si>
    <t xml:space="preserve">20 (16 completaron 12 semanas)</t>
  </si>
  <si>
    <t xml:space="preserve">Alzheimer leve-moderado, japoneses</t>
  </si>
  <si>
    <t xml:space="preserve">Dosis única y luego hasta 12 semanas</t>
  </si>
  <si>
    <t xml:space="preserve">50 g/día de fórmula con 20 g de MCT</t>
  </si>
  <si>
    <t xml:space="preserve">Pruebas neurocognitivas mensuales, cetonas</t>
  </si>
  <si>
    <t xml:space="preserve">Dosis única: cetonas subieron, sin diferencia cognitiva vs placebo. Crónico: a las 8 semanas mejoraron memoria lógica inmediata y diferida vs basal; a las 12 semanas digit-symbol e inmediata.</t>
  </si>
  <si>
    <t xml:space="preserve">cita encontrada; cifra no comprobable en el resumen (PMID 30367958; la fila no da cifras de resultado)</t>
  </si>
  <si>
    <t xml:space="preserve">PMID 30367958; DOI 10.1016/j.neulet.2018.10.048</t>
  </si>
  <si>
    <t xml:space="preserve">https://pubmed.ncbi.nlm.nih.gov/30367958/</t>
  </si>
  <si>
    <t xml:space="preserve">Dieta cetogénica con MCT (3 meses)</t>
  </si>
  <si>
    <t xml:space="preserve">Taylor et al., 2018, Alzheimers Dement (N Y)</t>
  </si>
  <si>
    <t xml:space="preserve">viabilidad, un solo brazo, 3 meses de dieta y 1 de lavado</t>
  </si>
  <si>
    <t xml:space="preserve">15 incluidos (10 completaron)</t>
  </si>
  <si>
    <t xml:space="preserve">Alzheimer CDR 0,5, 1 y 2</t>
  </si>
  <si>
    <t xml:space="preserve">3 meses + 1 de lavado</t>
  </si>
  <si>
    <t xml:space="preserve">Dieta cetogénica suplementada con MCT</t>
  </si>
  <si>
    <t xml:space="preserve">ADAS-Cog, MMSE, acetoacetato en orina, BHB</t>
  </si>
  <si>
    <t xml:space="preserve">Los 10 que terminaron alcanzaron cetosis. ADAS-Cog mejoró 4,1 puntos durante la dieta (P=0,02) y volvió a la línea base tras el lavado. Un CDR 0,5 y todos los CDR 2 abandonaron por carga del cuidador.</t>
  </si>
  <si>
    <t xml:space="preserve">La mayoría relacionados con MCT</t>
  </si>
  <si>
    <t xml:space="preserve">Universidad de Kansas ADC (P30AG035982), CTSA Heartland, Stop Alzheimer's Now Foundation; un autor declara honorarios de Accera y apoyo de otras farmacéuticas</t>
  </si>
  <si>
    <t xml:space="preserve">Dieta cetogénica con MCT 3 meses con apoyo de cuidador (según el estudio).</t>
  </si>
  <si>
    <t xml:space="preserve">cita encontrada; cifra coincide (PMID 29955649; 4,1 puntos y P=0,02 presentes)</t>
  </si>
  <si>
    <t xml:space="preserve">PMID 29955649; DOI 10.1016/j.trci.2017.11.002; NCT03690193</t>
  </si>
  <si>
    <t xml:space="preserve">https://pubmed.ncbi.nlm.nih.gov/29955649/</t>
  </si>
  <si>
    <t xml:space="preserve">Dieta cetogénica modificada</t>
  </si>
  <si>
    <t xml:space="preserve">Phillips et al., 2021, Alzheimers Res Ther</t>
  </si>
  <si>
    <t xml:space="preserve">cruzado de dos periodos, evaluador ciego</t>
  </si>
  <si>
    <t xml:space="preserve">26 (21 completaron la dieta)</t>
  </si>
  <si>
    <t xml:space="preserve">12 semanas por periodo, 10 de lavado</t>
  </si>
  <si>
    <t xml:space="preserve">Dieta cetogénica modificada vs dieta habitual con guías bajas en grasa</t>
  </si>
  <si>
    <t xml:space="preserve">ACE-III, ADCS-ADL, QOL-AD, factores cardiovasculares</t>
  </si>
  <si>
    <t xml:space="preserve">BHB medio 0,95 ± 0,34 mmol/L. ADCS-ADL +3,13 ± 5,01 (P=0,0067); QOL-AD +3,37 ± 6,86 (P=0,023); ACE-III +2,12 ± 8,70 (P=0,24, no significativo).</t>
  </si>
  <si>
    <t xml:space="preserve">Leves; una retirada atribuida a la dieta</t>
  </si>
  <si>
    <t xml:space="preserve">Waikato Medical Research Foundation, sin papel en el diseño; autores sin conflictos (una autora tiene un negocio de coaching de alimentación sin relación con las recetas)</t>
  </si>
  <si>
    <t xml:space="preserve">cita encontrada; cifra coincide (PMID 33622392)</t>
  </si>
  <si>
    <t xml:space="preserve">PMID 33622392; DOI 10.1186/s13195-021-00783-x; ACTRN12618001450202</t>
  </si>
  <si>
    <t xml:space="preserve">https://pubmed.ncbi.nlm.nih.gov/33622392/</t>
  </si>
  <si>
    <t xml:space="preserve">Aceite MCT 42 g/día o dosis máxima tolerada</t>
  </si>
  <si>
    <t xml:space="preserve">Juby et al., 2022, Alzheimers Dement (N Y)</t>
  </si>
  <si>
    <t xml:space="preserve">doble ciego, cruzado 6 meses, con extensión abierta de 6 meses</t>
  </si>
  <si>
    <t xml:space="preserve">Alzheimer probable, edad media 72,6</t>
  </si>
  <si>
    <t xml:space="preserve">6 + 6 meses</t>
  </si>
  <si>
    <t xml:space="preserve">Aceite MCT; consumo medio 1,8 cucharadas/día (25,2 g, 234 kcal)</t>
  </si>
  <si>
    <t xml:space="preserve">MMSE, MoCA, Cognigram</t>
  </si>
  <si>
    <t xml:space="preserve">80% estables o mejor. Mayor exposición a MCT y edad &gt;73 años dieron MMSE final más alto (P&lt;0,001).</t>
  </si>
  <si>
    <t xml:space="preserve">Aceite MCT en cucharadas diarias, ramp-up hasta dosis tolerada (según el estudio).</t>
  </si>
  <si>
    <t xml:space="preserve">MCT aceite: no consta precio en la fuente</t>
  </si>
  <si>
    <t xml:space="preserve">cita encontrada; cifra coincide (PMID 35310527; 80% y 42 g presentes; P&lt;0,001 truncado en el resumen)</t>
  </si>
  <si>
    <t xml:space="preserve">PMID 35310527; DOI 10.1002/trc2.12259</t>
  </si>
  <si>
    <t xml:space="preserve">https://pubmed.ncbi.nlm.nih.gov/35310527/</t>
  </si>
  <si>
    <t xml:space="preserve">Aceite de coco</t>
  </si>
  <si>
    <t xml:space="preserve">Aceite de coco virgen 30 mL/día</t>
  </si>
  <si>
    <t xml:space="preserve">Aceite de coco; Sri Lanka</t>
  </si>
  <si>
    <t xml:space="preserve">Fernando et al., 2023, J Alzheimers Dis (VCO-AD)</t>
  </si>
  <si>
    <t xml:space="preserve">doble ciego, controlado con aceite de canola</t>
  </si>
  <si>
    <t xml:space="preserve">Alzheimer leve-moderado (MMSE 15-25), &gt;65 años</t>
  </si>
  <si>
    <t xml:space="preserve">30 mL/día de aceite de coco virgen vs canola</t>
  </si>
  <si>
    <t xml:space="preserve">MMSE, test del reloj, lípidos, HbA1c</t>
  </si>
  <si>
    <t xml:space="preserve">Sin diferencias significativas globales en cognición, lípidos ni HbA1c. MMSE mejoró en portadores APOE e4 con aceite de coco frente a no portadores (2,37, p=0,021). Abandono 30%.</t>
  </si>
  <si>
    <t xml:space="preserve">No comprometió lípidos ni HbA1c según el estudio</t>
  </si>
  <si>
    <t xml:space="preserve">30 mL/día de aceite de coco virgen durante 24 semanas (según el estudio).</t>
  </si>
  <si>
    <t xml:space="preserve">cita encontrada; cifra coincide (PMID 37980665)</t>
  </si>
  <si>
    <t xml:space="preserve">PMID 37980665; DOI 10.3233/JAD-230670; SLCTR/2015/018</t>
  </si>
  <si>
    <t xml:space="preserve">https://pubmed.ncbi.nlm.nih.gov/37980665/</t>
  </si>
  <si>
    <t xml:space="preserve">Dieta mediterránea enriquecida con aceite de coco</t>
  </si>
  <si>
    <t xml:space="preserve">Aceite de coco; España</t>
  </si>
  <si>
    <t xml:space="preserve">De la Rubia Ortí et al., 2018, J Alzheimers Dis</t>
  </si>
  <si>
    <t xml:space="preserve">pilot, dos grupos</t>
  </si>
  <si>
    <t xml:space="preserve">44 (22 y 22)</t>
  </si>
  <si>
    <t xml:space="preserve">Dieta mediterránea isocalórica enriquecida con aceite de coco</t>
  </si>
  <si>
    <t xml:space="preserve">7 Minute Screen (orientación, memoria semántica y episódica)</t>
  </si>
  <si>
    <t xml:space="preserve">Mejoras en memoria episódica, orientación temporal y memoria semántica; efecto más evidente en mujeres con estadio leve-moderado; también mejoras en varones y estadio grave (sin cifras en el resumen).</t>
  </si>
  <si>
    <t xml:space="preserve">cita encontrada; cifra no comprobable en el resumen (PMID 30056419; la fila no da cifras de resultado)</t>
  </si>
  <si>
    <t xml:space="preserve">PMID 30056419; DOI 10.3233/JAD-180184</t>
  </si>
  <si>
    <t xml:space="preserve">https://pubmed.ncbi.nlm.nih.gov/30056419/</t>
  </si>
  <si>
    <t xml:space="preserve">kMCT (triglicérido de cadena media cetogénico) 30 g/día</t>
  </si>
  <si>
    <t xml:space="preserve">MCT/cetonas; Canadá</t>
  </si>
  <si>
    <t xml:space="preserve">Fortier et al., 2019, Alzheimers Dement</t>
  </si>
  <si>
    <t xml:space="preserve">ciego, placebo</t>
  </si>
  <si>
    <t xml:space="preserve">52</t>
  </si>
  <si>
    <t xml:space="preserve">30 g/día de kMCT</t>
  </si>
  <si>
    <t xml:space="preserve">Captación cerebral de cetonas y glucosa por PET; cognición</t>
  </si>
  <si>
    <t xml:space="preserve">Metabolismo cerebral de cetonas +230% (P&lt;0,001); captación de glucosa sin cambio. Mejoraron memoria episódica, lenguaje, función ejecutiva y velocidad de procesamiento vs basal. 75% completaron.</t>
  </si>
  <si>
    <t xml:space="preserve">Universidad de Sherbrooke, MITACS, Alzheimer Association</t>
  </si>
  <si>
    <t xml:space="preserve">cita encontrada; cifra coincide (PMID 31027873; 230% y n=52 presentes; P&lt;0,001 y 75% no aparecen en el resumen)</t>
  </si>
  <si>
    <t xml:space="preserve">PMID 31027873; DOI 10.1016/j.jalz.2018.12.017</t>
  </si>
  <si>
    <t xml:space="preserve">https://pubmed.ncbi.nlm.nih.gov/31027873/</t>
  </si>
  <si>
    <t xml:space="preserve">kMCT 15 g dos veces al día</t>
  </si>
  <si>
    <t xml:space="preserve">Fortier et al., 2021, Alzheimers Dement</t>
  </si>
  <si>
    <t xml:space="preserve">83 (39 kMCT, 44 placebo)</t>
  </si>
  <si>
    <t xml:space="preserve">15 g de kMCT dos veces/día</t>
  </si>
  <si>
    <t xml:space="preserve">Recuerdo libre y con pistas, fluidez, Boston Naming, Trail-Making</t>
  </si>
  <si>
    <t xml:space="preserve">Mejoraron vs placebo: recuerdo libre y con pistas P=0,047, fluidez de categorías P=0,024, Boston Naming P=0,033, errores Trail-Making P=0,017. Perfil metabólico plasmático y cetonas sin cambio.</t>
  </si>
  <si>
    <t xml:space="preserve">Alzheimer Association (Part the Cloud) y Nestlé Health Sciences (fase 2); Abitec aportó el aceite</t>
  </si>
  <si>
    <t xml:space="preserve">cita encontrada; cifra coincide (PMID 33103819; P=0,047, 0,024, 0,033 y 0,017 presentes)</t>
  </si>
  <si>
    <t xml:space="preserve">PMID 33103819; DOI 10.1002/alz.12206</t>
  </si>
  <si>
    <t xml:space="preserve">https://pubmed.ncbi.nlm.nih.gov/33103819/</t>
  </si>
  <si>
    <t xml:space="preserve">Beta-hidroxibutirato (sales)</t>
  </si>
  <si>
    <t xml:space="preserve">Sales de BHB + nicotinamida ribósido (BREAK-AD)</t>
  </si>
  <si>
    <t xml:space="preserve">Éster/sales de cetonas</t>
  </si>
  <si>
    <t xml:space="preserve">Roy et al., 2026, Alzheimers Dement (N Y)</t>
  </si>
  <si>
    <t xml:space="preserve">30 (15 y 15)</t>
  </si>
  <si>
    <t xml:space="preserve">Sales de beta-hidroxibutirato + nicotinamida ribósido</t>
  </si>
  <si>
    <t xml:space="preserve">PET cetonas y glucosa, difusión RM, densidad de mielina, cognición</t>
  </si>
  <si>
    <t xml:space="preserve">Captación cerebral de cetonas gris x2,4 (el resumen recupera p truncado). Velocidad de procesamiento mejoró y se asoció a densidad de mielina (r=-0,39 a -0,59; p=0,002-0,046) y captación de cetonas (r=-0,40 a -0,52; p=0,010-0,046).</t>
  </si>
  <si>
    <t xml:space="preserve">cita encontrada; cifra coincide (PMID 42344884)</t>
  </si>
  <si>
    <t xml:space="preserve">PMID 42344884; DOI 10.1002/trc2.70278</t>
  </si>
  <si>
    <t xml:space="preserve">https://pubmed.ncbi.nlm.nih.gov/?term=42344884</t>
  </si>
  <si>
    <t xml:space="preserve">Ésteres de cetona</t>
  </si>
  <si>
    <t xml:space="preserve">Monoéster de cetona oral</t>
  </si>
  <si>
    <t xml:space="preserve">Éster de cetonas; Mary Newport</t>
  </si>
  <si>
    <t xml:space="preserve">Newport et al., 2015, Alzheimers Dement</t>
  </si>
  <si>
    <t xml:space="preserve">caso único</t>
  </si>
  <si>
    <t xml:space="preserve">Alzheimer, MMSE 12 previo</t>
  </si>
  <si>
    <t xml:space="preserve">20 meses</t>
  </si>
  <si>
    <t xml:space="preserve">Monoéster de cetona (KME) oral prolongado</t>
  </si>
  <si>
    <t xml:space="preserve">Estado de ánimo, autocuidado, cognición, BHB plasmático</t>
  </si>
  <si>
    <t xml:space="preserve">Mejoría marcada en ánimo, afecto, autocuidado y actividad; el rendimiento cognitivo siguió las concentraciones de BHB; bien tolerado 20 meses.</t>
  </si>
  <si>
    <t xml:space="preserve">Bien tolerado según el caso</t>
  </si>
  <si>
    <t xml:space="preserve">no consta en el resumen (autores incluyen a Newport, VanItallie, Kashiwaya)</t>
  </si>
  <si>
    <t xml:space="preserve">cita encontrada; cifra coincide (PMID 25301680)</t>
  </si>
  <si>
    <t xml:space="preserve">PMID 25301680; DOI 10.1016/j.jalz.2014.01.006</t>
  </si>
  <si>
    <t xml:space="preserve">https://pubmed.ncbi.nlm.nih.gov/25301680/</t>
  </si>
  <si>
    <t xml:space="preserve">Dieta cetogénica + ayuno con horario restringido</t>
  </si>
  <si>
    <t xml:space="preserve">Dieta cetogénica; Bredesen</t>
  </si>
  <si>
    <t xml:space="preserve">Morrill y Gibas, 2019, Diabetes Metab Syndr</t>
  </si>
  <si>
    <t xml:space="preserve">Mujer 71 años, ApoE4 heterocigota, Alzheimer leve y síndrome metabólico</t>
  </si>
  <si>
    <t xml:space="preserve">10 semanas</t>
  </si>
  <si>
    <t xml:space="preserve">Dieta cetogénica, comida restringida en el tiempo, ejercicio físico y cognitivo</t>
  </si>
  <si>
    <t xml:space="preserve">MoCA, HOMA-IR, triglicéridos, VLDL, HbA1c</t>
  </si>
  <si>
    <t xml:space="preserve">MoCA 21/30 a 28/30. HOMA-IR bajó 75% (13,9 a 3,48). Triglicéridos 170 a 85 mg/dL. VLDL 34 a 17. HbA1c 5,7% a 4,9%.</t>
  </si>
  <si>
    <t xml:space="preserve">cita encontrada; cifra coincide (PMID 31336463)</t>
  </si>
  <si>
    <t xml:space="preserve">PMID 31336463; DOI 10.1016/j.dsx.2019.01.035</t>
  </si>
  <si>
    <t xml:space="preserve">https://pubmed.ncbi.nlm.nih.gov/31336463/</t>
  </si>
  <si>
    <t xml:space="preserve">Fotobiomodulación (infrarrojo)</t>
  </si>
  <si>
    <t xml:space="preserve">Cetosis nutricional + fotobiomodulación</t>
  </si>
  <si>
    <t xml:space="preserve">Horner et al., 2020, Photodiagnosis Photodyn Ther</t>
  </si>
  <si>
    <t xml:space="preserve">Varón 59 años, ApoE4 heterocigoto, Alzheimer leve, diabetes tipo 2 insulinodependiente 11 años</t>
  </si>
  <si>
    <t xml:space="preserve">Protocolo nutricional cetogénico + fotobiomodulación transcraneal</t>
  </si>
  <si>
    <t xml:space="preserve">MoCA, HOMA-IR, HbA1c, lípidos</t>
  </si>
  <si>
    <t xml:space="preserve">HOMA-IR -83%; ratio triglicéridos/HDL -64%; HbA1c 9,44% a 6,4%; VLDL y triglicéridos -57%; MoCA 26/30 tras la intervención.</t>
  </si>
  <si>
    <t xml:space="preserve">cita encontrada; cifra coincide (PMID 32305654)</t>
  </si>
  <si>
    <t xml:space="preserve">PMID 32305654; DOI 10.1016/j.pdpdt.2020.101777</t>
  </si>
  <si>
    <t xml:space="preserve">https://pubmed.ncbi.nlm.nih.gov/32305654/</t>
  </si>
  <si>
    <t xml:space="preserve">Bosworth et al., 2022, Front Psychiatry</t>
  </si>
  <si>
    <t xml:space="preserve">Mujer 47 años con síndrome de Down, Alzheimer y crisis de ausencia</t>
  </si>
  <si>
    <t xml:space="preserve">Dieta cetogénica terapéutica</t>
  </si>
  <si>
    <t xml:space="preserve">Escala de actividades de la vida diaria</t>
  </si>
  <si>
    <t xml:space="preserve">Escala ADL pasó de 34 a 58 en 6 semanas.</t>
  </si>
  <si>
    <t xml:space="preserve">cita encontrada; cifra coincide (PMID 36699496)</t>
  </si>
  <si>
    <t xml:space="preserve">PMID 36699496; DOI 10.3389/fpsyt.2022.1085512</t>
  </si>
  <si>
    <t xml:space="preserve">https://pubmed.ncbi.nlm.nih.gov/36699496/</t>
  </si>
  <si>
    <t xml:space="preserve">Triglicérido caprílico (Axona) en práctica clínica</t>
  </si>
  <si>
    <t xml:space="preserve">Maynard y Gelblum, 2013, Neuropsychiatr Dis Treat</t>
  </si>
  <si>
    <t xml:space="preserve">estudio de cohorte retrospectivo, revisión de historias</t>
  </si>
  <si>
    <t xml:space="preserve">55</t>
  </si>
  <si>
    <t xml:space="preserve">≥6 meses; seguimiento medio 18,8 meses</t>
  </si>
  <si>
    <t xml:space="preserve">Triglicérido caprílico añadido a la farmacoterapia</t>
  </si>
  <si>
    <t xml:space="preserve">Valoración global del médico, MMSE, cuidadores</t>
  </si>
  <si>
    <t xml:space="preserve">~80% estables o mejor en la valoración del médico. MMSE 20,6 ± 3,0 a 20,1 ± 5,6 (P=0,5233, n=27) tras 15 meses.</t>
  </si>
  <si>
    <t xml:space="preserve">Más frecuentes los digestivos</t>
  </si>
  <si>
    <t xml:space="preserve">Estudio del registro NCT01538212 patrocinado por Cerecin; conflictos no recuperados</t>
  </si>
  <si>
    <t xml:space="preserve">cita encontrada; cifra coincide (PMID 24187497)</t>
  </si>
  <si>
    <t xml:space="preserve">PMID 24187497; DOI 10.2147/NDT.S52331; NCT01538212</t>
  </si>
  <si>
    <t xml:space="preserve">https://pubmed.ncbi.nlm.nih.gov/24187497/</t>
  </si>
  <si>
    <t xml:space="preserve">Aceite de coco y MCT: 288 informes de cuidadores</t>
  </si>
  <si>
    <t xml:space="preserve">Aceite de coco/MCT; Mary Newport</t>
  </si>
  <si>
    <t xml:space="preserve">Newport, 2024, Medical Research Archives 12(4)</t>
  </si>
  <si>
    <t xml:space="preserve">informes anecdóticos de cuidadores</t>
  </si>
  <si>
    <t xml:space="preserve">288</t>
  </si>
  <si>
    <t xml:space="preserve">Alzheimer, otras demencias y deterioro de memoria</t>
  </si>
  <si>
    <t xml:space="preserve">Aceite de coco y/o MCT (dosis no especificadas en el contenido recuperado)</t>
  </si>
  <si>
    <t xml:space="preserve">Mejoría percibida por el cuidador</t>
  </si>
  <si>
    <t xml:space="preserve">Mejora en 89,2%; 7,3% sin mejora; 2,4% estabilización durante al menos 3 meses.</t>
  </si>
  <si>
    <t xml:space="preserve">no consta en el contenido recuperado</t>
  </si>
  <si>
    <t xml:space="preserve">no consta; autora Mary Newport (Spring Hill Neonatology)</t>
  </si>
  <si>
    <t xml:space="preserve">página existe (esmed.org MRA article 5316: Newport 2024, 288 informes, 89,2%, 7,3%, 2,4% coinciden)</t>
  </si>
  <si>
    <t xml:space="preserve">URL esmed.org MRA article 5316</t>
  </si>
  <si>
    <t xml:space="preserve">https://esmed.org/MRA/index.php/mra/article/view/5316</t>
  </si>
  <si>
    <t xml:space="preserve">Protocolo MEND</t>
  </si>
  <si>
    <t xml:space="preserve">Programa MEND personalizado (dieta, sueño, ejercicio, suplementos)</t>
  </si>
  <si>
    <t xml:space="preserve">Bredesen/ReCODE</t>
  </si>
  <si>
    <t xml:space="preserve">Bredesen, 2014, Aging (Albany NY)</t>
  </si>
  <si>
    <t xml:space="preserve">10 pacientes, sin grupo control</t>
  </si>
  <si>
    <t xml:space="preserve">Alzheimer, aMCI y deterioro subjetivo</t>
  </si>
  <si>
    <t xml:space="preserve">hasta 2,5 años de seguimiento</t>
  </si>
  <si>
    <t xml:space="preserve">Programa multimodal MEND</t>
  </si>
  <si>
    <t xml:space="preserve">Mejora subjetiva u objetiva de cognición</t>
  </si>
  <si>
    <t xml:space="preserve">9 de 10 mejoraron en 3-6 meses; 6 que habían dejado de trabajar o tenían dificultades volvieron a trabajar; el fracaso fue un paciente con Alzheimer muy tardío.</t>
  </si>
  <si>
    <t xml:space="preserve">no consta en el resumen; la crítica de Hellmuth (Lancet Neurol 2020) señala que las series no tienen apartado de métodos</t>
  </si>
  <si>
    <t xml:space="preserve">cita encontrada; cifra no comprobable en el resumen (PMID 25324467; 9 de 10 no aparece en el resumen)</t>
  </si>
  <si>
    <t xml:space="preserve">Dieta cetogénica rica en plantas + ayuno intermitente</t>
  </si>
  <si>
    <t xml:space="preserve">Dieta cetogénica + ayuno; Turquía</t>
  </si>
  <si>
    <t xml:space="preserve">Tagraf et al., 2026, J Nutr Health Aging</t>
  </si>
  <si>
    <t xml:space="preserve">evaluador ciego</t>
  </si>
  <si>
    <t xml:space="preserve">60 (30 y 30)</t>
  </si>
  <si>
    <t xml:space="preserve">Alzheimer CDR 1-2, 55-85 años</t>
  </si>
  <si>
    <t xml:space="preserve">Dieta cetogénica rica en plantas (Ketoflex 12/3) + ayuno intermitente + tratamiento estándar</t>
  </si>
  <si>
    <t xml:space="preserve">Cognición y estructura cerebral; Reliable Change Index</t>
  </si>
  <si>
    <t xml:space="preserve">Las puntuaciones de cambio cognitivo difieren entre grupos (p truncado en el resumen); los autores concluyen potencial de estabilizar el declive y mejora individual.</t>
  </si>
  <si>
    <t xml:space="preserve">cita encontrada; cifra no comprobable en el resumen (PMID 42497811; NCT06898424 con n=60 y completado; p truncado)</t>
  </si>
  <si>
    <t xml:space="preserve">PMID 42497811; DOI 10.1016/j.jnha.2026.100930; NCT06898424</t>
  </si>
  <si>
    <t xml:space="preserve">https://pubmed.ncbi.nlm.nih.gov/?term=42497811</t>
  </si>
  <si>
    <t xml:space="preserve">Insulina intranasal</t>
  </si>
  <si>
    <t xml:space="preserve">Insulina intranasal 20 o 40 UI</t>
  </si>
  <si>
    <t xml:space="preserve">Insulina intranasal; diabetes tipo 3</t>
  </si>
  <si>
    <t xml:space="preserve">Craft et al., 2012, Arch Neurol</t>
  </si>
  <si>
    <t xml:space="preserve">doble ciego, placebo, piloto</t>
  </si>
  <si>
    <t xml:space="preserve">104</t>
  </si>
  <si>
    <t xml:space="preserve">aMCI (64) y Alzheimer leve-moderado (40)</t>
  </si>
  <si>
    <t xml:space="preserve">Placebo (30), 20 UI (36), 40 UI (38)</t>
  </si>
  <si>
    <t xml:space="preserve">Recuerdo diferido, DSRS, ADAS-Cog, ADCS-ADL, LCR, FDG-PET</t>
  </si>
  <si>
    <t xml:space="preserve">20 UI mejoró memoria diferida (P&lt;0,05); ambas dosis preservaron función rated por cuidador (P&lt;0,01); en placebo bajó la captación de FDG y la insulina la minimizó. LCR sin cambio global.</t>
  </si>
  <si>
    <t xml:space="preserve">Sin eventos graves relacionados</t>
  </si>
  <si>
    <t xml:space="preserve">cita encontrada; cifra no comprobable en el resumen (PMID 21911655; n=104 y 30/36/38 coinciden; P&lt;0,05 no aparece; registro NCT00438568 indica 173 inscritos)</t>
  </si>
  <si>
    <t xml:space="preserve">PMID 21911655; DOI 10.1001/archneurol.2011.233; NCT00438568</t>
  </si>
  <si>
    <t xml:space="preserve">https://pubmed.ncbi.nlm.nih.gov/21911655/</t>
  </si>
  <si>
    <t xml:space="preserve">Insulina intranasal 40 UI/día (SNIFF)</t>
  </si>
  <si>
    <t xml:space="preserve">Craft et al., 2020, JAMA Neurol</t>
  </si>
  <si>
    <t xml:space="preserve">doble ciego, 27 centros, con fase abierta</t>
  </si>
  <si>
    <t xml:space="preserve">289 aleatorizados; 240 en el análisis principal</t>
  </si>
  <si>
    <t xml:space="preserve">aMCI o Alzheimer, 55-85 años</t>
  </si>
  <si>
    <t xml:space="preserve">12 meses + 6 abiertos</t>
  </si>
  <si>
    <t xml:space="preserve">40 UI Humulin R-100 diario vs placebo; segundo dispositivo</t>
  </si>
  <si>
    <t xml:space="preserve">ADAS-Cog-12, LCR, RM</t>
  </si>
  <si>
    <t xml:space="preserve">ADAS-Cog-12 diferencia 0,0258 puntos (IC 95% -1,771 a 1,822; P=0,98). Sin diferencias en otros resultados clínicos o LCR.</t>
  </si>
  <si>
    <t xml:space="preserve">Sin eventos clínicamente importantes asociados</t>
  </si>
  <si>
    <t xml:space="preserve">NIA (RF1 AG041845, P30 AG049638); conflictos no recuperados</t>
  </si>
  <si>
    <t xml:space="preserve">cita encontrada; cifra coincide (PMID 32568367; 0,0258 y P=0,98 presentes; 289 y 240 coinciden)</t>
  </si>
  <si>
    <t xml:space="preserve">PMID 32568367; DOI 10.1001/jamaneurol.2020.1840; NCT01767909</t>
  </si>
  <si>
    <t xml:space="preserve">https://pubmed.ncbi.nlm.nih.gov/32568367/</t>
  </si>
  <si>
    <t xml:space="preserve">Insulina detemir intranasal 20 o 40 UI</t>
  </si>
  <si>
    <t xml:space="preserve">Claxton et al., 2015, J Alzheimers Dis</t>
  </si>
  <si>
    <t xml:space="preserve">60</t>
  </si>
  <si>
    <t xml:space="preserve">MCI o Alzheimer leve-moderado</t>
  </si>
  <si>
    <t xml:space="preserve">Placebo (20), 20 UI (21), 40 UI (19)</t>
  </si>
  <si>
    <t xml:space="preserve">Compuesto de memoria, memoria de trabajo, función</t>
  </si>
  <si>
    <t xml:space="preserve">40 UI mejoró compuesto de memoria (p&lt;0,05), modulado por APOE: mejoró en portadores e4 (p&lt;0,02) y empeoró en no portadores (p&lt;0,02). Mejor respuesta con mayor resistencia a la insulina (r=0,54, p&lt;0,02). Sin diferencias en función diaria o ejecutiva.</t>
  </si>
  <si>
    <t xml:space="preserve">cita encontrada; cifra coincide (PMID 25374101; NCT01547169)</t>
  </si>
  <si>
    <t xml:space="preserve">PMID 25374101; DOI 10.3233/JAD-141791; NCT01547169</t>
  </si>
  <si>
    <t xml:space="preserve">https://pubmed.ncbi.nlm.nih.gov/25374101/</t>
  </si>
  <si>
    <t xml:space="preserve">Insulina intranasal 40 UI cuatro veces al día + empagliflozina</t>
  </si>
  <si>
    <t xml:space="preserve">Insulina intranasal + SGLT2</t>
  </si>
  <si>
    <t xml:space="preserve">Erichsen et al., 2025, Alzheimers Dement</t>
  </si>
  <si>
    <t xml:space="preserve">factorial 2x2, doble ciego</t>
  </si>
  <si>
    <t xml:space="preserve">47 (según el registro)</t>
  </si>
  <si>
    <t xml:space="preserve">MCI, Alzheimer temprano o amiloide positivo</t>
  </si>
  <si>
    <t xml:space="preserve">INI 40 UI cuatro veces/día, empagliflozina 10 mg/día, ambas o placebo</t>
  </si>
  <si>
    <t xml:space="preserve">Eventos adversos; mPACC5; biomarcadores; flujo sanguíneo cerebral</t>
  </si>
  <si>
    <t xml:space="preserve">INI aumentó el mPACC5, modificó FA y CBF y redujo GFAP plasmática; empagliflozina bajó tau en LCR. Eventos adversos leves y similares en todos los grupos.</t>
  </si>
  <si>
    <t xml:space="preserve">no consta en el resumen; Wake Forest</t>
  </si>
  <si>
    <t xml:space="preserve">cita encontrada; cifra no comprobable en el resumen (PMID 41057918; la fila no da cifras numéricas; n=47 coincide con NCT05081219)</t>
  </si>
  <si>
    <t xml:space="preserve">PMID 41057918; DOI 10.1002/alz.70704; NCT05081219</t>
  </si>
  <si>
    <t xml:space="preserve">https://pubmed.ncbi.nlm.nih.gov/?term=41057918</t>
  </si>
  <si>
    <t xml:space="preserve">Insulina intranasal (metaanálisis de 5 ensayos)</t>
  </si>
  <si>
    <t xml:space="preserve">Silva et al., 2026, Rev Neurol (Paris)</t>
  </si>
  <si>
    <t xml:space="preserve">metaanálisis de RCT</t>
  </si>
  <si>
    <t xml:space="preserve">540</t>
  </si>
  <si>
    <t xml:space="preserve">MCI y Alzheimer leve-moderado</t>
  </si>
  <si>
    <t xml:space="preserve">varios</t>
  </si>
  <si>
    <t xml:space="preserve">Insulina intranasal vs placebo</t>
  </si>
  <si>
    <t xml:space="preserve">ADAS-Cog13, ADCS-ADL, CDR-SB, LCR, seguridad</t>
  </si>
  <si>
    <t xml:space="preserve">ADAS-Cog13 diferencia media -1,09 (IC 95% -4,89 a 2,71); ADCS-ADL 0,06 (-0,33 a 0,45); sin efecto en Aβ42, tau total ni p-tau181. Eventos digestivos RR 1,57 (1,15-2,14); cardiovasculares RR 0,30 (0,12-0,79).</t>
  </si>
  <si>
    <t xml:space="preserve">Digestivos más frecuentes con insulina</t>
  </si>
  <si>
    <t xml:space="preserve">cita encontrada; cifra coincide (PMID 41436338)</t>
  </si>
  <si>
    <t xml:space="preserve">PMID 41436338; DOI 10.1016/j.neurol.2025.11.005</t>
  </si>
  <si>
    <t xml:space="preserve">https://pubmed.ncbi.nlm.nih.gov/?term=41436338</t>
  </si>
  <si>
    <t xml:space="preserve">Metformina</t>
  </si>
  <si>
    <t xml:space="preserve">Metformina 8 semanas vs placebo</t>
  </si>
  <si>
    <t xml:space="preserve">Koenig et al., 2017, Alzheimer Dis Assoc Disord</t>
  </si>
  <si>
    <t xml:space="preserve">cruzado, placebo, piloto</t>
  </si>
  <si>
    <t xml:space="preserve">MCI o demencia leve por Alzheimer, sin diabetes</t>
  </si>
  <si>
    <t xml:space="preserve">8 semanas por brazo</t>
  </si>
  <si>
    <t xml:space="preserve">Metformina vs placebo</t>
  </si>
  <si>
    <t xml:space="preserve">LCR, ASL-RM, cognición</t>
  </si>
  <si>
    <t xml:space="preserve">Seguro y bien tolerado; concentración en LCR 95,6 ng/mL; mejora en función ejecutiva, tendencias en aprendizaje/memoria y atención; sin cambios significativos en flujo cerebral.</t>
  </si>
  <si>
    <t xml:space="preserve">cita encontrada; cifra coincide (PMID 28538088)</t>
  </si>
  <si>
    <t xml:space="preserve">PMID 28538088; DOI 10.1097/WAD.0000000000000202</t>
  </si>
  <si>
    <t xml:space="preserve">https://pubmed.ncbi.nlm.nih.gov/28538088/</t>
  </si>
  <si>
    <t xml:space="preserve">Metformina 1000 mg dos veces al día</t>
  </si>
  <si>
    <t xml:space="preserve">Luchsinger et al., 2016, J Alzheimers Dis</t>
  </si>
  <si>
    <t xml:space="preserve">placebo, piloto</t>
  </si>
  <si>
    <t xml:space="preserve">80</t>
  </si>
  <si>
    <t xml:space="preserve">aMCI con sobrepeso, sin diabetes tratada, 55-90 años</t>
  </si>
  <si>
    <t xml:space="preserve">Metformina 1000 mg x2/día vs placebo</t>
  </si>
  <si>
    <t xml:space="preserve">SRT recuerdo total, ADAS-Cog, FDG-PET</t>
  </si>
  <si>
    <t xml:space="preserve">Recuerdo total SRT favoreció a metformina (9,7 ± 8,5 vs 5,3 ± 8,5; p=0,02); otras diferencias no significativas. 7,5% no toleró; 15% toleró 500 mg, 35% 1000 mg, 32,5% 1500 mg, 10% el máximo.</t>
  </si>
  <si>
    <t xml:space="preserve">Síntomas digestivos; sin eventos graves relacionados</t>
  </si>
  <si>
    <t xml:space="preserve">NIA R01 AG026413; NCATS UL1 TR000040</t>
  </si>
  <si>
    <t xml:space="preserve">cita encontrada; cifra coincide (PMID 26890736)</t>
  </si>
  <si>
    <t xml:space="preserve">PMID 26890736; DOI 10.3233/JAD-150493</t>
  </si>
  <si>
    <t xml:space="preserve">https://pubmed.ncbi.nlm.nih.gov/26890736/</t>
  </si>
  <si>
    <t xml:space="preserve">Liraglutida</t>
  </si>
  <si>
    <t xml:space="preserve">Liraglutida 6 meses</t>
  </si>
  <si>
    <t xml:space="preserve">GLP-1</t>
  </si>
  <si>
    <t xml:space="preserve">Gejl et al., 2016, Front Aging Neurosci</t>
  </si>
  <si>
    <t xml:space="preserve">38 (18 y 20)</t>
  </si>
  <si>
    <t xml:space="preserve">26 semanas</t>
  </si>
  <si>
    <t xml:space="preserve">Liraglutida vs placebo</t>
  </si>
  <si>
    <t xml:space="preserve">PIB-PET, FDG-PET, WMS-IV</t>
  </si>
  <si>
    <t xml:space="preserve">En placebo cayó el metabolismo de glucosa en precúneo (P=0,009), parietal, temporal, occipital y cerebelo; con liraglutida hubo aumento numérico no significativo. Carga amiloide sin diferencia entre grupos (P≥0,38). Cognición sin cambio.</t>
  </si>
  <si>
    <t xml:space="preserve">cita encontrada; cifra coincide (PMID 27252647; registro NCT01469351 indica 34 inscritos frente a 38 de la fila)</t>
  </si>
  <si>
    <t xml:space="preserve">PMID 27252647; DOI 10.3389/fnagi.2016.00108; NCT01469351</t>
  </si>
  <si>
    <t xml:space="preserve">https://pubmed.ncbi.nlm.nih.gov/27252647/</t>
  </si>
  <si>
    <t xml:space="preserve">Liraglutida 52 semanas (ELAD)</t>
  </si>
  <si>
    <t xml:space="preserve">Edison et al., 2026, Nat Med</t>
  </si>
  <si>
    <t xml:space="preserve">fase 2b multicéntrico, doble ciego</t>
  </si>
  <si>
    <t xml:space="preserve">204</t>
  </si>
  <si>
    <t xml:space="preserve">Alzheimer leve-moderado sin diabetes</t>
  </si>
  <si>
    <t xml:space="preserve">Liraglutida diaria vs placebo</t>
  </si>
  <si>
    <t xml:space="preserve">Tasa metabólica de glucosa cerebral (FDG); cognición</t>
  </si>
  <si>
    <t xml:space="preserve">Primario sin diferencia (-0,17; IC 95% -0,39 a 0,06; P=0,14). ADAS-Exec mejor con liraglutida (0,15; 0,03-0,28; P=0,01 sin ajustar); ADCS-ADL -0,58 (P=0,65); CDR-SoB -0,06 (P=0,81).</t>
  </si>
  <si>
    <t xml:space="preserve">Generalmente segura y bien tolerada</t>
  </si>
  <si>
    <t xml:space="preserve">cita encontrada; cifra coincide (PMID 41326666; registro NCT01843075 con estado UNKNOWN)</t>
  </si>
  <si>
    <t xml:space="preserve">PMID 41326666; DOI 10.1038/s41591-025-04106-7; NCT01843075</t>
  </si>
  <si>
    <t xml:space="preserve">https://pubmed.ncbi.nlm.nih.gov/41326666/</t>
  </si>
  <si>
    <t xml:space="preserve">Semaglutida</t>
  </si>
  <si>
    <t xml:space="preserve">Semaglutida oral 14 mg (evoke y evoke+)</t>
  </si>
  <si>
    <t xml:space="preserve">Cummings et al., 2026, Lancet</t>
  </si>
  <si>
    <t xml:space="preserve">dos fase 3, doble ciego, 566 centros</t>
  </si>
  <si>
    <t xml:space="preserve">3.808 (1.855 y 1.953)</t>
  </si>
  <si>
    <t xml:space="preserve">Alzheimer temprano con amiloide confirmado</t>
  </si>
  <si>
    <t xml:space="preserve">hasta 156 semanas; primario a 104</t>
  </si>
  <si>
    <t xml:space="preserve">Semaglutida oral 14 mg vs placebo</t>
  </si>
  <si>
    <t xml:space="preserve">CDR-SB a 104 semanas</t>
  </si>
  <si>
    <t xml:space="preserve">CDR-SB: 2,3 y 2,2 con semaglutida vs 2,3 y 2,1 con placebo; diferencia -0,08 (IC -0,35 a 0,20; p=0,57) y 0,10 (-0,17 a 0,38; p=0,46). Ensayos interrumpidos por resultado negativo.</t>
  </si>
  <si>
    <t xml:space="preserve">Efectos adversos emergentes 91,2% con semaglutida vs 84,8% con placebo; 5 muertes consideradas relacionadas (1 vs 4)</t>
  </si>
  <si>
    <t xml:space="preserve">Promotor Novo Nordisk (registros NCT04777396, NCT04777409); conflictos no recuperados</t>
  </si>
  <si>
    <t xml:space="preserve">cita encontrada; cifra coincide (PMID 41865758; CDR-SB y 3808/1855/1953 presentes; registro NCT04777396 indica 1840 inscritos frente a 1855)</t>
  </si>
  <si>
    <t xml:space="preserve">PMID 41865758; DOI 10.1016/S0140-6736(26)00459-9; NCT04777396; NCT04777409</t>
  </si>
  <si>
    <t xml:space="preserve">https://pubmed.ncbi.nlm.nih.gov/?term=41865758</t>
  </si>
  <si>
    <t xml:space="preserve">Cromo (picolinato)</t>
  </si>
  <si>
    <t xml:space="preserve">Picolinato de cromo 12 semanas</t>
  </si>
  <si>
    <t xml:space="preserve">Cromo</t>
  </si>
  <si>
    <t xml:space="preserve">Krikorian et al., 2010, Nutr Neurosci</t>
  </si>
  <si>
    <t xml:space="preserve">26</t>
  </si>
  <si>
    <t xml:space="preserve">Mayores con declive cognitivo</t>
  </si>
  <si>
    <t xml:space="preserve">Picolinato de cromo vs placebo</t>
  </si>
  <si>
    <t xml:space="preserve">Memoria, depresión, fMRI</t>
  </si>
  <si>
    <t xml:space="preserve">Aprendizaje y retención no mejoraron; menor interferencia semántica en aprendizaje, recuerdo y reconocimiento; mayor activación fMRI en tálamo derecho, temporal, parietal y bifrontal.</t>
  </si>
  <si>
    <t xml:space="preserve">cita encontrada; cifra no comprobable en el resumen (PMID 20423560; la fila no da cifras)</t>
  </si>
  <si>
    <t xml:space="preserve">PMID 20423560; DOI 10.1179/147683010X12611460764084</t>
  </si>
  <si>
    <t xml:space="preserve">https://pubmed.ncbi.nlm.nih.gov/20423560/</t>
  </si>
  <si>
    <t xml:space="preserve">Canela</t>
  </si>
  <si>
    <t xml:space="preserve">Consumo de canela</t>
  </si>
  <si>
    <t xml:space="preserve">Wahlqvist et al., 2016, Nutr Res</t>
  </si>
  <si>
    <t xml:space="preserve">transversal</t>
  </si>
  <si>
    <t xml:space="preserve">93</t>
  </si>
  <si>
    <t xml:space="preserve">Mayores de 60 con prediabetes</t>
  </si>
  <si>
    <t xml:space="preserve">corte transversal</t>
  </si>
  <si>
    <t xml:space="preserve">Uso de canela en la dieta (cuestionario)</t>
  </si>
  <si>
    <t xml:space="preserve">Memoria de trabajo, MMSE, glucosa e insulina</t>
  </si>
  <si>
    <t xml:space="preserve">Usuarios de canela tuvieron mejor memoria de trabajo (2,9 vs 2,5; P&lt;0,001); los usuarios de canela practicaban menos actividad física; efecto persistió tras ajuste por edad, sexo, educación y MMSE.</t>
  </si>
  <si>
    <t xml:space="preserve">cita encontrada; cifra coincide (PMID 27001275; 2,9 frente a 2,5 y n=93 presentes)</t>
  </si>
  <si>
    <t xml:space="preserve">PMID 27001275; DOI 10.1016/j.nutres.2015.12.005</t>
  </si>
  <si>
    <t xml:space="preserve">https://pubmed.ncbi.nlm.nih.gov/27001275/</t>
  </si>
  <si>
    <t xml:space="preserve">Extracto acuoso de canela 50 mg/kg</t>
  </si>
  <si>
    <t xml:space="preserve">Madhavadas y Subramanian, 2017, Nutr Neurosci</t>
  </si>
  <si>
    <t xml:space="preserve">modelo no transgénico (glutamato monosódico) con resistencia a la insulina</t>
  </si>
  <si>
    <t xml:space="preserve">Extracto de Cinnamomum zeylanicum 50 mg/kg</t>
  </si>
  <si>
    <t xml:space="preserve">Sensibilidad a insulina, pGSK3β, colinesterasa, aprendizaje, neuronas</t>
  </si>
  <si>
    <t xml:space="preserve">Mejoró la sensibilidad a insulina, subió pGSK3β, inhibió la colinesterasa, mejoró el aprendizaje y aumentó neuronas del giro dentado.</t>
  </si>
  <si>
    <t xml:space="preserve">cita encontrada; cifra no comprobable en el resumen (PMID 27308892; la fila no da cifras)</t>
  </si>
  <si>
    <t xml:space="preserve">PMID 27308892; DOI 10.1080/1028415X.2016.1194593</t>
  </si>
  <si>
    <t xml:space="preserve">https://pubmed.ncbi.nlm.nih.gov/27308892/</t>
  </si>
  <si>
    <t xml:space="preserve">Berberina</t>
  </si>
  <si>
    <t xml:space="preserve">Berberina 50 mg/kg</t>
  </si>
  <si>
    <t xml:space="preserve">Berberina; medicina tradicional china</t>
  </si>
  <si>
    <t xml:space="preserve">Li et al., 2023, Phytomedicine</t>
  </si>
  <si>
    <t xml:space="preserve">ratones 3xTg-AD y células N2a-sw</t>
  </si>
  <si>
    <t xml:space="preserve">Ratones 3xTg-AD</t>
  </si>
  <si>
    <t xml:space="preserve">7,5 meses</t>
  </si>
  <si>
    <t xml:space="preserve">Berberina oral 50 mg/kg</t>
  </si>
  <si>
    <t xml:space="preserve">Morris, campo abierto, Aβ, tau, hierro, ferroptosis</t>
  </si>
  <si>
    <t xml:space="preserve">Mitigó los trastornos cognitivos; redujo placas Aβ, tau hiperfosforilada, pérdida neuronal y ferroptosis (hierro, MDA, ROS), con aumento de SOD, GSH, GPX4 y SLC7A11 vía Nrf2.</t>
  </si>
  <si>
    <t xml:space="preserve">cita encontrada; cifra no comprobable en el resumen (PMID 37506403; la fila no da cifras)</t>
  </si>
  <si>
    <t xml:space="preserve">PMID 37506403; DOI 10.1016/j.phymed.2023.154962</t>
  </si>
  <si>
    <t xml:space="preserve">https://pubmed.ncbi.nlm.nih.gov/37506403/</t>
  </si>
  <si>
    <t xml:space="preserve">Dieta cetogénica 3 meses</t>
  </si>
  <si>
    <t xml:space="preserve">Brownlow et al., 2013, PLoS One</t>
  </si>
  <si>
    <t xml:space="preserve">dos modelos transgénicos</t>
  </si>
  <si>
    <t xml:space="preserve">Ratones APP/PS1 y Tg4510</t>
  </si>
  <si>
    <t xml:space="preserve">Dieta cetogénica vs control</t>
  </si>
  <si>
    <t xml:space="preserve">Rotarod, campo abierto, Morris, Aβ y tau</t>
  </si>
  <si>
    <t xml:space="preserve">Mejoró el rotarod; sin diferencias en aprendizaje, ni en amiloide, tau ni marcadores gliales.</t>
  </si>
  <si>
    <t xml:space="preserve">cita encontrada; cifra no comprobable en el resumen (PMID 24069439; la fila no da cifras)</t>
  </si>
  <si>
    <t xml:space="preserve">PMID 24069439; DOI 10.1371/journal.pone.0075713</t>
  </si>
  <si>
    <t xml:space="preserve">https://pubmed.ncbi.nlm.nih.gov/24069439/</t>
  </si>
  <si>
    <t xml:space="preserve">Dieta cetogénica y BHB</t>
  </si>
  <si>
    <t xml:space="preserve">Di Lucente et al., 2024, Commun Biol</t>
  </si>
  <si>
    <t xml:space="preserve">ratones APP/PS1, rodajas de hipocampo</t>
  </si>
  <si>
    <t xml:space="preserve">Ratones APP/PS1</t>
  </si>
  <si>
    <t xml:space="preserve">7 meses</t>
  </si>
  <si>
    <t xml:space="preserve">Dieta cetogénica vs control; BHB</t>
  </si>
  <si>
    <t xml:space="preserve">LTP, Aβ, RNAseq, p-ERK, p-CREB, BDNF</t>
  </si>
  <si>
    <t xml:space="preserve">La dieta rescató LTP a niveles de ratones salvajes sin cambiar Aβ; BHB también rescató LTP; subieron p-ERK y p-CREB en ambos sexos y BDNF en hembras.</t>
  </si>
  <si>
    <t xml:space="preserve">cita encontrada; cifra no comprobable en el resumen (PMID 38366025; la fila no da cifras)</t>
  </si>
  <si>
    <t xml:space="preserve">PMID 38366025; DOI 10.1038/s42003-024-05860-z</t>
  </si>
  <si>
    <t xml:space="preserve">https://pubmed.ncbi.nlm.nih.gov/38366025/</t>
  </si>
  <si>
    <t xml:space="preserve">Éster de cetona D-BHB en la dieta</t>
  </si>
  <si>
    <t xml:space="preserve">Éster de cetonas</t>
  </si>
  <si>
    <t xml:space="preserve">Pawlosky et al., 2020, Int J Mol Sci</t>
  </si>
  <si>
    <t xml:space="preserve">ratones 3xTgAD, dieta con éster vs calórica</t>
  </si>
  <si>
    <t xml:space="preserve">14 analizados</t>
  </si>
  <si>
    <t xml:space="preserve">Ratones 3xTgAD</t>
  </si>
  <si>
    <t xml:space="preserve">hasta 16,5 meses de edad</t>
  </si>
  <si>
    <t xml:space="preserve">Éster de d-β-hidroxibutirato en la dieta</t>
  </si>
  <si>
    <t xml:space="preserve">Conducta exploratoria, citrato, α-cetoglutarato, aminoácidos</t>
  </si>
  <si>
    <t xml:space="preserve">Más citrato, α-cetoglutarato, glutamato, aspartato y N-acetil-aspartato en hipocampo; el NAA predijo exploración y menor evitación.</t>
  </si>
  <si>
    <t xml:space="preserve">no consta en el resumen (autores incluyen a Kashiwaya, línea Veech/NIH)</t>
  </si>
  <si>
    <t xml:space="preserve">cita encontrada; cifra no comprobable en el resumen (PMID 32033248; la fila no da cifras)</t>
  </si>
  <si>
    <t xml:space="preserve">PMID 32033248; DOI 10.3390/ijms21031044</t>
  </si>
  <si>
    <t xml:space="preserve">https://pubmed.ncbi.nlm.nih.gov/32033248/</t>
  </si>
  <si>
    <t xml:space="preserve">Ayuno intermitente</t>
  </si>
  <si>
    <t xml:space="preserve">Ayuno intermitente y restricción calórica 40%</t>
  </si>
  <si>
    <t xml:space="preserve">Ayuno</t>
  </si>
  <si>
    <t xml:space="preserve">Halagappa et al., 2007, Neurobiol Dis</t>
  </si>
  <si>
    <t xml:space="preserve">ratones 3xTgAD</t>
  </si>
  <si>
    <t xml:space="preserve">desde 3 meses hasta 10 y 17 meses</t>
  </si>
  <si>
    <t xml:space="preserve">Restricción calórica 40% o ayuno intermitente</t>
  </si>
  <si>
    <t xml:space="preserve">Morris, actividad exploratoria, Aβ y tau</t>
  </si>
  <si>
    <t xml:space="preserve">A 17 meses ambos grupos mejoraron latencia y sondas del Morris; CR bajó Aβ1-40, Aβ1-42 y fosfo-tau; IF no bajó Aβ ni fosfo-tau.</t>
  </si>
  <si>
    <t xml:space="preserve">cita encontrada; cifra coincide (PMID 17306982)</t>
  </si>
  <si>
    <t xml:space="preserve">PMID 17306982; DOI 10.1016/j.nbd.2006.12.019</t>
  </si>
  <si>
    <t xml:space="preserve">https://pubmed.ncbi.nlm.nih.gov/17306982/</t>
  </si>
  <si>
    <t xml:space="preserve">Ayuno 5:2 vs dieta de vida saludable</t>
  </si>
  <si>
    <t xml:space="preserve">Kapogiannis et al., 2024, Cell Metab</t>
  </si>
  <si>
    <t xml:space="preserve">8 semanas</t>
  </si>
  <si>
    <t xml:space="preserve">Mayores cognitivamente sanos con resistencia a la insulina</t>
  </si>
  <si>
    <t xml:space="preserve">Ayuno intermitente 5:2 vs dieta healthy living</t>
  </si>
  <si>
    <t xml:space="preserve">Insulina en vesículas neuronales, edad cerebral por RM, glucosa cerebral, cognición</t>
  </si>
  <si>
    <t xml:space="preserve">El ayuno dio más pérdida de peso; ambas dietas mejoraron señalización de insulina neuronal, redujeron la brecha de edad cerebral y la glucosa cerebral en espectroscopía; mejoraron función ejecutiva y memoria, con más beneficio del ayuno en algunas medidas.</t>
  </si>
  <si>
    <t xml:space="preserve">cita encontrada; cifra no comprobable en el resumen (PMID 38901423; n=40 coincide con el resumen; registro NCT02460783 indica 129; la fila no da cifras)</t>
  </si>
  <si>
    <t xml:space="preserve">PMID 38901423; DOI 10.1016/j.cmet.2024.05.017; NCT02460783</t>
  </si>
  <si>
    <t xml:space="preserve">https://pubmed.ncbi.nlm.nih.gov/38901423/</t>
  </si>
  <si>
    <t xml:space="preserve">Monitorización continua de glucosa</t>
  </si>
  <si>
    <t xml:space="preserve">Glucosa continua</t>
  </si>
  <si>
    <t xml:space="preserve">Kotecha et al., 2025, JAMA Netw Open</t>
  </si>
  <si>
    <t xml:space="preserve">cohorte retrospectiva de Medicare</t>
  </si>
  <si>
    <t xml:space="preserve">2.022 (1.011 y 1.011)</t>
  </si>
  <si>
    <t xml:space="preserve">Mayores con diabetes tratada con insulina y demencia</t>
  </si>
  <si>
    <t xml:space="preserve">2016-2020</t>
  </si>
  <si>
    <t xml:space="preserve">CGM vs automonitorización</t>
  </si>
  <si>
    <t xml:space="preserve">Hospitalización, mortalidad, hipoglucemia</t>
  </si>
  <si>
    <t xml:space="preserve">Hospitalización HR 0,86 (0,76-0,96); mortalidad HR 0,57 (0,48-0,67); hipoglucemia HR 0,66 (0,40-1,08); crisis hiperglucémica HR 1,38 (0,99-1,94).</t>
  </si>
  <si>
    <t xml:space="preserve">cita encontrada; cifra coincide (PMID 41329488)</t>
  </si>
  <si>
    <t xml:space="preserve">PMID 41329488; DOI 10.1001/jamanetworkopen.2025.41939</t>
  </si>
  <si>
    <t xml:space="preserve">https://pubmed.ncbi.nlm.nih.gov/41329488/</t>
  </si>
  <si>
    <t xml:space="preserve">Aceite de coco (bebida) 1,25 oz dos veces al día</t>
  </si>
  <si>
    <t xml:space="preserve">University of South Florida, ensayo NCT01883648</t>
  </si>
  <si>
    <t xml:space="preserve">aleatorizado, cruzado</t>
  </si>
  <si>
    <t xml:space="preserve">21 reales</t>
  </si>
  <si>
    <t xml:space="preserve">3 meses por fase; 2013-2017</t>
  </si>
  <si>
    <t xml:space="preserve">Bebida de aceite de coco 1,25 oz dos veces al día vs placebo</t>
  </si>
  <si>
    <t xml:space="preserve">ADAS-cog, MMSE, fluidez</t>
  </si>
  <si>
    <t xml:space="preserve">Terminado por falta de fondos e inscripción baja; resultados no publicados ni en registro.</t>
  </si>
  <si>
    <t xml:space="preserve">Universidad de South Florida</t>
  </si>
  <si>
    <t xml:space="preserve">cita encontrada; cifra coincide (NCT01883648; n=21 y estado terminado coinciden; sin resultados en el registro)</t>
  </si>
  <si>
    <t xml:space="preserve">NCT01883648</t>
  </si>
  <si>
    <t xml:space="preserve">https://clinicaltrials.gov/study/NCT01883648</t>
  </si>
  <si>
    <t xml:space="preserve">MCT 25 g por 250 mL (SCCF-3012) crossover</t>
  </si>
  <si>
    <t xml:space="preserve">University of British Columbia, ensayo NCT02912936</t>
  </si>
  <si>
    <t xml:space="preserve">43</t>
  </si>
  <si>
    <t xml:space="preserve">Alzheimer y subestudio con afasia progresiva no fluente</t>
  </si>
  <si>
    <t xml:space="preserve">15 g dos veces al día (30 g/día) durante 3 meses vs placebo</t>
  </si>
  <si>
    <t xml:space="preserve">Seguridad, cetonas plasmáticas</t>
  </si>
  <si>
    <t xml:space="preserve">Estado COMPLETED; resultados no publicados ni en registro.</t>
  </si>
  <si>
    <t xml:space="preserve">Universidad de British Columbia</t>
  </si>
  <si>
    <t xml:space="preserve">cita encontrada; cifra coincide (NCT02912936; n=43 y estado completado coinciden; sin resultados en el registro)</t>
  </si>
  <si>
    <t xml:space="preserve">NCT02912936</t>
  </si>
  <si>
    <t xml:space="preserve">https://clinicaltrials.gov/study/NCT02912936</t>
  </si>
  <si>
    <t xml:space="preserve">Dieta Atkins modificada 2:1</t>
  </si>
  <si>
    <t xml:space="preserve">AP-HP, ensayo NCT04701957</t>
  </si>
  <si>
    <t xml:space="preserve">Viabilidad con cetonas en orina</t>
  </si>
  <si>
    <t xml:space="preserve">Terminado por falta de inclusiones; sin resultados.</t>
  </si>
  <si>
    <t xml:space="preserve">Assistance Publique - Hôpitaux de Paris</t>
  </si>
  <si>
    <t xml:space="preserve">cita encontrada; cifra coincide (NCT04701957; n=17 y estado terminado coinciden)</t>
  </si>
  <si>
    <t xml:space="preserve">NCT04701957</t>
  </si>
  <si>
    <t xml:space="preserve">https://clinicaltrials.gov/study/NCT04701957</t>
  </si>
  <si>
    <t xml:space="preserve">Dieta cetogénica 1:1 vs dieta TLC</t>
  </si>
  <si>
    <t xml:space="preserve">University of Kansas, ensayo NCT03860792</t>
  </si>
  <si>
    <t xml:space="preserve">aleatorizado, cuidadores</t>
  </si>
  <si>
    <t xml:space="preserve">84</t>
  </si>
  <si>
    <t xml:space="preserve">Cetogénica 1:1 (~70% grasa, &lt;10% carbohidrato) vs TLC</t>
  </si>
  <si>
    <t xml:space="preserve">ADAS-Cog11, MMSE</t>
  </si>
  <si>
    <t xml:space="preserve">Resultados publicados en el registro: cambio ADAS-Cog11 -0,52 (cetogénica) vs 0,96 (TLC); MMSE 0,31 vs -0,32. No hay publicación indexada localizada.</t>
  </si>
  <si>
    <t xml:space="preserve">Universidad de Kansas</t>
  </si>
  <si>
    <t xml:space="preserve">cita encontrada; cifra coincide (NCT03860792; -0,52, 0,96, 0,31 y -0,32 presentes en los resultados publicados del registro)</t>
  </si>
  <si>
    <t xml:space="preserve">NCT03860792</t>
  </si>
  <si>
    <t xml:space="preserve">https://clinicaltrials.gov/study/NCT03860792</t>
  </si>
  <si>
    <t xml:space="preserve">Éster de cetona 28 días</t>
  </si>
  <si>
    <t xml:space="preserve">NIA, ensayo NCT04421014</t>
  </si>
  <si>
    <t xml:space="preserve">aleatorizado, placebo</t>
  </si>
  <si>
    <t xml:space="preserve">99</t>
  </si>
  <si>
    <t xml:space="preserve">Mayores de 55 con síndrome metabólico y sin deterioro</t>
  </si>
  <si>
    <t xml:space="preserve">28 días</t>
  </si>
  <si>
    <t xml:space="preserve">Bebida de éster de cetona</t>
  </si>
  <si>
    <t xml:space="preserve">BHB en córtex posteromedial (1H-MRS) y suero</t>
  </si>
  <si>
    <t xml:space="preserve">BHB cortical media geométrica 1,847 vs 0,922; BHB sérico 6,136 vs 0,970 (éster vs placebo).</t>
  </si>
  <si>
    <t xml:space="preserve">NIA</t>
  </si>
  <si>
    <t xml:space="preserve">cita encontrada; cifra coincide (NCT04421014; 1,847, 0,922, 6,136 y 0,970 presentes en los resultados publicados del registro)</t>
  </si>
  <si>
    <t xml:space="preserve">NCT04421014</t>
  </si>
  <si>
    <t xml:space="preserve">https://clinicaltrials.gov/study/NCT04421014</t>
  </si>
  <si>
    <t xml:space="preserve">luz_energia</t>
  </si>
  <si>
    <t xml:space="preserve">Luz 40 Hz</t>
  </si>
  <si>
    <t xml:space="preserve">Estimulación sensorial 40 Hz (luz + sonido) en casa, dispositivo GENUS</t>
  </si>
  <si>
    <t xml:space="preserve">Gamma (Tsai/MIT, Cognito Therapeutics)</t>
  </si>
  <si>
    <t xml:space="preserve">Chan D, Suk HJ, Jackson BL y cols., 2022, PLoS ONE</t>
  </si>
  <si>
    <t xml:space="preserve">Fase 1 de viabilidad + Fase 2A piloto simple ciego, aleatorizado, control placebo</t>
  </si>
  <si>
    <t xml:space="preserve">Fase 1: 25 sanos, 16 Alzheimer leve, 2 epilepsia; Fase 2A: 15</t>
  </si>
  <si>
    <t xml:space="preserve">Alzheimer leve probable</t>
  </si>
  <si>
    <t xml:space="preserve">3 meses (Fase 2A), diaria</t>
  </si>
  <si>
    <t xml:space="preserve">Estimulación diaria de luz y sonido a 40 Hz con dispositivo domiciliario</t>
  </si>
  <si>
    <t xml:space="preserve">Seguridad, cumplimiento, entrainment EEG, resultados clínicos exploratorios, RM</t>
  </si>
  <si>
    <t xml:space="preserve">Tras 3 meses el grupo 40 Hz mostró (i) menor dilatación ventricular y atrofia del hipocampo, (ii) mayor conectividad funcional en la red por defecto, (iii) mejor recuerdo diferido en la prueba nombre-cara, (iv) mejor ritmicidad de actividad diaria vs control (el resumen no da cifras)</t>
  </si>
  <si>
    <t xml:space="preserve">Bien tolerado; cumplimiento alto en ambos grupos; los participantes no acertaron su grupo</t>
  </si>
  <si>
    <t xml:space="preserve">Subvenciones declaradas en Europe PMC: NINDS, NIA (NIH), Harvard Catalyst, Charles Hieken; declaración de conflictos no consta en el resumen</t>
  </si>
  <si>
    <t xml:space="preserve">cita encontrada; cifra no comprobable en el resumen (PMID 36454969)</t>
  </si>
  <si>
    <t xml:space="preserve">PMID 36454969; DOI 10.1371/journal.pone.0278412; NCT04042922, NCT04055376</t>
  </si>
  <si>
    <t xml:space="preserve">https://pubmed.ncbi.nlm.nih.gov/36454969/</t>
  </si>
  <si>
    <t xml:space="preserve">40 Hz audiovisual diario, extensión abierta a 2 años</t>
  </si>
  <si>
    <t xml:space="preserve">Gamma (MIT/MGH)</t>
  </si>
  <si>
    <t xml:space="preserve">Chan D, de Weck G, Jackson BL y cols., 2025, Alzheimer's &amp; Dementia</t>
  </si>
  <si>
    <t xml:space="preserve">Extensión abierta con controles emparejados de NACC, ADNI y LEADS</t>
  </si>
  <si>
    <t xml:space="preserve">5</t>
  </si>
  <si>
    <t xml:space="preserve">2 años, 1 h diaria</t>
  </si>
  <si>
    <t xml:space="preserve">Estimulación audiovisual 40 Hz 1 h/día</t>
  </si>
  <si>
    <t xml:space="preserve">EEG, RM, actigrafía, MMSE, CDR, FAS, pTau217 plasmática</t>
  </si>
  <si>
    <t xml:space="preserve">3 mujeres con Alzheimer de inicio tardío conservaron entrainment y declinaron menos en MMSE, CDR y FAS que controles emparejados; pTau217 bajó 47% y 19% en las 2 participantes con muestra (solo 2 de 5 tenían plasma)</t>
  </si>
  <si>
    <t xml:space="preserve">Ningún evento adverso en 2 años</t>
  </si>
  <si>
    <t xml:space="preserve">Subvenciones: NIA, NCATS, Halis Family Foundation, Lester Gimpelson; conflictos no constan en el resumen</t>
  </si>
  <si>
    <t xml:space="preserve">cita encontrada; cifra coincide (PMID 41137616; 47 y 19% presentes)</t>
  </si>
  <si>
    <t xml:space="preserve">PMID 41137616; DOI 10.1002/alz.70792; NCT04055376</t>
  </si>
  <si>
    <t xml:space="preserve">https://pubmed.ncbi.nlm.nih.gov/41137616/</t>
  </si>
  <si>
    <t xml:space="preserve">Spectris (Cognito) 40 Hz gamma, análisis RM del cuerpo calloso</t>
  </si>
  <si>
    <t xml:space="preserve">Gamma (Cognito Therapeutics)</t>
  </si>
  <si>
    <t xml:space="preserve">Da X, Hempel E, Brickman AM, Hajós M, Kern R, Cimenser A., 2024, Frontiers in Neurology</t>
  </si>
  <si>
    <t xml:space="preserve">Subanálisis de RM del ensayo OVERTURE (aleatorizado 2:1 activo:sham)</t>
  </si>
  <si>
    <t xml:space="preserve">50 (33 activo, 17 sham)</t>
  </si>
  <si>
    <t xml:space="preserve">Deterioro leve o Alzheimer</t>
  </si>
  <si>
    <t xml:space="preserve">6 meses, 1 h diaria</t>
  </si>
  <si>
    <t xml:space="preserve">Estimulación sensorial gamma 40 Hz diaria 1 h</t>
  </si>
  <si>
    <t xml:space="preserve">Área del cuerpo calloso por RM (modelo bayesiano)</t>
  </si>
  <si>
    <t xml:space="preserve">Todas las diferencias favorecieron al grupo activo; área total del cuerpo calloso 2,28 ± 0,87% (valores p truncados en el resumen)</t>
  </si>
  <si>
    <t xml:space="preserve">Autores de la empresa Cognito Therapeutics (Kern, Cimenser, Hajós entre ellos); detalle de financiación no consta en el resumen</t>
  </si>
  <si>
    <t xml:space="preserve">cita encontrada; cifra coincide (PMID 39479005; 2,28 presente)</t>
  </si>
  <si>
    <t xml:space="preserve">PMID 39479005; DOI 10.3389/fneur.2024.1452930; NCT03556280</t>
  </si>
  <si>
    <t xml:space="preserve">https://pubmed.ncbi.nlm.nih.gov/39479005/</t>
  </si>
  <si>
    <t xml:space="preserve">Spectris 40 Hz, sustancia blanca y mielina</t>
  </si>
  <si>
    <t xml:space="preserve">Gamma (Cognito)</t>
  </si>
  <si>
    <t xml:space="preserve">Da X, Hempel E, Ou Y y cols., 2024, J Alzheimer's Dis</t>
  </si>
  <si>
    <t xml:space="preserve">Subanálisis de RM de OVERTURE</t>
  </si>
  <si>
    <t xml:space="preserve">38 (sustancia blanca) y 36 (mielina)</t>
  </si>
  <si>
    <t xml:space="preserve">6 meses diarios</t>
  </si>
  <si>
    <t xml:space="preserve">40 Hz audiovisual diario</t>
  </si>
  <si>
    <t xml:space="preserve">Atrofia de sustancia blanca y pérdida de contenido de mielina (T1/T2)</t>
  </si>
  <si>
    <t xml:space="preserve">Menor atrofia total y regional de sustancia blanca y menor pérdida de mielina en el grupo activo vs sham; mayor cambio en región entorrinal</t>
  </si>
  <si>
    <t xml:space="preserve">Autores afiliados a Cognito Therapeutics; financiación no consta en el resumen</t>
  </si>
  <si>
    <t xml:space="preserve">cita encontrada; cifra no comprobable en el resumen (PMID 38073386)</t>
  </si>
  <si>
    <t xml:space="preserve">PMID 38073386; DOI 10.3233/jad-230506; NCT03556280</t>
  </si>
  <si>
    <t xml:space="preserve">https://pubmed.ncbi.nlm.nih.gov/38073386/</t>
  </si>
  <si>
    <t xml:space="preserve">Spectris 40 Hz, proteómica de LCR</t>
  </si>
  <si>
    <t xml:space="preserve">Hajós M, Pandey K y cols., 2025, Alzheimer's &amp; Dementia: TRCI</t>
  </si>
  <si>
    <t xml:space="preserve">Subanálisis del ensayo FLICKER, proteómica sin sesgo</t>
  </si>
  <si>
    <t xml:space="preserve">10 con DCL amiloide positivo (5 con datos a 8 semanas)</t>
  </si>
  <si>
    <t xml:space="preserve">Deterioro leve amiloide positivo</t>
  </si>
  <si>
    <t xml:space="preserve">8 semanas, 1 h diaria</t>
  </si>
  <si>
    <t xml:space="preserve">Uso diario del dispositivo Spectris</t>
  </si>
  <si>
    <t xml:space="preserve">Proteoma de líquido cefalorraquídeo (espectrometría de masas)</t>
  </si>
  <si>
    <t xml:space="preserve">110 de 2951 proteínas cumplieron el umbral de significación a las 8 semanas; cambios en mielina, función sináptica, neuroinmune y transporte de lípidos</t>
  </si>
  <si>
    <t xml:space="preserve">Autores de Cognito; financiación no consta en el resumen</t>
  </si>
  <si>
    <t xml:space="preserve">cita encontrada; cifra coincide (PMID 39935616; 110 de 2951)</t>
  </si>
  <si>
    <t xml:space="preserve">PMID 39935616; DOI 10.1002/trc2.70051; NCT03543878</t>
  </si>
  <si>
    <t xml:space="preserve">https://pubmed.ncbi.nlm.nih.gov/39935616/</t>
  </si>
  <si>
    <t xml:space="preserve">40 Hz audiovisual inmersivo (realidad virtual)</t>
  </si>
  <si>
    <t xml:space="preserve">Gamma (VR, Cognito)</t>
  </si>
  <si>
    <t xml:space="preserve">Reis C, Hainke L, Headley G y cols., 2026, J Prev Alzheimers Dis</t>
  </si>
  <si>
    <t xml:space="preserve">Estudio de viabilidad de sesión única, intra-sujeto, con sham</t>
  </si>
  <si>
    <t xml:space="preserve">11</t>
  </si>
  <si>
    <t xml:space="preserve">Deterioro leve por Alzheimer o Alzheimer leve</t>
  </si>
  <si>
    <t xml:space="preserve">1 sesión</t>
  </si>
  <si>
    <t xml:space="preserve">Contenido audiovisual en VR modulado a 40 Hz con condición sham</t>
  </si>
  <si>
    <t xml:space="preserve">Seguridad, respuesta EEG a 40 Hz, recuerdo y reconocimiento de pares vídeo-palabra</t>
  </si>
  <si>
    <t xml:space="preserve">Respuesta EEG a 40 Hz mayor que en basal y sham (p &lt; 0,001); ítems codificados en 40 Hz mejor recordados y reconocidos que en sham (todos p ajustada FDR &lt; 0,05, análisis exploratorio)</t>
  </si>
  <si>
    <t xml:space="preserve">Sin eventos graves; síntomas ausentes o leves</t>
  </si>
  <si>
    <t xml:space="preserve">cita encontrada; cifra coincide (PMID 42790402; p&lt;0,001 y 0,05)</t>
  </si>
  <si>
    <t xml:space="preserve">PMID 42790402; DOI 10.1016/j.tjpad.2026.100679</t>
  </si>
  <si>
    <t xml:space="preserve">https://pubmed.ncbi.nlm.nih.gov/42790402/</t>
  </si>
  <si>
    <t xml:space="preserve">Sonido 40 Hz (tonos binaurales)</t>
  </si>
  <si>
    <t xml:space="preserve">Estimulación auditiva 40 Hz con tonos binaurales</t>
  </si>
  <si>
    <t xml:space="preserve">Gamma, Irán</t>
  </si>
  <si>
    <t xml:space="preserve">Fanid LM, Beyrami M, Asl MJ y cols., 2026, Basic and Clinical Neuroscience</t>
  </si>
  <si>
    <t xml:space="preserve">Cuasi-experimental, grupos paralelos pre-post</t>
  </si>
  <si>
    <t xml:space="preserve">30 (15 + 15)</t>
  </si>
  <si>
    <t xml:space="preserve">Alzheimer inicial, MMSE 10-20</t>
  </si>
  <si>
    <t xml:space="preserve">3 semanas, 30 sesiones</t>
  </si>
  <si>
    <t xml:space="preserve">Tonos binaurales centrados en 40 Hz vs audio sin modulación gamma</t>
  </si>
  <si>
    <t xml:space="preserve">Memoria de trabajo visuoespacial (Corsi), flexibilidad (WCST), amplitud de dígitos, EEG</t>
  </si>
  <si>
    <t xml:space="preserve">Mejora de memoria de trabajo visuoespacial (p = 0,001, d = 1,42) y flexibilidad cognitiva (p = 0,028, d = 0,78); aumento de potencia gamma frontal con ojos cerrados</t>
  </si>
  <si>
    <t xml:space="preserve">Protocolo descrito: 30 sesiones en 3 semanas con audio binaural 40 Hz; duración por sesión no consta en el resumen</t>
  </si>
  <si>
    <t xml:space="preserve">cita encontrada; cifra coincide (PMID 42222549; d 1,42 y 0,78; p 0,028 y 0,001)</t>
  </si>
  <si>
    <t xml:space="preserve">PMID 42222549; DOI 10.32598/bcn.2026.7612.2</t>
  </si>
  <si>
    <t xml:space="preserve">https://pubmed.ncbi.nlm.nih.gov/42222549/</t>
  </si>
  <si>
    <t xml:space="preserve">Estimulación sensorial gamma audiovisual (metaanálisis)</t>
  </si>
  <si>
    <t xml:space="preserve">Gamma, China</t>
  </si>
  <si>
    <t xml:space="preserve">Ang S, Zhang X, Hong J y cols., 2025, Translational Psychiatry</t>
  </si>
  <si>
    <t xml:space="preserve">Revisión sistemática y metaanálisis de 11 estudios controlados</t>
  </si>
  <si>
    <t xml:space="preserve">341 participantes</t>
  </si>
  <si>
    <t xml:space="preserve">Alzheimer y deterioro leve</t>
  </si>
  <si>
    <t xml:space="preserve">varias</t>
  </si>
  <si>
    <t xml:space="preserve">40 Hz auditivo y visual</t>
  </si>
  <si>
    <t xml:space="preserve">Eventos adversos, función cognitiva, cambios cerebrales</t>
  </si>
  <si>
    <t xml:space="preserve">Sin aumento global de eventos adversos (RR = 0,99, P = 0,93); acúfenos: RR = 6,46, P = 0,08; RD = 0,16, P = 0,01. Cambios estructurales cerebrales: SMD = 1,74, P = 0,02; el efecto sobre cognición o función diaria 'queda por establecer'</t>
  </si>
  <si>
    <t xml:space="preserve">Acúfenos con más riesgo en grupo activo (RD 0,16)</t>
  </si>
  <si>
    <t xml:space="preserve">Subvenciones: Programa Nacional de Especialidades Clínicas Clave; NSFC (China)</t>
  </si>
  <si>
    <t xml:space="preserve">cita encontrada; cifra coincide (PMID 41381439; RR 0,99; RD 0,16; SMD 1,74)</t>
  </si>
  <si>
    <t xml:space="preserve">PMID 41381439; DOI 10.1038/s41398-025-03788-4</t>
  </si>
  <si>
    <t xml:space="preserve">https://pubmed.ncbi.nlm.nih.gov/41381439/</t>
  </si>
  <si>
    <t xml:space="preserve">Parpadeo de luz a 40 Hz en ratones 5XFAD</t>
  </si>
  <si>
    <t xml:space="preserve">Gamma, MIT</t>
  </si>
  <si>
    <t xml:space="preserve">Iaccarino HF, Singer AC, Martorell AJ y cols., 2016, Nature</t>
  </si>
  <si>
    <t xml:space="preserve">Experimentos en ratones con optogenética y luz parpadeante 40 Hz</t>
  </si>
  <si>
    <t xml:space="preserve">Ratones modelo Alzheimer</t>
  </si>
  <si>
    <t xml:space="preserve">Parpadeo de luz a 40 Hz</t>
  </si>
  <si>
    <t xml:space="preserve">Aβ1-40 y Aβ1-42, placas, microglía</t>
  </si>
  <si>
    <t xml:space="preserve">Reducción de Aβ1-40 y Aβ1-42 en corteza visual de ratones pre-depositantes y menor carga de placas en ratones envejecidos; otras frecuencias no funcionaron</t>
  </si>
  <si>
    <t xml:space="preserve">Subvenciones: NEI, NIGMS, NIA, NINDS (NIH)</t>
  </si>
  <si>
    <t xml:space="preserve">cita encontrada; cifra no comprobable en el resumen (PMID 27929004; año 2016)</t>
  </si>
  <si>
    <t xml:space="preserve">PMID 27929004; DOI 10.1038/nature20587</t>
  </si>
  <si>
    <t xml:space="preserve">https://pubmed.ncbi.nlm.nih.gov/27929004/</t>
  </si>
  <si>
    <t xml:space="preserve">tACS gamma</t>
  </si>
  <si>
    <t xml:space="preserve">tACS gamma domiciliaria sobre precúneo</t>
  </si>
  <si>
    <t xml:space="preserve">Neuroestimulación eléctrica, Italia</t>
  </si>
  <si>
    <t xml:space="preserve">Cantoni V, Casula EP, Tarantino B y cols., 2025, JAMA Network Open</t>
  </si>
  <si>
    <t xml:space="preserve">Doble ciego, sham, con fase abierta de extensión</t>
  </si>
  <si>
    <t xml:space="preserve">50</t>
  </si>
  <si>
    <t xml:space="preserve">Alzheimer prodrómico y leve</t>
  </si>
  <si>
    <t xml:space="preserve">8 semanas doble ciego + 8 abierta + 8 seguimiento</t>
  </si>
  <si>
    <t xml:space="preserve">tACS gamma, 5 sesiones/semana, 60 min, en casa</t>
  </si>
  <si>
    <t xml:space="preserve">Seguridad, CDR-SB, ADAS-Cog, ADCS-ADL, test nombre-cara, EEG, biomarcadores plasmáticos</t>
  </si>
  <si>
    <t xml:space="preserve">Diferencias medias sham vs gamma: CDR-SB 0,35 (IC95% 0,10-0,61; P = ,007); ADAS-Cog 0,93 (0,50-1,36; P = ,001); ADCS-ADL -0,55 (-0,89 a -0,21; P = ,02); Face-Name -1,14 (-1,66 a -0,61; P ≤ ,001); mejora en la fase abierta también</t>
  </si>
  <si>
    <t xml:space="preserve">Seguro y bien tolerado</t>
  </si>
  <si>
    <t xml:space="preserve">Protocolo: 60 min, 5 días/semana, 8 semanas (requiere dispositivo tACS)</t>
  </si>
  <si>
    <t xml:space="preserve">cita encontrada; cifra coincide (PMID 41359335; diferencias CDR-SB, ADAS-Cog, ADCS-ADL, Face-Name)</t>
  </si>
  <si>
    <t xml:space="preserve">PMID 41359335; DOI 10.1001/jamanetworkopen.2025.46556</t>
  </si>
  <si>
    <t xml:space="preserve">https://pubmed.ncbi.nlm.nih.gov/41359335/</t>
  </si>
  <si>
    <t xml:space="preserve">tACS gamma sobre precúneo, seguimiento largo</t>
  </si>
  <si>
    <t xml:space="preserve">Cantoni V, Grassi M, Premi E y cols., 2026, J Alzheimer's Dis</t>
  </si>
  <si>
    <t xml:space="preserve">Seguimiento a 36 y 72 semanas de ensayo previo</t>
  </si>
  <si>
    <t xml:space="preserve">46</t>
  </si>
  <si>
    <t xml:space="preserve">72 semanas de seguimiento</t>
  </si>
  <si>
    <t xml:space="preserve">8 o 16 semanas de tACS gamma</t>
  </si>
  <si>
    <t xml:space="preserve">ADAS-Cog, test nombre-cara, CDR-SB, ADCS-ADL</t>
  </si>
  <si>
    <t xml:space="preserve">ADAS-Cog sin empeoramiento significativo a 36 semanas y nombre-cara estable; CDR-SB y ADCS-ADL empeoraron con el tiempo</t>
  </si>
  <si>
    <t xml:space="preserve">cita encontrada; cifra no comprobable en el resumen (PMID 42377068)</t>
  </si>
  <si>
    <t xml:space="preserve">PMID 42377068; DOI 10.1177/13872877261461248</t>
  </si>
  <si>
    <t xml:space="preserve">https://pubmed.ncbi.nlm.nih.gov/42377068/</t>
  </si>
  <si>
    <t xml:space="preserve">tACS 40 Hz biparietal</t>
  </si>
  <si>
    <t xml:space="preserve">Neuroestimulación eléctrica, China</t>
  </si>
  <si>
    <t xml:space="preserve">Ma X, Yuan M, Gao Y y cols., 2026, BMC Medicine</t>
  </si>
  <si>
    <t xml:space="preserve">Prospectivo, aleatorizado tACS vs sham</t>
  </si>
  <si>
    <t xml:space="preserve">15 días consecutivos de 30 min; seguimiento 10 semanas</t>
  </si>
  <si>
    <t xml:space="preserve">Escalas neuropsicológicas, TMS-EEG, fMRI</t>
  </si>
  <si>
    <t xml:space="preserve">Mejoras en cognición global, memoria, lenguaje, atención y función ejecutiva y menor NPI tras tACS; sin efectos claros en sham; mayor conectividad en la red por defecto</t>
  </si>
  <si>
    <t xml:space="preserve">Subvenciones chinas: Brain Science and Brain-like Intelligence Technology, Hebei, Hospital First de Hebei</t>
  </si>
  <si>
    <t xml:space="preserve">cita encontrada; cifra no comprobable en el resumen (PMID 42363162; n no consta)</t>
  </si>
  <si>
    <t xml:space="preserve">PMID 42363162; DOI 10.1186/s12916-026-04983-w</t>
  </si>
  <si>
    <t xml:space="preserve">https://pubmed.ncbi.nlm.nih.gov/42363162/</t>
  </si>
  <si>
    <t xml:space="preserve">Fotobiomodulación transcraneal 808 nm domiciliaria</t>
  </si>
  <si>
    <t xml:space="preserve">Fotobiomodulación, Corea</t>
  </si>
  <si>
    <t xml:space="preserve">Chun H, Lee HW, Hong SB, Ha SS, Yoon KJ., 2026, J Alzheimer's Dis</t>
  </si>
  <si>
    <t xml:space="preserve">Deterioro leve por Alzheimer</t>
  </si>
  <si>
    <t xml:space="preserve">12 semanas, 6 veces/semana</t>
  </si>
  <si>
    <t xml:space="preserve">808 nm sobre corteza prefrontal dorsolateral bilateral, autoadministrado</t>
  </si>
  <si>
    <t xml:space="preserve">MoCA-K (primaria), K-MMSE2, CERAD-K</t>
  </si>
  <si>
    <t xml:space="preserve">MoCA-K +3,87 ± 2,51 en activo vs -0,74 ± 2,85 en placebo (p &lt; 0,001); K-MMSE2 y CERAD-K con diferencias significativas; GDepS sin cambio</t>
  </si>
  <si>
    <t xml:space="preserve">Sin eventos adversos relacionados con el dispositivo</t>
  </si>
  <si>
    <t xml:space="preserve">Financiación: Y&amp;J Bio (empresa)</t>
  </si>
  <si>
    <t xml:space="preserve">808 nm bilateral prefrontal, 6 días/semana 12 semanas (tiempo por sesión no consta)</t>
  </si>
  <si>
    <t xml:space="preserve">cita encontrada; cifra coincide (PMID 42024020; 3,87 ± 2,51 vs -0,74 ± 2,85)</t>
  </si>
  <si>
    <t xml:space="preserve">PMID 42024020; DOI 10.1177/13872877261443973; KCT0011155</t>
  </si>
  <si>
    <t xml:space="preserve">https://pubmed.ncbi.nlm.nih.gov/42024020/</t>
  </si>
  <si>
    <t xml:space="preserve">Fotobiomodulación 810 nm pulsada 10 Hz transcraneal + intranasal (Vielight)</t>
  </si>
  <si>
    <t xml:space="preserve">Fotobiomodulación, Vielight</t>
  </si>
  <si>
    <t xml:space="preserve">Saltmarche AE, Naeser MA, Ho KF, Hamblin MR, Lim L., 2017, Photomed Laser Surg</t>
  </si>
  <si>
    <t xml:space="preserve">Serie de casos abierta</t>
  </si>
  <si>
    <t xml:space="preserve">Demencia leve a moderadamente grave (MMSE 10-24)</t>
  </si>
  <si>
    <t xml:space="preserve">12 semanas + 4 sin tratamiento</t>
  </si>
  <si>
    <t xml:space="preserve">810 nm, 10 Hz, LED: semanal en clínica transcraneal+intranasal y a diario en casa intranasal</t>
  </si>
  <si>
    <t xml:space="preserve">MMSE, ADAS-Cog</t>
  </si>
  <si>
    <t xml:space="preserve">Mejora significativa a 12 semanas (el registro CT.gov del ensayo posterior cita MMSE p&lt;0,003 y ADAS-cog p&lt;0,03); los cuidadores reportaron mejor sueño y menos agitación</t>
  </si>
  <si>
    <t xml:space="preserve">Coautores Hamblin y Lim (Vielight Inc.); conflictos no constan en el resumen</t>
  </si>
  <si>
    <t xml:space="preserve">Dispositivo Vielight, 810 nm 10 Hz</t>
  </si>
  <si>
    <t xml:space="preserve">cita encontrada; cifra no comprobable en el resumen (PMID 28186867; ADAS-cog p&lt;0,03 no aparece en el resumen)</t>
  </si>
  <si>
    <t xml:space="preserve">PMID 28186867; DOI 10.1089/pho.2016.4227</t>
  </si>
  <si>
    <t xml:space="preserve">https://pubmed.ncbi.nlm.nih.gov/28186867/</t>
  </si>
  <si>
    <t xml:space="preserve">Fotobiomodulación domiciliaria Vielight Neuro Gamma</t>
  </si>
  <si>
    <t xml:space="preserve">Fotobiomodulación, UCSF</t>
  </si>
  <si>
    <t xml:space="preserve">Chao LL., 2019, Photobiomodul Photomed Laser Surg</t>
  </si>
  <si>
    <t xml:space="preserve">Piloto aleatorizado, cuidado habitual vs PBM, sin sham</t>
  </si>
  <si>
    <t xml:space="preserve">8 (4 + 4)</t>
  </si>
  <si>
    <t xml:space="preserve">Vielight Neuro Gamma 3 veces por semana aplicado por cuidador</t>
  </si>
  <si>
    <t xml:space="preserve">ADAS-cog, NPI, perfusión ASL, conectividad en reposo</t>
  </si>
  <si>
    <t xml:space="preserve">Interacción grupo × tiempo: ADAS-cog F1,6 = 16,35, p = 0,007; NPI F1,6 = 7,52, p = 0,03; aumento de perfusión cerebral (F = 8,46) y mayor conectividad</t>
  </si>
  <si>
    <t xml:space="preserve">Sin efectos adversos</t>
  </si>
  <si>
    <t xml:space="preserve">3 veces por semana, 12 semanas, con ayuda de acompañante</t>
  </si>
  <si>
    <t xml:space="preserve">cita encontrada; cifra coincide (PMID 31050950; F 16,35; 7,52; 8,46)</t>
  </si>
  <si>
    <t xml:space="preserve">PMID 31050950; DOI 10.1089/photob.2018.4555; NCT03160027</t>
  </si>
  <si>
    <t xml:space="preserve">https://pubmed.ncbi.nlm.nih.gov/31050950/</t>
  </si>
  <si>
    <t xml:space="preserve">PBM Vielight, registro con resultados publicados</t>
  </si>
  <si>
    <t xml:space="preserve">Registro NCT03160027, UCSF</t>
  </si>
  <si>
    <t xml:space="preserve">Dos brazos, PBM inmediato vs diferido</t>
  </si>
  <si>
    <t xml:space="preserve">Dispositivo de fotobiomodulación domiciliario</t>
  </si>
  <si>
    <t xml:space="preserve">ADAS-cog, dibujo del reloj, conectividad DMN, perfusión ASL, QOL-AD</t>
  </si>
  <si>
    <t xml:space="preserve">El registro publica resultados: ADAS-cog con valores 5,8 / -7,2 / 4,8 por grupo (la correspondencia exacta con los grupos no se extrajo); limitaciones declaradas: muestra pequeña, ausencia de sham, diagnóstico no confirmado por neurólogo</t>
  </si>
  <si>
    <t xml:space="preserve">Patrocinador: UCSF; el PI declara ser empleado del patrocinador</t>
  </si>
  <si>
    <t xml:space="preserve">cita encontrada; cifra no comprobable en el resumen (NCT03160027; n=20 y estado completado coinciden; resultados no comparados)</t>
  </si>
  <si>
    <t xml:space="preserve">NCT03160027</t>
  </si>
  <si>
    <t xml:space="preserve">https://clinicaltrials.gov/study/NCT03160027</t>
  </si>
  <si>
    <t xml:space="preserve">tPBM domiciliaria en deterioro leve</t>
  </si>
  <si>
    <t xml:space="preserve">Fotobiomodulación, Toronto</t>
  </si>
  <si>
    <t xml:space="preserve">Rashidi-Ranjbar N, Churchill N y cols., 2025, Alzheimer's &amp; Dementia (resumen de congreso)</t>
  </si>
  <si>
    <t xml:space="preserve">Piloto aleatorizado con dispositivos idénticos</t>
  </si>
  <si>
    <t xml:space="preserve">20 (10 + 10)</t>
  </si>
  <si>
    <t xml:space="preserve">6 semanas diarias</t>
  </si>
  <si>
    <t xml:space="preserve">tPBM NIR domiciliaria</t>
  </si>
  <si>
    <t xml:space="preserve">MMSE, TMT, CVLT-II, IL-6 plasmática, RM-espectroscopia, conectividad</t>
  </si>
  <si>
    <t xml:space="preserve">El activo mejoró más (p &lt; 0,05): reconocimiento CVLT-II, MMSE, TMT-B más rápido, menor IL-6, más colina/creatina, mayor conectividad en DMN</t>
  </si>
  <si>
    <t xml:space="preserve">Bien tolerado; cumplimiento &gt; 98%</t>
  </si>
  <si>
    <t xml:space="preserve">Una autora (Lim) afiliada a Vielight Inc.; financiación no consta</t>
  </si>
  <si>
    <t xml:space="preserve">cita encontrada; cifra no comprobable en el resumen (DOI 10.1002/alz70861_108308; registro EPMC sin resumen)</t>
  </si>
  <si>
    <t xml:space="preserve">DOI 10.1002/alz70861_108308</t>
  </si>
  <si>
    <t xml:space="preserve">https://europepmc.org/article/PMC/PMC12725300</t>
  </si>
  <si>
    <t xml:space="preserve">PBM intranasal + transcraneal (Vielight) en niebla mental post-COVID</t>
  </si>
  <si>
    <t xml:space="preserve">Lim L, Hosseinkhah N y cols., 2026, eClinicalMedicine</t>
  </si>
  <si>
    <t xml:space="preserve">Piloto doble ciego sham</t>
  </si>
  <si>
    <t xml:space="preserve">43 (41 analizados)</t>
  </si>
  <si>
    <t xml:space="preserve">Post-COVID con disfunción cognitiva (no Alzheimer)</t>
  </si>
  <si>
    <t xml:space="preserve">PBM NIR domiciliaria</t>
  </si>
  <si>
    <t xml:space="preserve">Puntuación cognitiva compuesta</t>
  </si>
  <si>
    <t xml:space="preserve">Diferencia media 0,043 (IC95% -0,007 a 0,092; p = 0,088); ganancias significativas en subgrupos más jóvenes</t>
  </si>
  <si>
    <t xml:space="preserve">Seguro y factible</t>
  </si>
  <si>
    <t xml:space="preserve">Financiación: Vielight Inc.</t>
  </si>
  <si>
    <t xml:space="preserve">cita encontrada; cifra coincide (PMID 41768981; 0,043 y 0,088)</t>
  </si>
  <si>
    <t xml:space="preserve">PMID 41768981; DOI 10.1016/j.eclinm.2025.103730; NCT05857124</t>
  </si>
  <si>
    <t xml:space="preserve">https://pubmed.ncbi.nlm.nih.gov/41768981/</t>
  </si>
  <si>
    <t xml:space="preserve">Neuro RX Gamma (Vielight) en Alzheimer moderado-grave</t>
  </si>
  <si>
    <t xml:space="preserve">Registro NCT03328195</t>
  </si>
  <si>
    <t xml:space="preserve">Aleatorizado, cuádruple ciego, 3 brazos (sincrónico, asincrónico, sham)</t>
  </si>
  <si>
    <t xml:space="preserve">Alzheimer moderado a grave</t>
  </si>
  <si>
    <t xml:space="preserve">12 semanas, 20 min, 6 días/semana</t>
  </si>
  <si>
    <t xml:space="preserve">NIR domiciliario</t>
  </si>
  <si>
    <t xml:space="preserve">Severe Impairment Battery</t>
  </si>
  <si>
    <t xml:space="preserve">Completado en 2022; sin resultados publicados en el registro</t>
  </si>
  <si>
    <t xml:space="preserve">Patrocinador: Vielight Inc.</t>
  </si>
  <si>
    <t xml:space="preserve">cita encontrada; cifra coincide (NCT03328195; n=60, completado 2022-02)</t>
  </si>
  <si>
    <t xml:space="preserve">NCT03328195</t>
  </si>
  <si>
    <t xml:space="preserve">https://clinicaltrials.gov/study/NCT03328195</t>
  </si>
  <si>
    <t xml:space="preserve">Hipótesis NIR y melatonina mitocondrial</t>
  </si>
  <si>
    <t xml:space="preserve">Heterodoxo, Mercola</t>
  </si>
  <si>
    <t xml:space="preserve">Mercola J., 2026, Cureus</t>
  </si>
  <si>
    <t xml:space="preserve">Artículo de hipótesis</t>
  </si>
  <si>
    <t xml:space="preserve">Propone luz NIR y precursores de glutatión</t>
  </si>
  <si>
    <t xml:space="preserve">Marco mecanístico</t>
  </si>
  <si>
    <t xml:space="preserve">Propone que la NIR activa la síntesis de melatonina mitocondrial y que los precursores de glutatión son limitantes; sin datos propios</t>
  </si>
  <si>
    <t xml:space="preserve">cita encontrada; cifra coincide (PMID 41994801; DOI 10.7759/cureus.105322; hipótesis sin cifras propias)</t>
  </si>
  <si>
    <t xml:space="preserve">PMID 41994801; DOI 10.7759/cureus.105322</t>
  </si>
  <si>
    <t xml:space="preserve">https://pubmed.ncbi.nlm.nih.gov/41994801/</t>
  </si>
  <si>
    <t xml:space="preserve">Oxígeno hiperbárico</t>
  </si>
  <si>
    <t xml:space="preserve">Oxígeno hiperbárico en ratones 5XFAD y ancianos con pérdida de memoria</t>
  </si>
  <si>
    <t xml:space="preserve">HBOT, Israel (Efrati)</t>
  </si>
  <si>
    <t xml:space="preserve">Shapira R, Gdalyahu A, Gottfried I y cols., 2021, Aging</t>
  </si>
  <si>
    <t xml:space="preserve">Ratones 5XFAD + ancianos con memoria afectada, no controlado</t>
  </si>
  <si>
    <t xml:space="preserve">Ratones 5XFAD y ancianos con pérdida de memoria</t>
  </si>
  <si>
    <t xml:space="preserve">HBOT</t>
  </si>
  <si>
    <t xml:space="preserve">Imagen bifotónica, comportamiento, histología; en humanos flujo cerebral y cognición</t>
  </si>
  <si>
    <t xml:space="preserve">HBOT redujo volumen de placas y formación nueva, mejoró conducta; en ancianos aumentó el flujo cerebral y mejoró el rendimiento cognitivo</t>
  </si>
  <si>
    <t xml:space="preserve">European Research Council; autores vinculados a Sagol Center for Hyperbaric Medicine (conflictos no constan en el resumen)</t>
  </si>
  <si>
    <t xml:space="preserve">cita encontrada; cifra coincide (PMID 34499614; sin cifras numéricas en el resumen)</t>
  </si>
  <si>
    <t xml:space="preserve">PMID 34499614; DOI 10.18632/aging.203485</t>
  </si>
  <si>
    <t xml:space="preserve">https://pubmed.ncbi.nlm.nih.gov/34499614/</t>
  </si>
  <si>
    <t xml:space="preserve">Oxígeno hiperbárico en ancianos sanos</t>
  </si>
  <si>
    <t xml:space="preserve">Hadanny A, Daniel-Kotovsky M, Suzin G y cols., 2020, Aging</t>
  </si>
  <si>
    <t xml:space="preserve">Aleatorizado HBOT vs control</t>
  </si>
  <si>
    <t xml:space="preserve">63 (33 HBOT, 30 control)</t>
  </si>
  <si>
    <t xml:space="preserve">Adultos sanos &gt; 64 años</t>
  </si>
  <si>
    <t xml:space="preserve">Función cognitiva global, flujo cerebral por RM</t>
  </si>
  <si>
    <t xml:space="preserve">Interacción grupo × tiempo en cognición global p = 0,0017; tamaño de efecto: atención 0,745 y velocidad de procesamiento 0,788; aumentos del flujo cerebral en regiones frontales</t>
  </si>
  <si>
    <t xml:space="preserve">cita encontrada; cifra coincide (PMID 32589613; 0,0017; 0,745; 0,788)</t>
  </si>
  <si>
    <t xml:space="preserve">PMID 32589613; DOI 10.18632/aging.103571</t>
  </si>
  <si>
    <t xml:space="preserve">https://pubmed.ncbi.nlm.nih.gov/32589613/</t>
  </si>
  <si>
    <t xml:space="preserve">Oxígeno hiperbárico en diabetes tipo 2 y deterioro leve</t>
  </si>
  <si>
    <t xml:space="preserve">HBOT, Sheba/Shamir</t>
  </si>
  <si>
    <t xml:space="preserve">Benari O, Ravona-Springer R y cols., 2025, Alzheimer's &amp; Dementia (resumen de congreso)</t>
  </si>
  <si>
    <t xml:space="preserve">Doble ciego sham, 2017-2023</t>
  </si>
  <si>
    <t xml:space="preserve">155 (77 HBOT, 78 sham)</t>
  </si>
  <si>
    <t xml:space="preserve">Deterioro leve con diabetes tipo 2</t>
  </si>
  <si>
    <t xml:space="preserve">Seguimiento 12 meses</t>
  </si>
  <si>
    <t xml:space="preserve">HBOT vs sham</t>
  </si>
  <si>
    <t xml:space="preserve">Cognición global, flujo cerebral, FDG-PET</t>
  </si>
  <si>
    <t xml:space="preserve">A 3 meses cognición global y función ejecutiva favorecieron al sham (p &lt; 0,05); sin diferencias después ni en flujo o PET; eventos adversos graves: 25 HBOT vs 8 sham; 'HBOT did not improve cognitive or brain imaging outcomes compared to sham'</t>
  </si>
  <si>
    <t xml:space="preserve">25 eventos graves HBOT vs 8 sham</t>
  </si>
  <si>
    <t xml:space="preserve">Coautores Efrati, Hadanny, Sagi del centro hiperbárico; financiación no consta</t>
  </si>
  <si>
    <t xml:space="preserve">cita encontrada; cifra no comprobable en el resumen (DOI 10.1002/alz70861_108814; registro EPMC sin resumen)</t>
  </si>
  <si>
    <t xml:space="preserve">DOI 10.1002/alz70861_108814</t>
  </si>
  <si>
    <t xml:space="preserve">https://europepmc.org/article/PMC/PMC12726044</t>
  </si>
  <si>
    <t xml:space="preserve">Oxígeno hiperbárico en Alzheimer (metaanálisis)</t>
  </si>
  <si>
    <t xml:space="preserve">HBOT, China</t>
  </si>
  <si>
    <t xml:space="preserve">Lin G, Zhao L, Lin J, Li X, Xu L., 2024, Frontiers Aging Neurosci</t>
  </si>
  <si>
    <t xml:space="preserve">Metaanálisis de 11 ensayos aleatorizados</t>
  </si>
  <si>
    <t xml:space="preserve">847</t>
  </si>
  <si>
    <t xml:space="preserve">MMSE, ADAS-Cog, AVD, eventos adversos</t>
  </si>
  <si>
    <t xml:space="preserve">MMSE diferencia de medias 3,08 (IC95% 2,56-3,61); concluyen que es 'efectiva y segura'; la calidad de los ensayos no se detalla en el resumen</t>
  </si>
  <si>
    <t xml:space="preserve">Sin diferencias significativas en eventos adversos (según el resumen)</t>
  </si>
  <si>
    <t xml:space="preserve">cita encontrada; cifra coincide (PMID 38577491; 3,08; 2,56-3,61; 847)</t>
  </si>
  <si>
    <t xml:space="preserve">PMID 38577491; DOI 10.3389/fnagi.2024.1360148; PROSPERO CRD42023483726</t>
  </si>
  <si>
    <t xml:space="preserve">https://pubmed.ncbi.nlm.nih.gov/38577491/</t>
  </si>
  <si>
    <t xml:space="preserve">Oxígeno hiperbárico a largo plazo en ratones APP/PS1</t>
  </si>
  <si>
    <t xml:space="preserve">Yang C, Liu G, Zeng X, Xiang Y, Chen X, Le W., 2024, Redox Biology</t>
  </si>
  <si>
    <t xml:space="preserve">Ratones tratados 3 meses desde fase temprana</t>
  </si>
  <si>
    <t xml:space="preserve">HBOT continuado</t>
  </si>
  <si>
    <t xml:space="preserve">Cognición, Aβ, tau, vasculatura, neuroinflamación</t>
  </si>
  <si>
    <t xml:space="preserve">Atenuó el déficit cognitivo a 9 meses y redujo depósito de Aβ y tau hiperfosforilado, mejoró saturación de oxígeno y vasos</t>
  </si>
  <si>
    <t xml:space="preserve">Gobierno de Sichuan, NSFC, Shaanxi</t>
  </si>
  <si>
    <t xml:space="preserve">cita encontrada; cifra no comprobable en el resumen (PMID 38241837)</t>
  </si>
  <si>
    <t xml:space="preserve">PMID 38241837; DOI 10.1016/j.redox.2023.103006</t>
  </si>
  <si>
    <t xml:space="preserve">https://pubmed.ncbi.nlm.nih.gov/38241837/</t>
  </si>
  <si>
    <t xml:space="preserve">HBOT para deterioro leve vascular</t>
  </si>
  <si>
    <t xml:space="preserve">HBOT, Israel (registro)</t>
  </si>
  <si>
    <t xml:space="preserve">Registro NCT02085330, Assaf-Harofeh</t>
  </si>
  <si>
    <t xml:space="preserve">Cruzado aleatorizado</t>
  </si>
  <si>
    <t xml:space="preserve">60 (estimado)</t>
  </si>
  <si>
    <t xml:space="preserve">Deterioro leve por isquemia subcortical</t>
  </si>
  <si>
    <t xml:space="preserve">100% O2, 2 ATA, 90 min</t>
  </si>
  <si>
    <t xml:space="preserve">VADAS-cog</t>
  </si>
  <si>
    <t xml:space="preserve">Estado 'desconocido'; fin previsto 2017-02; sin resultados publicados</t>
  </si>
  <si>
    <t xml:space="preserve">Patrocinador: Assaf-Harofeh Medical Center</t>
  </si>
  <si>
    <t xml:space="preserve">cita encontrada; cifra coincide (NCT02085330; n=60, fin 2017-02, estado desconocido)</t>
  </si>
  <si>
    <t xml:space="preserve">NCT02085330</t>
  </si>
  <si>
    <t xml:space="preserve">https://clinicaltrials.gov/study/NCT02085330</t>
  </si>
  <si>
    <t xml:space="preserve">HBOT en Alzheimer prodrómico con enfermedad cerebrovascular</t>
  </si>
  <si>
    <t xml:space="preserve">Registro NCT05349318, Assaf-Harofeh</t>
  </si>
  <si>
    <t xml:space="preserve">Aleatorizado cuádruple ciego sham</t>
  </si>
  <si>
    <t xml:space="preserve">100 (estimado)</t>
  </si>
  <si>
    <t xml:space="preserve">Deterioro leve por Alzheimer o mixto</t>
  </si>
  <si>
    <t xml:space="preserve">3 y 9 meses</t>
  </si>
  <si>
    <t xml:space="preserve">90 min 100% O2 a 2 ATA con pausas vs sham 21% a 1,2 ATA</t>
  </si>
  <si>
    <t xml:space="preserve">Batería Mindstreams (Neurotrax)</t>
  </si>
  <si>
    <t xml:space="preserve">Estado desconocido; fin previsto 2025-03; sin resultados</t>
  </si>
  <si>
    <t xml:space="preserve">Assaf-Harofeh Medical Center</t>
  </si>
  <si>
    <t xml:space="preserve">cita encontrada; cifra coincide (NCT05349318; n=100, fin 2025-03, estado desconocido)</t>
  </si>
  <si>
    <t xml:space="preserve">NCT05349318</t>
  </si>
  <si>
    <t xml:space="preserve">https://clinicaltrials.gov/study/NCT05349318</t>
  </si>
  <si>
    <t xml:space="preserve">Campo electromagnético (TEMT)</t>
  </si>
  <si>
    <t xml:space="preserve">Tratamiento electromagnético transcraneal (TEMT) en casa</t>
  </si>
  <si>
    <t xml:space="preserve">Campos electromagnéticos, EE. UU. (Arendash)</t>
  </si>
  <si>
    <t xml:space="preserve">Arendash G, Cao C, Abulaban H y cols., 2019, J Alzheimer's Dis</t>
  </si>
  <si>
    <t xml:space="preserve">Abierto, sin control</t>
  </si>
  <si>
    <t xml:space="preserve">Alzheimer leve a moderado</t>
  </si>
  <si>
    <t xml:space="preserve">2 meses</t>
  </si>
  <si>
    <t xml:space="preserve">Dispositivo de cabeza, dos períodos de 1 h al día aplicados por cuidadores</t>
  </si>
  <si>
    <t xml:space="preserve">ADAS-cog, Rey AVLT, LCR, sangre, FDG-PET, DTI</t>
  </si>
  <si>
    <t xml:space="preserve">Mejoras clínicas y estadísticamente significativas en ADAS-cog y Rey AVLT; cambios en Aβ1-40/42 de LCR, menor ratio p-tau/Aβ42, menos Aβ oligomérico en plasma</t>
  </si>
  <si>
    <t xml:space="preserve">Sin efectos conductuales ni fisiológicos adversos; sin tumor ni microhemorragias</t>
  </si>
  <si>
    <t xml:space="preserve">2 sesiones de 1 h/día, 2 meses</t>
  </si>
  <si>
    <t xml:space="preserve">cita encontrada; cifra coincide (PMID 31403948; sin cifras numéricas en el resumen)</t>
  </si>
  <si>
    <t xml:space="preserve">PMID 31403948; DOI 10.3233/jad-190367</t>
  </si>
  <si>
    <t xml:space="preserve">https://pubmed.ncbi.nlm.nih.gov/31403948/</t>
  </si>
  <si>
    <t xml:space="preserve">Ultrasonido LIPUS</t>
  </si>
  <si>
    <t xml:space="preserve">LIPUS de cerebro completo</t>
  </si>
  <si>
    <t xml:space="preserve">Ultrasonido, Japón (Shimokawa)</t>
  </si>
  <si>
    <t xml:space="preserve">Shimokawa H, Shindo T y cols., 2022, Tohoku J Exp Med</t>
  </si>
  <si>
    <t xml:space="preserve">Piloto doble ciego placebo, terminado antes por COVID-19</t>
  </si>
  <si>
    <t xml:space="preserve">22 en el RCT (+5 en fase abierta)</t>
  </si>
  <si>
    <t xml:space="preserve">1,5 años, 6 sesiones espaciadas 3 meses</t>
  </si>
  <si>
    <t xml:space="preserve">1 h, 3 veces por semana, 1,3 MPa, 32 ciclos, 5% duty cycle</t>
  </si>
  <si>
    <t xml:space="preserve">ADAS-J cog</t>
  </si>
  <si>
    <t xml:space="preserve">Empeoramiento tendió a ser menor con LIPUS (P = 0,257); respondedores 50% (5/10) vs 0% (0/5), P = 0,053</t>
  </si>
  <si>
    <t xml:space="preserve">cita encontrada; cifra coincide (PMID 36104179; p 0,257 y 0,053)</t>
  </si>
  <si>
    <t xml:space="preserve">PMID 36104179; DOI 10.1620/tjem.2022.j078</t>
  </si>
  <si>
    <t xml:space="preserve">https://pubmed.ncbi.nlm.nih.gov/36104179/</t>
  </si>
  <si>
    <t xml:space="preserve">Ultrasonido TPS</t>
  </si>
  <si>
    <t xml:space="preserve">Estimulación transcraneal de pulsos (TPS) en demencia</t>
  </si>
  <si>
    <t xml:space="preserve">Ultrasonido, Alemania/Austria</t>
  </si>
  <si>
    <t xml:space="preserve">Radjenovic S, Bender L y cols., 2025, Psychological Medicine</t>
  </si>
  <si>
    <t xml:space="preserve">Retrospectivo abierto sin control</t>
  </si>
  <si>
    <t xml:space="preserve">58</t>
  </si>
  <si>
    <t xml:space="preserve">Alzheimer, vascular, mixta y deterioro leve</t>
  </si>
  <si>
    <t xml:space="preserve">10 sesiones (8-12)</t>
  </si>
  <si>
    <t xml:space="preserve">TPS guiada por RM</t>
  </si>
  <si>
    <t xml:space="preserve">CERAD Corrected Total Score</t>
  </si>
  <si>
    <t xml:space="preserve">56,56 (DE 18,56) a 58,65 (DE 19,44), p = ,017, d = ,32; el cuartil superior mejoró 9,8 puntos</t>
  </si>
  <si>
    <t xml:space="preserve">Menos de un tercio refirió sensaciones; fatiga y cefaleas transitorias</t>
  </si>
  <si>
    <t xml:space="preserve">cita encontrada; cifra coincide (PMID 40033713; medias 56,56 y 58,65 y 9,8; p=0,017 no aparece en el resumen)</t>
  </si>
  <si>
    <t xml:space="preserve">PMID 40033713; DOI 10.1017/s0033291725000406</t>
  </si>
  <si>
    <t xml:space="preserve">https://pubmed.ncbi.nlm.nih.gov/40033713/</t>
  </si>
  <si>
    <t xml:space="preserve">Ultrasonido transcraneal focalizado y no focalizado (metaanálisis)</t>
  </si>
  <si>
    <t xml:space="preserve">Ultrasonido</t>
  </si>
  <si>
    <t xml:space="preserve">Abdellatif AI y cols., 2026, Neurol Sci</t>
  </si>
  <si>
    <t xml:space="preserve">Metaanálisis de 3 ensayos aleatorizados</t>
  </si>
  <si>
    <t xml:space="preserve">TPS focalizada vs LIPUS</t>
  </si>
  <si>
    <t xml:space="preserve">Cognición global</t>
  </si>
  <si>
    <t xml:space="preserve">No mejora global significativa (SMD = 0,31, p = 0,54); LIPUS SMD = 0,73 vs TPS 0,17; mejoría en menores de 70 años y más 'estabilización' en el brazo activo</t>
  </si>
  <si>
    <t xml:space="preserve">Sin ARIA</t>
  </si>
  <si>
    <t xml:space="preserve">cita encontrada; cifra coincide (PMID 41981348; SMD 0,31; 0,73; 0,17; 0,54)</t>
  </si>
  <si>
    <t xml:space="preserve">PMID 41981348; DOI 10.1007/s10072-026-08997-3; PROSPERO CRD420251276660</t>
  </si>
  <si>
    <t xml:space="preserve">https://pubmed.ncbi.nlm.nih.gov/41981348/</t>
  </si>
  <si>
    <t xml:space="preserve">Estimulación vagal</t>
  </si>
  <si>
    <t xml:space="preserve">Estimulación auricular del nervio vago (taVNS)</t>
  </si>
  <si>
    <t xml:space="preserve">Neuroestimulación, China</t>
  </si>
  <si>
    <t xml:space="preserve">Xu T, Guo C y cols., 2026, Frontiers in Neurology</t>
  </si>
  <si>
    <t xml:space="preserve">Doble ciego sham</t>
  </si>
  <si>
    <t xml:space="preserve">Deterioro leve</t>
  </si>
  <si>
    <t xml:space="preserve">taVNS vs sham</t>
  </si>
  <si>
    <t xml:space="preserve">MoCA-B y escalas secundarias</t>
  </si>
  <si>
    <t xml:space="preserve">Diferencia entre grupos en MoCA-B 2,91 (IC95% 0,79 a 5,03), d = 0,59</t>
  </si>
  <si>
    <t xml:space="preserve">Sin eventos graves</t>
  </si>
  <si>
    <t xml:space="preserve">cita encontrada; cifra coincide (PMID 42656307; 2,91; 0,79-5,03; 0,59)</t>
  </si>
  <si>
    <t xml:space="preserve">PMID 42656307; DOI 10.3389/fneur.2026.1891440; ChiCTR2100049940</t>
  </si>
  <si>
    <t xml:space="preserve">https://pubmed.ncbi.nlm.nih.gov/42656307/</t>
  </si>
  <si>
    <t xml:space="preserve">Dispositivo VGuard estimulación vagal percutánea nocturna</t>
  </si>
  <si>
    <t xml:space="preserve">Neuroestimulación, Polonia (registro)</t>
  </si>
  <si>
    <t xml:space="preserve">Registro NCT06620640, Neuromedical</t>
  </si>
  <si>
    <t xml:space="preserve">105</t>
  </si>
  <si>
    <t xml:space="preserve">hasta 24 semanas</t>
  </si>
  <si>
    <t xml:space="preserve">Estimulación nocturna</t>
  </si>
  <si>
    <t xml:space="preserve">Proporción de respondedores</t>
  </si>
  <si>
    <t xml:space="preserve">Completado 2021-12; sin resultados publicados</t>
  </si>
  <si>
    <t xml:space="preserve">Neuromedical Sp. z o.o. (empresa)</t>
  </si>
  <si>
    <t xml:space="preserve">cita encontrada; cifra coincide (NCT06620640; n=105, completado 2021-12)</t>
  </si>
  <si>
    <t xml:space="preserve">NCT06620640</t>
  </si>
  <si>
    <t xml:space="preserve">https://clinicaltrials.gov/study/NCT06620640</t>
  </si>
  <si>
    <t xml:space="preserve">rTMS</t>
  </si>
  <si>
    <t xml:space="preserve">rTMS repetitiva (metaanálisis)</t>
  </si>
  <si>
    <t xml:space="preserve">TMS</t>
  </si>
  <si>
    <t xml:space="preserve">Zhou Q, Yang MX y cols., 2026, Psychogeriatrics</t>
  </si>
  <si>
    <t xml:space="preserve">Metaanálisis de 5 ensayos aleatorizados</t>
  </si>
  <si>
    <t xml:space="preserve">143</t>
  </si>
  <si>
    <t xml:space="preserve">Protocolos excitatorios, 4 de 5 sobre CPFDL izquierda</t>
  </si>
  <si>
    <t xml:space="preserve">g = 0,41 (IC95% 0,06-0,75; p = 0,021; I2 = 6,5%)</t>
  </si>
  <si>
    <t xml:space="preserve">cita encontrada; cifra coincide (PMID 42705844; g 0,41; 0,06-0,75; p 0,021)</t>
  </si>
  <si>
    <t xml:space="preserve">PMID 42705844; DOI 10.1111/psyg.70199</t>
  </si>
  <si>
    <t xml:space="preserve">https://pubmed.ncbi.nlm.nih.gov/42705844/</t>
  </si>
  <si>
    <t xml:space="preserve">tDCS</t>
  </si>
  <si>
    <t xml:space="preserve">tDCS (metaanálisis)</t>
  </si>
  <si>
    <t xml:space="preserve">Estimulación eléctrica</t>
  </si>
  <si>
    <t xml:space="preserve">Wang X, Tian L., 2026, Frontiers Aging Neurosci</t>
  </si>
  <si>
    <t xml:space="preserve">Metaanálisis de 23 estudios</t>
  </si>
  <si>
    <t xml:space="preserve">823</t>
  </si>
  <si>
    <t xml:space="preserve">Cognición global, memoria, función ejecutiva</t>
  </si>
  <si>
    <t xml:space="preserve">Cognición global SMD = 0,66 (IC95% 0,38-0,95); mejora en memoria y función ejecutiva, no en lenguaje; alta heterogeneidad</t>
  </si>
  <si>
    <t xml:space="preserve">cita encontrada; cifra coincide (PMID 42038695; SMD 0,66; 0,38-0,95)</t>
  </si>
  <si>
    <t xml:space="preserve">PMID 42038695; DOI 10.3389/fnagi.2026.1726469</t>
  </si>
  <si>
    <t xml:space="preserve">https://pubmed.ncbi.nlm.nih.gov/42038695/</t>
  </si>
  <si>
    <t xml:space="preserve">Sauna</t>
  </si>
  <si>
    <t xml:space="preserve">Sauna finlandesa frecuente</t>
  </si>
  <si>
    <t xml:space="preserve">Calor/sauna, Finlandia</t>
  </si>
  <si>
    <t xml:space="preserve">Laukkanen T, Kunutsor S, Kauhanen J, Laukkanen JA., 2017, Age and Ageing</t>
  </si>
  <si>
    <t xml:space="preserve">Cohorte prospectiva Kuopio</t>
  </si>
  <si>
    <t xml:space="preserve">2315 varones</t>
  </si>
  <si>
    <t xml:space="preserve">Varones sanos de 42-60 años</t>
  </si>
  <si>
    <t xml:space="preserve">20,7 años de mediana</t>
  </si>
  <si>
    <t xml:space="preserve">Frecuencia de sauna</t>
  </si>
  <si>
    <t xml:space="preserve">Demencia y Alzheimer incidentes</t>
  </si>
  <si>
    <t xml:space="preserve">Respecto a 1 sesión/semana: demencia HR 0,78 (0,57-1,06) con 2-3/semana y 0,34 (0,16-0,71) con 4-7/semana; Alzheimer HR 0,80 (0,53-1,20) y 0,35 (0,14-0,90)</t>
  </si>
  <si>
    <t xml:space="preserve">Institutos de salud pública y fundaciones finlandesas</t>
  </si>
  <si>
    <t xml:space="preserve">Sauna 4-7 veces por semana (asociación, no ensayo)</t>
  </si>
  <si>
    <t xml:space="preserve">cita encontrada; cifra coincide (PMID 27932366; HR 0,78 y 0,34; 0,80 y 0,35)</t>
  </si>
  <si>
    <t xml:space="preserve">PMID 27932366; DOI 10.1093/ageing/afw212</t>
  </si>
  <si>
    <t xml:space="preserve">https://pubmed.ncbi.nlm.nih.gov/27932366/</t>
  </si>
  <si>
    <t xml:space="preserve">Inmersión en agua caliente</t>
  </si>
  <si>
    <t xml:space="preserve">Terapia de calor por inmersión en agua caliente</t>
  </si>
  <si>
    <t xml:space="preserve">Calor, EE. UU.</t>
  </si>
  <si>
    <t xml:space="preserve">Blankenship AE, Kemna R y cols., 2025, J Appl Physiol (FIGHT-AD)</t>
  </si>
  <si>
    <t xml:space="preserve">Piloto de viabilidad</t>
  </si>
  <si>
    <t xml:space="preserve">Ancianos cognitivamente sanos con riesgo metabólico</t>
  </si>
  <si>
    <t xml:space="preserve">4 semanas, 3 sesiones/semana</t>
  </si>
  <si>
    <t xml:space="preserve">Adherencia, presión arterial, flujo cerebral, glucosa</t>
  </si>
  <si>
    <t xml:space="preserve">Adherencia 96%; cambios significativos en presión arterial media, diastólica y flujo cerebral</t>
  </si>
  <si>
    <t xml:space="preserve">Un evento leve (mareo/náusea)</t>
  </si>
  <si>
    <t xml:space="preserve">NIH, NIA</t>
  </si>
  <si>
    <t xml:space="preserve">cita encontrada; cifra coincide (PMID 39829076; adherencia 96%)</t>
  </si>
  <si>
    <t xml:space="preserve">PMID 39829076; DOI 10.1152/japplphysiol.00396.2024</t>
  </si>
  <si>
    <t xml:space="preserve">https://pubmed.ncbi.nlm.nih.gov/39829076/</t>
  </si>
  <si>
    <t xml:space="preserve">Luz brillante (10.000 lux)</t>
  </si>
  <si>
    <t xml:space="preserve">Luz brillante domiciliaria personalizada</t>
  </si>
  <si>
    <t xml:space="preserve">Luz, EE. UU.</t>
  </si>
  <si>
    <t xml:space="preserve">Li W, Suarez-Farinas M, Shuster A, Mednick S, Figueiro MG., 2026, J Gerontol Nurs</t>
  </si>
  <si>
    <t xml:space="preserve">Placebo controlado</t>
  </si>
  <si>
    <t xml:space="preserve">Luz activa vs placebo con estímulo circadiano matutino</t>
  </si>
  <si>
    <t xml:space="preserve">Cognición, sueño, estado de ánimo</t>
  </si>
  <si>
    <t xml:space="preserve">Mejor ADAS-Cog memoria con luz activa (p = 0,035); sueño mejor 'sleep percent' (p = 0,042) y menos despertares</t>
  </si>
  <si>
    <t xml:space="preserve">NIA, NIH</t>
  </si>
  <si>
    <t xml:space="preserve">cita encontrada; cifra coincide (PMID 42527889; p 0,035 y 0,042)</t>
  </si>
  <si>
    <t xml:space="preserve">PMID 42527889; DOI 10.1177/07334648261474211</t>
  </si>
  <si>
    <t xml:space="preserve">https://pubmed.ncbi.nlm.nih.gov/42527889/</t>
  </si>
  <si>
    <t xml:space="preserve">Luz brillante de 10.000 lux matutina</t>
  </si>
  <si>
    <t xml:space="preserve">Luz, China</t>
  </si>
  <si>
    <t xml:space="preserve">Cheng S, Zhang J y cols., 2026, BMC Geriatrics</t>
  </si>
  <si>
    <t xml:space="preserve">Piloto antes-después</t>
  </si>
  <si>
    <t xml:space="preserve">Deterioro leve a moderado</t>
  </si>
  <si>
    <t xml:space="preserve">35 días</t>
  </si>
  <si>
    <t xml:space="preserve">60 min diarios a las 9:00, 10.000 lux</t>
  </si>
  <si>
    <t xml:space="preserve">MMSE, sueño</t>
  </si>
  <si>
    <t xml:space="preserve">MMSE +0,85 (p = 0,002); más sueño total y profundo</t>
  </si>
  <si>
    <t xml:space="preserve">Fundamental Research Program of Shanxi Province</t>
  </si>
  <si>
    <t xml:space="preserve">60 min a 10.000 lux por la mañana</t>
  </si>
  <si>
    <t xml:space="preserve">cita encontrada; cifra coincide (PMID 42015088; 0,85 y p 0,002)</t>
  </si>
  <si>
    <t xml:space="preserve">PMID 42015088; DOI 10.1186/s12877-026-07520-9</t>
  </si>
  <si>
    <t xml:space="preserve">https://pubmed.ncbi.nlm.nih.gov/42015088/</t>
  </si>
  <si>
    <t xml:space="preserve">Iluminación biodinámica</t>
  </si>
  <si>
    <t xml:space="preserve">Iluminación biodinámica vs luz brillante</t>
  </si>
  <si>
    <t xml:space="preserve">Luz, Países Bajos</t>
  </si>
  <si>
    <t xml:space="preserve">Prins AJ, de Boer B y cols., 2026, BMC Geriatrics</t>
  </si>
  <si>
    <t xml:space="preserve">Cruzado no aleatorizado 12 meses</t>
  </si>
  <si>
    <t xml:space="preserve">42</t>
  </si>
  <si>
    <t xml:space="preserve">Residencias con demencia</t>
  </si>
  <si>
    <t xml:space="preserve">3 meses por condición</t>
  </si>
  <si>
    <t xml:space="preserve">Biodynamic vs bright light vs estándar</t>
  </si>
  <si>
    <t xml:space="preserve">Actigrafía, sueño</t>
  </si>
  <si>
    <t xml:space="preserve">Sin cambios significativos en ritmo reposo-actividad ni sueño tras 3 meses con ninguna</t>
  </si>
  <si>
    <t xml:space="preserve">cita encontrada; cifra no comprobable en el resumen (PMID 41877046; el resumen indica ausencia de cambios significativos)</t>
  </si>
  <si>
    <t xml:space="preserve">PMID 41877046; DOI 10.1186/s12877-026-07365-2; NTR7480</t>
  </si>
  <si>
    <t xml:space="preserve">https://pubmed.ncbi.nlm.nih.gov/41877046/</t>
  </si>
  <si>
    <t xml:space="preserve">Vitamina D3 (+ omega-3 o DHA)</t>
  </si>
  <si>
    <t xml:space="preserve">Vitamina D3 2000 UI + omega-3</t>
  </si>
  <si>
    <t xml:space="preserve">Vitamina D, EE. UU.</t>
  </si>
  <si>
    <t xml:space="preserve">Vyas CM y cols., 2026, Alzheimer's &amp; Dementia: TRCI (VITAL)</t>
  </si>
  <si>
    <t xml:space="preserve">Análisis secundario factorial placebo</t>
  </si>
  <si>
    <t xml:space="preserve">929</t>
  </si>
  <si>
    <t xml:space="preserve">Adultos de 65 años de media</t>
  </si>
  <si>
    <t xml:space="preserve">hasta 4 años</t>
  </si>
  <si>
    <t xml:space="preserve">Vitamina D3 2000 UI/día y omega-3 1 g/día</t>
  </si>
  <si>
    <t xml:space="preserve">NT1, Aβ40:42, NfL, GFAP</t>
  </si>
  <si>
    <t xml:space="preserve">Sin reducción significativa; subgrupos: D3 reduce NT1 -2,7% en varones; NfL -16,2% (IC95% -30,5 a 1,1) en participantes negros; omega-3 GFAP -12,4%; sin corrección por multiplicidad</t>
  </si>
  <si>
    <t xml:space="preserve">NHLBI, NIAMS, NIDDK (NIH)</t>
  </si>
  <si>
    <t xml:space="preserve">cita encontrada; cifra coincide (PMID 42746141; NfL -16,2; GFAP -12,4; 2,7)</t>
  </si>
  <si>
    <t xml:space="preserve">PMID 42746141; DOI 10.1002/trc2.70312; NCT01696435</t>
  </si>
  <si>
    <t xml:space="preserve">https://pubmed.ncbi.nlm.nih.gov/42746141/</t>
  </si>
  <si>
    <t xml:space="preserve">Vitamina D3 y DHA</t>
  </si>
  <si>
    <t xml:space="preserve">Vitamina D, China</t>
  </si>
  <si>
    <t xml:space="preserve">Yuan J y cols., 2026, Nutrients</t>
  </si>
  <si>
    <t xml:space="preserve">Doble ciego placebo, 4 brazos</t>
  </si>
  <si>
    <t xml:space="preserve">360</t>
  </si>
  <si>
    <t xml:space="preserve">D3 800 UI/día, DHA 1 g/día, ambos o placebo</t>
  </si>
  <si>
    <t xml:space="preserve">WAIS-RC y biomarcadores de piroptosis</t>
  </si>
  <si>
    <t xml:space="preserve">Todas las intervenciones mejoraron cognición y redujeron IL-1β, IL-18, NLRP3, GSDMD y caspasa-1 vs placebo (p); la combinación mejor</t>
  </si>
  <si>
    <t xml:space="preserve">NSFC (China)</t>
  </si>
  <si>
    <t xml:space="preserve">cita encontrada; cifra coincide (PMID 42738950; n=360)</t>
  </si>
  <si>
    <t xml:space="preserve">PMID 42738950; DOI 10.3390/nu18172777</t>
  </si>
  <si>
    <t xml:space="preserve">https://pubmed.ncbi.nlm.nih.gov/42738950/</t>
  </si>
  <si>
    <t xml:space="preserve">Earthing (contacto con tierra)</t>
  </si>
  <si>
    <t xml:space="preserve">Earthing/grounding en Alzheimer</t>
  </si>
  <si>
    <t xml:space="preserve">Grounding, EE. UU.</t>
  </si>
  <si>
    <t xml:space="preserve">Kshirsagar S, Deshmukh H, Reddy AP, Reddy PH., 2025, J Alzheimer's Dis</t>
  </si>
  <si>
    <t xml:space="preserve">Revisión narrativa</t>
  </si>
  <si>
    <t xml:space="preserve">Contacto con tierra</t>
  </si>
  <si>
    <t xml:space="preserve">Mecanismos antiinflamatorios y antioxidantes</t>
  </si>
  <si>
    <t xml:space="preserve">Revisión propone beneficio y pide ensayos; sin datos propios en Alzheimer</t>
  </si>
  <si>
    <t xml:space="preserve">cita encontrada; cifra no comprobable en el resumen (PMID 40262107; revisión sin cifras)</t>
  </si>
  <si>
    <t xml:space="preserve">PMID 40262107; DOI 10.1177/13872877251334666</t>
  </si>
  <si>
    <t xml:space="preserve">https://pubmed.ncbi.nlm.nih.gov/40262107/</t>
  </si>
  <si>
    <t xml:space="preserve">Estudio pivotal HOPE de Spectris AD</t>
  </si>
  <si>
    <t xml:space="preserve">Gamma, Cognito (registro)</t>
  </si>
  <si>
    <t xml:space="preserve">Registro NCT05637801, Cognito Therapeutics</t>
  </si>
  <si>
    <t xml:space="preserve">Aleatorizado cuádruple ciego sham, 70 centros</t>
  </si>
  <si>
    <t xml:space="preserve">673 reales</t>
  </si>
  <si>
    <t xml:space="preserve">Alzheimer leve a moderado, MMSE 15-28</t>
  </si>
  <si>
    <t xml:space="preserve">12 meses, 60 min diarios</t>
  </si>
  <si>
    <t xml:space="preserve">Spectris AD activo vs sham</t>
  </si>
  <si>
    <t xml:space="preserve">iADMARS</t>
  </si>
  <si>
    <t xml:space="preserve">Estado 'completado' (fin 2026-08-17) sin resultados publicados en el registro</t>
  </si>
  <si>
    <t xml:space="preserve">Patrocinador industrial: Cognito Therapeutics</t>
  </si>
  <si>
    <t xml:space="preserve">cita encontrada; cifra coincide (NCT05637801; n=673, completado 2026-08-17, sin resultados)</t>
  </si>
  <si>
    <t xml:space="preserve">NCT05637801</t>
  </si>
  <si>
    <t xml:space="preserve">https://clinicaltrials.gov/study/NCT05637801</t>
  </si>
  <si>
    <t xml:space="preserve">Opiniones de usuarios de Vielight</t>
  </si>
  <si>
    <t xml:space="preserve">Foro o testimonio</t>
  </si>
  <si>
    <t xml:space="preserve">Reseñas Trustpilot de Vielight, consultadas en 2026</t>
  </si>
  <si>
    <t xml:space="preserve">Testimonios autodeclarados</t>
  </si>
  <si>
    <t xml:space="preserve">Familiares de personas con deterioro leve</t>
  </si>
  <si>
    <t xml:space="preserve">4 semanas a 8 años</t>
  </si>
  <si>
    <t xml:space="preserve">Neuro Duo, Neuro Gamma</t>
  </si>
  <si>
    <t xml:space="preserve">Impresiones</t>
  </si>
  <si>
    <t xml:space="preserve">Una hija reporta menos ansiedad, mejor ánimo y memoria en madre de 94 años tras 4 semanas con Neuro Duo; otro usuario con DCL desde 2017 reporta sin deterioro tras 4 años; otros dicen resultados mínimos; algunas reseñas parecen de la empresa</t>
  </si>
  <si>
    <t xml:space="preserve">Reseñas sin verificar; posibles vínculos comerciales</t>
  </si>
  <si>
    <t xml:space="preserve">página no accesible (https://ca.trustpilot.com/review/vielight.com devuelve HTTP 403 a curl; WebFetch no usado)</t>
  </si>
  <si>
    <t xml:space="preserve">https://ca.trustpilot.com/review/vielight.com</t>
  </si>
  <si>
    <t xml:space="preserve">plantas_tradiciones</t>
  </si>
  <si>
    <t xml:space="preserve">Yokukansan</t>
  </si>
  <si>
    <t xml:space="preserve">Yokukansan (Yi-Gan San)</t>
  </si>
  <si>
    <t xml:space="preserve">Kampo / medicina china</t>
  </si>
  <si>
    <t xml:space="preserve">Yuan M et al., 2026, J Ethnopharmacol</t>
  </si>
  <si>
    <t xml:space="preserve">doble ciego, placebo, un centro</t>
  </si>
  <si>
    <t xml:space="preserve">100 (89 completaron)</t>
  </si>
  <si>
    <t xml:space="preserve">Alzheimer con síntomas conductuales (BPSD)</t>
  </si>
  <si>
    <t xml:space="preserve">4 semanas (evaluación a 2, 4 y 8)</t>
  </si>
  <si>
    <t xml:space="preserve">2,5 g de granulado 3 veces al día</t>
  </si>
  <si>
    <t xml:space="preserve">NPI (primario, sem. 4); MoCA, MMSE, ADCS-ADL, HAMD-17</t>
  </si>
  <si>
    <t xml:space="preserve">Reducción media del NPI mayor con YKS que con placebo en la semana 4 (P &lt; 0,05); tendencias de mejora en ADCS-ADL y MMSE; sin cambios significativos cognitivos ni de ánimo en sem. 4</t>
  </si>
  <si>
    <t xml:space="preserve">Grant: National Natural Science Foundation of China; conflictos no constan</t>
  </si>
  <si>
    <t xml:space="preserve">Fuente: 2,5 g de granulado tres veces al día durante 4 semanas</t>
  </si>
  <si>
    <t xml:space="preserve">cita encontrada; cifra coincide (PMID 41956228, año 2026)</t>
  </si>
  <si>
    <t xml:space="preserve">PMID 41956228; ChiCTR2300069404</t>
  </si>
  <si>
    <t xml:space="preserve">https://pubmed.ncbi.nlm.nih.gov/41956228/</t>
  </si>
  <si>
    <t xml:space="preserve">Yokukansan (TJ-54)</t>
  </si>
  <si>
    <t xml:space="preserve">Kampo</t>
  </si>
  <si>
    <t xml:space="preserve">Mizukami K et al., 2009, Int J Neuropsychopharmacol</t>
  </si>
  <si>
    <t xml:space="preserve">cruzado, 2 periodos de 4 semanas, tratamiento vs. sin tratamiento</t>
  </si>
  <si>
    <t xml:space="preserve">106</t>
  </si>
  <si>
    <t xml:space="preserve">Alzheimer (incluye mixta) o demencia con cuerpos de Lewy</t>
  </si>
  <si>
    <t xml:space="preserve">4+4 semanas</t>
  </si>
  <si>
    <t xml:space="preserve">TJ-54 (YKS)</t>
  </si>
  <si>
    <t xml:space="preserve">NPI, MMSE, IADL/Barthel</t>
  </si>
  <si>
    <t xml:space="preserve">NPI total mejoró con TJ-54 (Wilcoxon p=0,040 periodo I; p=0,048 periodo II); mejoras en delirios, alucinaciones, agitación/agresión, depresión, ansiedad, irritabilidad; el efecto persistió 1 mes tras parar; sin efecto en cognición ni ADL</t>
  </si>
  <si>
    <t xml:space="preserve">No se observaron reacciones adversas graves</t>
  </si>
  <si>
    <t xml:space="preserve">cita encontrada; cifra coincide (PMID 19079814, año 2009)</t>
  </si>
  <si>
    <t xml:space="preserve">PMID 19079814</t>
  </si>
  <si>
    <t xml:space="preserve">https://pubmed.ncbi.nlm.nih.gov/19079814/</t>
  </si>
  <si>
    <t xml:space="preserve">Matsunaga S, Kishi T, Iwata N., 2016, J Alzheimers Dis</t>
  </si>
  <si>
    <t xml:space="preserve">metaanálisis de 5 ensayos aleatorizados</t>
  </si>
  <si>
    <t xml:space="preserve">381 (361 analizados)</t>
  </si>
  <si>
    <t xml:space="preserve">Demencia con BPSD</t>
  </si>
  <si>
    <t xml:space="preserve">YKS vs. placebo+cuidado habitual</t>
  </si>
  <si>
    <t xml:space="preserve">BPSD total, subescalas, MMSE, ADL</t>
  </si>
  <si>
    <t xml:space="preserve">BPSD total SMD=-0,32 (IC95% -0,53 a -0,11; p=0,003); delirios SMD -0,51; alucinaciones -0,54; agitación/agresión -0,37; ADL SMD -0,32 (IC -0,62 a -0,01); MMSE sin diferencias. Solo en pacientes con Alzheimer no superó a placebo+cuidado habitual en BPSD total ni subescalas</t>
  </si>
  <si>
    <t xml:space="preserve">Sin diferencias en abandonos ni eventos adversos respecto a control</t>
  </si>
  <si>
    <t xml:space="preserve">cita encontrada; cifra coincide (PMID 27497482, año 2016)</t>
  </si>
  <si>
    <t xml:space="preserve">PMID 27497482</t>
  </si>
  <si>
    <t xml:space="preserve">https://pubmed.ncbi.nlm.nih.gov/27497482/</t>
  </si>
  <si>
    <t xml:space="preserve">Yokukansan vs risperidona vs fluvoxamina</t>
  </si>
  <si>
    <t xml:space="preserve">Teranishi M et al., 2013, J Clin Psychopharmacol</t>
  </si>
  <si>
    <t xml:space="preserve">evaluador ciego, 3 brazos</t>
  </si>
  <si>
    <t xml:space="preserve">90 (76 analizados)</t>
  </si>
  <si>
    <t xml:space="preserve">Demencia ingresada</t>
  </si>
  <si>
    <t xml:space="preserve">dosis flexible de cada fármaco</t>
  </si>
  <si>
    <t xml:space="preserve">NPI-NH, MMSE, FIM, DIEPSS</t>
  </si>
  <si>
    <t xml:space="preserve">NPI-NH bajó en los 3 grupos sin diferencias entre grupos; MMSE y FIM sin cambios; DIEPSS (extrapiramidal) aumentó solo con risperidona</t>
  </si>
  <si>
    <t xml:space="preserve">Síntomas extrapiramidales aumentaron con risperidona; no con yokukansan</t>
  </si>
  <si>
    <t xml:space="preserve">cita encontrada; cifra no comprobable en el resumen (PMID 23948783, año 2013)</t>
  </si>
  <si>
    <t xml:space="preserve">PMID 23948783</t>
  </si>
  <si>
    <t xml:space="preserve">https://pubmed.ncbi.nlm.nih.gov/23948783/</t>
  </si>
  <si>
    <t xml:space="preserve">Azafrán (Crocus sativus)</t>
  </si>
  <si>
    <t xml:space="preserve">Azafrán (Crocus sativus) cápsulas</t>
  </si>
  <si>
    <t xml:space="preserve">Medicina persa / Irán</t>
  </si>
  <si>
    <t xml:space="preserve">Akhondzadeh S et al., 2010, J Clin Pharm Ther</t>
  </si>
  <si>
    <t xml:space="preserve">doble ciego, placebo, grupos paralelos</t>
  </si>
  <si>
    <t xml:space="preserve">30 mg/día (15 mg dos veces al día)</t>
  </si>
  <si>
    <t xml:space="preserve">ADAS-cog, CDR-SB</t>
  </si>
  <si>
    <t xml:space="preserve">Azafrán mejor que placebo: ADAS-cog F=4,12, gl=1, P=0,04; CDR-SB F=4,12, P=0,04</t>
  </si>
  <si>
    <t xml:space="preserve">Sin diferencias significativas entre grupos en eventos adversos</t>
  </si>
  <si>
    <t xml:space="preserve">30 mg/día de extracto en cápsulas (15 mg x2) durante 16 semanas</t>
  </si>
  <si>
    <t xml:space="preserve">cita encontrada; cifra no comprobable en el resumen (PMID 20831681, año 2010; el resumen no muestra los estadísticos ADAS-cog ni CDR-SB)</t>
  </si>
  <si>
    <t xml:space="preserve">PMID 20831681</t>
  </si>
  <si>
    <t xml:space="preserve">https://pubmed.ncbi.nlm.nih.gov/20831681/</t>
  </si>
  <si>
    <t xml:space="preserve">Azafrán vs memantina</t>
  </si>
  <si>
    <t xml:space="preserve">Medicina persa</t>
  </si>
  <si>
    <t xml:space="preserve">Farokhnia M et al., 2014, Hum Psychopharmacol</t>
  </si>
  <si>
    <t xml:space="preserve">doble ciego, comparador activo</t>
  </si>
  <si>
    <t xml:space="preserve">Alzheimer moderado-grave (MMSE 8-14)</t>
  </si>
  <si>
    <t xml:space="preserve">azafrán 30 mg/día vs memantina 20 mg/día</t>
  </si>
  <si>
    <t xml:space="preserve">SCIRS, FAST</t>
  </si>
  <si>
    <t xml:space="preserve">Resultados similares: interacción tiempo x tratamiento en SCIRS F(2,95;194,78)=2,25, p=0,08; diferencia entre grupos SCIRS p=0,38, FAST p=0,87</t>
  </si>
  <si>
    <t xml:space="preserve">Frecuencia de eventos adversos sin diferencia entre grupos</t>
  </si>
  <si>
    <t xml:space="preserve">Iran National Science Foundation</t>
  </si>
  <si>
    <t xml:space="preserve">cita encontrada; cifra coincide (PMID 25163440, año 2014)</t>
  </si>
  <si>
    <t xml:space="preserve">PMID 25163440</t>
  </si>
  <si>
    <t xml:space="preserve">https://pubmed.ncbi.nlm.nih.gov/25163440/</t>
  </si>
  <si>
    <t xml:space="preserve">Azafrán (Crocus)</t>
  </si>
  <si>
    <t xml:space="preserve">Medicina mediterránea/persa</t>
  </si>
  <si>
    <t xml:space="preserve">Tsolaki M et al., 2016, J Alzheimers Dis</t>
  </si>
  <si>
    <t xml:space="preserve">simple ciego, lista de espera</t>
  </si>
  <si>
    <t xml:space="preserve">35 (17 azafrán, 18 control)</t>
  </si>
  <si>
    <t xml:space="preserve">Deterioro cognitivo leve amnésico multidominio</t>
  </si>
  <si>
    <t xml:space="preserve">MMSE, batería corta, RM 3T, HD-EEG</t>
  </si>
  <si>
    <t xml:space="preserve">MMSE mejoró con azafrán (p=0,015) mientras el control empeoró; RM, EEG y ERP mostraron mejora en dominios específicos</t>
  </si>
  <si>
    <t xml:space="preserve">cita encontrada; cifra coincide (PMID 27472878, año 2016)</t>
  </si>
  <si>
    <t xml:space="preserve">PMID 27472878</t>
  </si>
  <si>
    <t xml:space="preserve">https://pubmed.ncbi.nlm.nih.gov/27472878/</t>
  </si>
  <si>
    <t xml:space="preserve">Melisa (Melissa officinalis)</t>
  </si>
  <si>
    <t xml:space="preserve">Melisa (Melissa officinalis) extracto</t>
  </si>
  <si>
    <t xml:space="preserve">Fitoterapia europea/persa</t>
  </si>
  <si>
    <t xml:space="preserve">Akhondzadeh S et al., 2003, J Neurol Neurosurg Psychiatry</t>
  </si>
  <si>
    <t xml:space="preserve">doble ciego, placebo, 3 centros en Teherán</t>
  </si>
  <si>
    <t xml:space="preserve">Alzheimer leve-moderado, 65-80 años</t>
  </si>
  <si>
    <t xml:space="preserve">60 gotas/día de extracto fijo</t>
  </si>
  <si>
    <t xml:space="preserve">ADAS-cog F=6,93, p=0,01; CDR-SB F=16,87, p&lt;0,0001 a favor de melisa; agitación más frecuente en placebo (p=0,03)</t>
  </si>
  <si>
    <t xml:space="preserve">60 gotas/día de extracto durante 4 meses (según el ensayo)</t>
  </si>
  <si>
    <t xml:space="preserve">cita encontrada; cifra coincide (PMID 12810768, año 2003)</t>
  </si>
  <si>
    <t xml:space="preserve">PMID 12810768</t>
  </si>
  <si>
    <t xml:space="preserve">https://pubmed.ncbi.nlm.nih.gov/12810768/</t>
  </si>
  <si>
    <t xml:space="preserve">Salvia (Salvia officinalis)</t>
  </si>
  <si>
    <t xml:space="preserve">Salvia (Salvia officinalis) extracto</t>
  </si>
  <si>
    <t xml:space="preserve">Akhondzadeh S et al., 2003, J Clin Pharm Ther</t>
  </si>
  <si>
    <t xml:space="preserve">60 gotas/día</t>
  </si>
  <si>
    <t xml:space="preserve">ADAS-cog F=4,77, P=0,03; CDR-SB F=10,84, P&lt;0,003 a favor de salvia; agitación más frecuente en placebo (P=0,09)</t>
  </si>
  <si>
    <t xml:space="preserve">cita encontrada; cifra coincide (PMID 12605619, año 2003)</t>
  </si>
  <si>
    <t xml:space="preserve">PMID 12605619</t>
  </si>
  <si>
    <t xml:space="preserve">https://pubmed.ncbi.nlm.nih.gov/12605619/</t>
  </si>
  <si>
    <t xml:space="preserve">Melisa (aceite esencial tópico)</t>
  </si>
  <si>
    <t xml:space="preserve">Aceite esencial de melisa tópico</t>
  </si>
  <si>
    <t xml:space="preserve">Aromaterapia británica</t>
  </si>
  <si>
    <t xml:space="preserve">Ballard CG et al., 2002, J Clin Psychiatry</t>
  </si>
  <si>
    <t xml:space="preserve">doble ciego, placebo (aceite de girasol)</t>
  </si>
  <si>
    <t xml:space="preserve">72 (71 completaron)</t>
  </si>
  <si>
    <t xml:space="preserve">Demencia grave con agitación, residencias NHS</t>
  </si>
  <si>
    <t xml:space="preserve">aceite esencial de melisa en loción base, en cara y brazos 2 veces al día por el personal</t>
  </si>
  <si>
    <t xml:space="preserve">CMAI, tiempo aislado y en actividad (Dementia Care Mapping)</t>
  </si>
  <si>
    <t xml:space="preserve">60% (21/35) con melisa vs 14% (5/36) con placebo lograron reducción del 30% del CMAI; mejora media 35% vs 11% (Z=4,1, p&lt;0,0001); aislamiento social p=0,005; actividad constructiva p=0,001</t>
  </si>
  <si>
    <t xml:space="preserve">No se observaron efectos adversos significativos</t>
  </si>
  <si>
    <t xml:space="preserve">cita encontrada; cifra no comprobable en el resumen (PMID 12143909, año 2002)</t>
  </si>
  <si>
    <t xml:space="preserve">PMID 12143909</t>
  </si>
  <si>
    <t xml:space="preserve">https://pubmed.ncbi.nlm.nih.gov/12143909/</t>
  </si>
  <si>
    <t xml:space="preserve">Aromaterapia (romero, limón, lavanda)</t>
  </si>
  <si>
    <t xml:space="preserve">Aromaterapia: romero+limón (mañana), lavanda+naranja (noche)</t>
  </si>
  <si>
    <t xml:space="preserve">Aromaterapia japonesa</t>
  </si>
  <si>
    <t xml:space="preserve">Jimbo D et al., 2009, Geriatr Gerontol Int</t>
  </si>
  <si>
    <t xml:space="preserve">autocontrolado: control 28 d, aromaterapia 28 d, lavado 28 d</t>
  </si>
  <si>
    <t xml:space="preserve">28 (17 con Alzheimer)</t>
  </si>
  <si>
    <t xml:space="preserve">Demencia, 17 con Alzheimer</t>
  </si>
  <si>
    <t xml:space="preserve">28 días de aromaterapia</t>
  </si>
  <si>
    <t xml:space="preserve">romero y limón por la mañana; lavanda y naranja por la noche</t>
  </si>
  <si>
    <t xml:space="preserve">GBSS-J, FAST, HDS-R, TDAS</t>
  </si>
  <si>
    <t xml:space="preserve">Mejoría significativa en orientación personal (GBSS-J y TDAS) en todos; en Alzheimer mejora significativa del TDAS total; Zarit sin cambios</t>
  </si>
  <si>
    <t xml:space="preserve">Analíticas sin cambios; sin efectos adversos aparentes</t>
  </si>
  <si>
    <t xml:space="preserve">cita encontrada; cifra no comprobable en el resumen (PMID 20377818, año 2009)</t>
  </si>
  <si>
    <t xml:space="preserve">PMID 20377818</t>
  </si>
  <si>
    <t xml:space="preserve">https://pubmed.ncbi.nlm.nih.gov/20377818/</t>
  </si>
  <si>
    <t xml:space="preserve">Melena de león (Hericium erinaceus)</t>
  </si>
  <si>
    <t xml:space="preserve">Melena de león (Hericium erinaceus / Yamabushitake)</t>
  </si>
  <si>
    <t xml:space="preserve">Micoterapia japonesa</t>
  </si>
  <si>
    <t xml:space="preserve">Mori K et al., 2009, Phytother Res</t>
  </si>
  <si>
    <t xml:space="preserve">30 (15+15)</t>
  </si>
  <si>
    <t xml:space="preserve">Deterioro cognitivo leve, 50-80 años</t>
  </si>
  <si>
    <t xml:space="preserve">16 semanas + 4 de seguimiento</t>
  </si>
  <si>
    <t xml:space="preserve">4 comprimidos de 250 mg (96% polvo seco) 3 veces al día = 3 g/día</t>
  </si>
  <si>
    <t xml:space="preserve">HDS-R</t>
  </si>
  <si>
    <t xml:space="preserve">Puntuaciones significativamente mayores que placebo en semanas 8, 12 y 16; 4 semanas tras parar las puntuaciones bajaron significativamente</t>
  </si>
  <si>
    <t xml:space="preserve">Analíticas sin efectos adversos</t>
  </si>
  <si>
    <t xml:space="preserve">3 g/día de polvo en comprimidos durante 16 semanas (según el ensayo)</t>
  </si>
  <si>
    <t xml:space="preserve">cita encontrada; cifra no comprobable en el resumen (PMID 18844328, año 2009)</t>
  </si>
  <si>
    <t xml:space="preserve">PMID 18844328</t>
  </si>
  <si>
    <t xml:space="preserve">https://pubmed.ncbi.nlm.nih.gov/18844328/</t>
  </si>
  <si>
    <t xml:space="preserve">Micelio de Hericium enriquecido en erinacina A</t>
  </si>
  <si>
    <t xml:space="preserve">Micoterapia taiwanesa</t>
  </si>
  <si>
    <t xml:space="preserve">Li IC et al., 2020, Front Aging Neurosci</t>
  </si>
  <si>
    <t xml:space="preserve">piloto, doble ciego, placebo</t>
  </si>
  <si>
    <t xml:space="preserve">49 semanas</t>
  </si>
  <si>
    <t xml:space="preserve">3 cápsulas/día de 350 mg con 5 mg/g de erinacina A</t>
  </si>
  <si>
    <t xml:space="preserve">CASI, MMSE, IADL, sensibilidad al contraste, biomarcadores, DTI</t>
  </si>
  <si>
    <t xml:space="preserve">CASI cayó significativamente en placebo; MMSE mejoró significativamente en el grupo EAHE; diferencia en IADL entre grupos; mejor sensibilidad al contraste; algunos biomarcadores cambiaron solo en placebo</t>
  </si>
  <si>
    <t xml:space="preserve">4 abandonos por molestias abdominales, náuseas y erupción cutánea</t>
  </si>
  <si>
    <t xml:space="preserve">cita encontrada; cifra no comprobable en el resumen (PMID 32581767, año 2020)</t>
  </si>
  <si>
    <t xml:space="preserve">PMID 32581767</t>
  </si>
  <si>
    <t xml:space="preserve">https://pubmed.ncbi.nlm.nih.gov/32581767/</t>
  </si>
  <si>
    <t xml:space="preserve">Micelio de Hericium enriquecido en erinacina A (registro)</t>
  </si>
  <si>
    <t xml:space="preserve">NCT04065061, Chung Shan Medical University</t>
  </si>
  <si>
    <t xml:space="preserve">aleatorizado, doble ciego, placebo</t>
  </si>
  <si>
    <t xml:space="preserve">68 (real)</t>
  </si>
  <si>
    <t xml:space="preserve">no indicada en este extracto</t>
  </si>
  <si>
    <t xml:space="preserve">2015-05 a 2017-05; medidas a sem. 0, 12, 24 y 49</t>
  </si>
  <si>
    <t xml:space="preserve">micelio de H. erinaceus con erinacina A vs placebo</t>
  </si>
  <si>
    <t xml:space="preserve">MMSE, NPI, CASI</t>
  </si>
  <si>
    <t xml:space="preserve">Estado COMPLETADO; hasResults=falso (sin resultados en el registro); no se pudo vincular con certeza a una publicación</t>
  </si>
  <si>
    <t xml:space="preserve">Patrocinador: Chung Shan Medical University</t>
  </si>
  <si>
    <t xml:space="preserve">cita encontrada; registro NCT04065061 confirmado (COMPLETED, hasResults=false); no hay cifra de resultado en el registro para comparar</t>
  </si>
  <si>
    <t xml:space="preserve">NCT04065061</t>
  </si>
  <si>
    <t xml:space="preserve">https://clinicaltrials.gov/study/NCT04065061</t>
  </si>
  <si>
    <t xml:space="preserve">Erinacina C (micelio de Hericium)</t>
  </si>
  <si>
    <t xml:space="preserve">Micoterapia</t>
  </si>
  <si>
    <t xml:space="preserve">Wang LY et al., 2026, Molecules</t>
  </si>
  <si>
    <t xml:space="preserve">ratones APP/PS1 y células PC12 con Aβ25-35</t>
  </si>
  <si>
    <t xml:space="preserve">ratones APP/PS1; células</t>
  </si>
  <si>
    <t xml:space="preserve">erinacina C oral</t>
  </si>
  <si>
    <t xml:space="preserve">nidificación, Y-maze, placas Aβ, GFAP/IBA1, IL-6, tau, Bcl-2/Bax</t>
  </si>
  <si>
    <t xml:space="preserve">Mejora de nidificación y excavación, mejor memoria espacial a corto plazo, menos placas Aβ hipocampales, menos glía activada e IL-6, menos tau hiperfosforilada y apoptosis</t>
  </si>
  <si>
    <t xml:space="preserve">Grant: National Science and Technology Council (Taiwán)</t>
  </si>
  <si>
    <t xml:space="preserve">cita encontrada; cifra no comprobable en el resumen (PMID 42796440, año 2026)</t>
  </si>
  <si>
    <t xml:space="preserve">PMID 42796440</t>
  </si>
  <si>
    <t xml:space="preserve">https://pubmed.ncbi.nlm.nih.gov/42796440/</t>
  </si>
  <si>
    <t xml:space="preserve">Hericium erinaceus 2 g/día (fruto + micelio)</t>
  </si>
  <si>
    <t xml:space="preserve">Daoust J et al., 2026, preprint medRxiv</t>
  </si>
  <si>
    <t xml:space="preserve">aleatorizado doble ciego placebo (preprint)</t>
  </si>
  <si>
    <t xml:space="preserve">109 (57 H. erinaceus, 52 placebo)</t>
  </si>
  <si>
    <t xml:space="preserve">Adultos 40-75 con dificultad cognitiva subjetiva</t>
  </si>
  <si>
    <t xml:space="preserve">2 g/día</t>
  </si>
  <si>
    <t xml:space="preserve">Batería informática; sueño, ánimo</t>
  </si>
  <si>
    <t xml:space="preserve">Mayor mejora que placebo en atención visual y memoria de trabajo (tarea Juggle), calidad de sueño, descanso matutino y ánimo (p&lt;0,05)</t>
  </si>
  <si>
    <t xml:space="preserve">No se reportaron eventos adversos con H. erinaceus</t>
  </si>
  <si>
    <t xml:space="preserve">no consta; preprint</t>
  </si>
  <si>
    <t xml:space="preserve">cita encontrada; cifra no comprobable en el resumen (PPR1245298 / DOI 10.64898/2026.04.13.26350781; preprint 2026, título coincide)</t>
  </si>
  <si>
    <t xml:space="preserve">DOI 10.64898/2026.04.13.26350781; PPR1245298</t>
  </si>
  <si>
    <t xml:space="preserve">https://doi.org/10.64898/2026.04.13.26350781</t>
  </si>
  <si>
    <t xml:space="preserve">Ginkgo biloba (EGb 761)</t>
  </si>
  <si>
    <t xml:space="preserve">Ginkgo biloba EGb 761 (prevención)</t>
  </si>
  <si>
    <t xml:space="preserve">Fitoterapia china/europea</t>
  </si>
  <si>
    <t xml:space="preserve">DeKosky ST et al., 2008, JAMA (GEM)</t>
  </si>
  <si>
    <t xml:space="preserve">doble ciego, placebo, 5 centros EE UU</t>
  </si>
  <si>
    <t xml:space="preserve">3.069</t>
  </si>
  <si>
    <t xml:space="preserve">Mayores de 75: 2.587 normales y 482 con DCL</t>
  </si>
  <si>
    <t xml:space="preserve">mediana de seguimiento 6,1 años</t>
  </si>
  <si>
    <t xml:space="preserve">120 mg dos veces al día</t>
  </si>
  <si>
    <t xml:space="preserve">incidencia de demencia y Alzheimer</t>
  </si>
  <si>
    <t xml:space="preserve">Demencia: 3,3 vs 2,9 por 100 personas-año; HR 1,12 (IC95% 0,94-1,33; P=0,21); Alzheimer HR 1,16 (0,97-1,39; P=0,11); DCL HR 1,13 (0,85-1,50; P=0,39); 523 casos</t>
  </si>
  <si>
    <t xml:space="preserve">Perfiles de efectos adversos similares entre grupos</t>
  </si>
  <si>
    <t xml:space="preserve">Subvenciones NIA y NCCIH (NIH); conflictos no constan</t>
  </si>
  <si>
    <t xml:space="preserve">cita encontrada; cifra coincide en HR 1,12 y tasas 3,3 y 2,9 (PMID 19017911, año 2008; p-valores no comprobadas en el resumen)</t>
  </si>
  <si>
    <t xml:space="preserve">PMID 19017911; NCT00010803</t>
  </si>
  <si>
    <t xml:space="preserve">https://pubmed.ncbi.nlm.nih.gov/19017911/</t>
  </si>
  <si>
    <t xml:space="preserve">Fitoterapia</t>
  </si>
  <si>
    <t xml:space="preserve">Vellas B et al., 2012, Lancet Neurol (GuidAge)</t>
  </si>
  <si>
    <t xml:space="preserve">doble ciego, placebo, 5 años</t>
  </si>
  <si>
    <t xml:space="preserve">2.854 (2.820 analizados)</t>
  </si>
  <si>
    <t xml:space="preserve">≥70 años con quejas de memoria, Francia</t>
  </si>
  <si>
    <t xml:space="preserve">5 años</t>
  </si>
  <si>
    <t xml:space="preserve">conversión a Alzheimer probable</t>
  </si>
  <si>
    <t xml:space="preserve">61 casos (1,2/100 personas-año) con ginkgo vs 73 (1,4) con placebo; HR 0,84 (IC95% 0,60-1,18; p=0,306), riesgo no proporcional en el tiempo</t>
  </si>
  <si>
    <t xml:space="preserve">Muertes 76 vs 82 (p=0,68); ictus 65 vs 60 (RR 1,12, p=0,57)</t>
  </si>
  <si>
    <t xml:space="preserve">Funding: Ipsen</t>
  </si>
  <si>
    <t xml:space="preserve">cita encontrada; cifra coincide (PMID 22959217, año 2012; HR 0,84 e incidencias 1,2 y 1,4 por 100 personas-año presentes en el resumen)</t>
  </si>
  <si>
    <t xml:space="preserve">PMID 22959217; NCT00276510</t>
  </si>
  <si>
    <t xml:space="preserve">https://pubmed.ncbi.nlm.nih.gov/22959217/</t>
  </si>
  <si>
    <t xml:space="preserve">Ginkgo biloba EGb 761, dos dosis</t>
  </si>
  <si>
    <t xml:space="preserve">Schneider LS et al., 2005, Curr Alzheimer Res</t>
  </si>
  <si>
    <t xml:space="preserve">doble ciego, placebo, multicéntrico</t>
  </si>
  <si>
    <t xml:space="preserve">513</t>
  </si>
  <si>
    <t xml:space="preserve">Alzheimer leve-moderado (MMSE 10-24)</t>
  </si>
  <si>
    <t xml:space="preserve">120 o 240 mg/día</t>
  </si>
  <si>
    <t xml:space="preserve">ADAS-cog, ADCS-CGIC</t>
  </si>
  <si>
    <t xml:space="preserve">Sin diferencias significativas en la muestra total; en el subgrupo con síntomas neuropsiquiátricos, mayor deterioro con placebo y mejor cognición y valoración global con ginkgo; los autores señalan que el escaso declive del placebo pudo limitar la sensibilidad</t>
  </si>
  <si>
    <t xml:space="preserve">cita encontrada; cifra no comprobable en el resumen (PMID 16375657, año 2005)</t>
  </si>
  <si>
    <t xml:space="preserve">PMID 16375657</t>
  </si>
  <si>
    <t xml:space="preserve">https://pubmed.ncbi.nlm.nih.gov/16375657/</t>
  </si>
  <si>
    <t xml:space="preserve">Ginkgo EGb 761 por tipo de demencia</t>
  </si>
  <si>
    <t xml:space="preserve">Napryeyenko O et al., 2009, J Neurol Sci</t>
  </si>
  <si>
    <t xml:space="preserve">análisis secundario de ensayo doble ciego placebo</t>
  </si>
  <si>
    <t xml:space="preserve">395 (214 Alzheimer, 181 vascular)</t>
  </si>
  <si>
    <t xml:space="preserve">22 semanas</t>
  </si>
  <si>
    <t xml:space="preserve">240 mg/día</t>
  </si>
  <si>
    <t xml:space="preserve">SKT (primario), NPI, HAMD, GBS, fluidez, reloj</t>
  </si>
  <si>
    <t xml:space="preserve">SKT: -3,0±2,3 (Alzheimer) y -3,4±2,3 (vascular) con ginkgo vs +1,2±2,5 y +1,5±2,2 con placebo (p&lt;0,01); diferencias en todas las variables secundarias</t>
  </si>
  <si>
    <t xml:space="preserve">La tasa de eventos adversos tendió a ser mayor en placebo</t>
  </si>
  <si>
    <t xml:space="preserve">cita encontrada; cifra coincide (PMID 19286192, año 2009)</t>
  </si>
  <si>
    <t xml:space="preserve">PMID 19286192</t>
  </si>
  <si>
    <t xml:space="preserve">https://pubmed.ncbi.nlm.nih.gov/19286192/</t>
  </si>
  <si>
    <t xml:space="preserve">Ginkgo EGb 761 en demencia leve</t>
  </si>
  <si>
    <t xml:space="preserve">Riepe M, Hoerr R, Schlaefke S., 2025, World J Biol Psychiatry</t>
  </si>
  <si>
    <t xml:space="preserve">metaanálisis de subgrupos de 4 ensayos</t>
  </si>
  <si>
    <t xml:space="preserve">782</t>
  </si>
  <si>
    <t xml:space="preserve">Demencia leve (SKT 9-15)</t>
  </si>
  <si>
    <t xml:space="preserve">cognición, global, ADL, calidad de vida</t>
  </si>
  <si>
    <t xml:space="preserve">Superior a placebo en cognición (p=0,04), global (p=0,01), ADL (p=0,01) y calidad de vida (p=0,02); efectos medianos a grandes; eventos adversos similares (p=0,66)</t>
  </si>
  <si>
    <t xml:space="preserve">Funding: Dr. Willmar Schwabe GmbH &amp; Co. KG (fabricante de EGb 761)</t>
  </si>
  <si>
    <t xml:space="preserve">cita encontrada; cifra coincide (PMID 39895346, año 2025)</t>
  </si>
  <si>
    <t xml:space="preserve">PMID 39895346; DOI 10.1080/15622975.2024.2446830</t>
  </si>
  <si>
    <t xml:space="preserve">https://pubmed.ncbi.nlm.nih.gov/39895346/</t>
  </si>
  <si>
    <t xml:space="preserve">Ginkgo EGb 761 abierto en DCL (biomarcadores)</t>
  </si>
  <si>
    <t xml:space="preserve">Morato X et al., 2026, J Alzheimers Dis</t>
  </si>
  <si>
    <t xml:space="preserve">abierto, 12 meses + 12 de extensión, un centro</t>
  </si>
  <si>
    <t xml:space="preserve">EGb 761 vs sin tratamiento (12 meses)</t>
  </si>
  <si>
    <t xml:space="preserve">proteómica Olink, Aβ, GFAP, NfL, pTau231, cognición</t>
  </si>
  <si>
    <t xml:space="preserve">Descenso nominalmente significativo de 15 proteínas plasmáticas de inmunidad innata y guía axonal, replicado en el grupo de inicio tardío</t>
  </si>
  <si>
    <t xml:space="preserve">cita encontrada; cifra no comprobable en el resumen (PMID 42810842, año 2026)</t>
  </si>
  <si>
    <t xml:space="preserve">PMID 42810842; NCT05594355</t>
  </si>
  <si>
    <t xml:space="preserve">https://pubmed.ncbi.nlm.nih.gov/42810842/</t>
  </si>
  <si>
    <t xml:space="preserve">Curcumina</t>
  </si>
  <si>
    <t xml:space="preserve">Curcumina C3 Complex 2 g o 4 g/día</t>
  </si>
  <si>
    <t xml:space="preserve">Ayurveda</t>
  </si>
  <si>
    <t xml:space="preserve">Ringman JM et al., 2012, Alzheimers Res Ther</t>
  </si>
  <si>
    <t xml:space="preserve">doble ciego, placebo, 24 semanas + extensión abierta a 48</t>
  </si>
  <si>
    <t xml:space="preserve">36 (30 completaron)</t>
  </si>
  <si>
    <t xml:space="preserve">2 g/día o 4 g/día</t>
  </si>
  <si>
    <t xml:space="preserve">ADAS-Cog, NPI, ADCS-ADL, Aβ plasma, LCR</t>
  </si>
  <si>
    <t xml:space="preserve">Sin diferencias entre grupos en medidas clínicas ni de biomarcadores; curcumina nativa en plasma 7,32 ng/mL</t>
  </si>
  <si>
    <t xml:space="preserve">5/24 abandonos con curcumina (3 por síntomas digestivos) vs 1 en placebo; hematocrito más bajo y glucosa más alta sin relevancia clínica</t>
  </si>
  <si>
    <t xml:space="preserve">Subvenciones NIA y NCATS (NIH); conflictos no constan</t>
  </si>
  <si>
    <t xml:space="preserve">cita encontrada; cifra coincide (PMID 23107780, año 2012)</t>
  </si>
  <si>
    <t xml:space="preserve">PMID 23107780</t>
  </si>
  <si>
    <t xml:space="preserve">https://pubmed.ncbi.nlm.nih.gov/23107780/</t>
  </si>
  <si>
    <t xml:space="preserve">Curcumina biodisponible Theracurmin</t>
  </si>
  <si>
    <t xml:space="preserve">Small GW et al., 2018, Am J Geriatr Psychiatry</t>
  </si>
  <si>
    <t xml:space="preserve">doble ciego, placebo, FDDNP-PET</t>
  </si>
  <si>
    <t xml:space="preserve">40 (21 curcumina, 19 placebo)</t>
  </si>
  <si>
    <t xml:space="preserve">Adultos sin demencia 51-84 años</t>
  </si>
  <si>
    <t xml:space="preserve">18 meses</t>
  </si>
  <si>
    <t xml:space="preserve">90 mg de curcumina dos veces al día</t>
  </si>
  <si>
    <t xml:space="preserve">memoria verbal (SRT), visual (BVMT-R), atención, FDDNP-PET</t>
  </si>
  <si>
    <t xml:space="preserve">SRT recuperación consistente ES=0,63 p=0,002 (entre grupos ES=0,68 p=0,05); atención ES=0,96 p&lt;0,0001 (entre grupos p=0,04); FDDNP amígdala -0,41 p=0,04; hipotálamo entre grupos p=0,02</t>
  </si>
  <si>
    <t xml:space="preserve">Subvenciones NIA, NIMH y NIH; conflictos no constan en el resumen</t>
  </si>
  <si>
    <t xml:space="preserve">90 mg de Theracurmin dos veces al día durante 18 meses (según el ensayo)</t>
  </si>
  <si>
    <t xml:space="preserve">cita encontrada; cifra coincide (PMID 29246725, año 2018)</t>
  </si>
  <si>
    <t xml:space="preserve">PMID 29246725</t>
  </si>
  <si>
    <t xml:space="preserve">https://pubmed.ncbi.nlm.nih.gov/29246725/</t>
  </si>
  <si>
    <t xml:space="preserve">Curcumina y curcumina+ginkgo (registro)</t>
  </si>
  <si>
    <t xml:space="preserve">NCT00164749, Chinese University of Hong Kong (publicado como Baum 2008, J Clin Psychopharmacol, PMID 18204357; su resumen no se recuperó y no se transcribe)</t>
  </si>
  <si>
    <t xml:space="preserve">aleatorizado, placebo; todos reciben ginkgo 120 mg/día</t>
  </si>
  <si>
    <t xml:space="preserve">1 y 6 meses</t>
  </si>
  <si>
    <t xml:space="preserve">1 g o 4 g de curcumina al día + ginkgo 120 mg/día vs placebo</t>
  </si>
  <si>
    <t xml:space="preserve">isoprostanos plasmáticos, Aβ sérico</t>
  </si>
  <si>
    <t xml:space="preserve">Registro COMPLETADO, hasResults=falso (sin resultados en el registro)</t>
  </si>
  <si>
    <t xml:space="preserve">Chinese University of Hong Kong</t>
  </si>
  <si>
    <t xml:space="preserve">cita encontrada; cifra no comprobable en el resumen (PMID 18204357, año 2008)</t>
  </si>
  <si>
    <t xml:space="preserve">NCT00164749; PMID 18204357</t>
  </si>
  <si>
    <t xml:space="preserve">https://clinicaltrials.gov/study/NCT00164749</t>
  </si>
  <si>
    <t xml:space="preserve">Curcumina Longvida (registro)</t>
  </si>
  <si>
    <t xml:space="preserve">NCT01001637, Jaslok Hospital and Research Centre</t>
  </si>
  <si>
    <t xml:space="preserve">26 (real)</t>
  </si>
  <si>
    <t xml:space="preserve">60 días (previsto)</t>
  </si>
  <si>
    <t xml:space="preserve">Longvida 2.000 o 3.000 mg/día en 2 tomas</t>
  </si>
  <si>
    <t xml:space="preserve">examen del estado mental</t>
  </si>
  <si>
    <t xml:space="preserve">TERMINADO por 'lack of support'; sin resultados en el registro (hasResults=falso); 2009-10 a 2010-11</t>
  </si>
  <si>
    <t xml:space="preserve">Patrocinador: Jaslok Hospital</t>
  </si>
  <si>
    <t xml:space="preserve">cita encontrada; registro NCT01001637 confirmado (TERMINATED, hasResults=false); no hay cifra de resultado en el registro para comparar</t>
  </si>
  <si>
    <t xml:space="preserve">NCT01001637</t>
  </si>
  <si>
    <t xml:space="preserve">https://clinicaltrials.gov/study/NCT01001637</t>
  </si>
  <si>
    <t xml:space="preserve">Ginseng (Panax ginseng)</t>
  </si>
  <si>
    <t xml:space="preserve">Ginseng (Panax ginseng) en polvo</t>
  </si>
  <si>
    <t xml:space="preserve">Medicina coreana/china</t>
  </si>
  <si>
    <t xml:space="preserve">Lee ST et al., 2008, Alzheimer Dis Assoc Disord</t>
  </si>
  <si>
    <t xml:space="preserve">abierto con control</t>
  </si>
  <si>
    <t xml:space="preserve">97 (58 ginseng, 39 control)</t>
  </si>
  <si>
    <t xml:space="preserve">12 semanas + 12 de seguimiento</t>
  </si>
  <si>
    <t xml:space="preserve">4,5 g/día de polvo</t>
  </si>
  <si>
    <t xml:space="preserve">MMSE, ADAS</t>
  </si>
  <si>
    <t xml:space="preserve">ADAS-cog y MMSE mejoraron frente al valor basal (P=0,029 y P=0,009); al suspender volvieron al nivel del control</t>
  </si>
  <si>
    <t xml:space="preserve">4,5 g/día de polvo de ginseng durante 12 semanas (según el estudio)</t>
  </si>
  <si>
    <t xml:space="preserve">cita encontrada; cifra coincide (PMID 18580589, año 2008)</t>
  </si>
  <si>
    <t xml:space="preserve">PMID 18580589</t>
  </si>
  <si>
    <t xml:space="preserve">https://pubmed.ncbi.nlm.nih.gov/18580589/</t>
  </si>
  <si>
    <t xml:space="preserve">Huperzina A (Huperzia serrata)</t>
  </si>
  <si>
    <t xml:space="preserve">Medicina china</t>
  </si>
  <si>
    <t xml:space="preserve">Rafii MS et al., 2011, Neurology (ADCS)</t>
  </si>
  <si>
    <t xml:space="preserve">fase II, placebo, multicéntrico</t>
  </si>
  <si>
    <t xml:space="preserve">210 (177 completaron)</t>
  </si>
  <si>
    <t xml:space="preserve">200 o 400 µg dos veces al día</t>
  </si>
  <si>
    <t xml:space="preserve">ADAS-Cog, MMSE, ADCS-ADL, NPI</t>
  </si>
  <si>
    <t xml:space="preserve">200 µg: sin efecto en ADAS-Cog sem. 16 (primario); 400 µg: mejora de 2,27 puntos a sem. 11 vs -0,29 placebo (p=0,001) y 1,92 vs 0,34 a sem. 16 (p=0,07); CGIC, NPI y ADL no significativos</t>
  </si>
  <si>
    <t xml:space="preserve">Subvenciones NIA (NIH)</t>
  </si>
  <si>
    <t xml:space="preserve">cita encontrada; cifra coincide (PMID 21502597, año 2011)</t>
  </si>
  <si>
    <t xml:space="preserve">PMID 21502597</t>
  </si>
  <si>
    <t xml:space="preserve">Reishi (Ganoderma lucidum)</t>
  </si>
  <si>
    <t xml:space="preserve">Polvo de esporas de Ganoderma lucidum (reishi)</t>
  </si>
  <si>
    <t xml:space="preserve">Wang GH et al., 2018, Medicine (Baltimore)</t>
  </si>
  <si>
    <t xml:space="preserve">piloto, placebo</t>
  </si>
  <si>
    <t xml:space="preserve">ADAS-cog, WHOQOL-BREF, NPI</t>
  </si>
  <si>
    <t xml:space="preserve">ADAS-cog P=0,31; NPI P=0,79; calidad de vida P=0,62-0,82, sin diferencias</t>
  </si>
  <si>
    <t xml:space="preserve">Eventos adversos leves, sin diferencias</t>
  </si>
  <si>
    <t xml:space="preserve">cita encontrada; cifra no comprobable en el resumen (PMID 29742702, año 2018; el resumen no trae p-valores)</t>
  </si>
  <si>
    <t xml:space="preserve">PMID 29742702</t>
  </si>
  <si>
    <t xml:space="preserve">https://pubmed.ncbi.nlm.nih.gov/29742702/</t>
  </si>
  <si>
    <t xml:space="preserve">Té verde (polvo)</t>
  </si>
  <si>
    <t xml:space="preserve">Té verde en polvo</t>
  </si>
  <si>
    <t xml:space="preserve">Japón</t>
  </si>
  <si>
    <t xml:space="preserve">Ide K et al., 2016, Nutr J</t>
  </si>
  <si>
    <t xml:space="preserve">33 (27 completaron)</t>
  </si>
  <si>
    <t xml:space="preserve">Residentes de geriátrico con MMSE-J&lt;28</t>
  </si>
  <si>
    <t xml:space="preserve">2 g/día de té verde en polvo (220,2 mg de catequinas)</t>
  </si>
  <si>
    <t xml:space="preserve">MMSE-J cada 3 meses, malondialdehído-LDL</t>
  </si>
  <si>
    <t xml:space="preserve">MMSE-J: diferencia -0,61 (IC95% -2,97 a 1,74; P=0,59); MDA-LDL menor con té verde -22,93 U/L (-44,13 a -1,73; P=0,04)</t>
  </si>
  <si>
    <t xml:space="preserve">Grants: ITO EN Ltd. (empresa de té) y Japan Society for the Promotion of Science</t>
  </si>
  <si>
    <t xml:space="preserve">2 g/día de té verde en polvo durante 12 meses (según el estudio)</t>
  </si>
  <si>
    <t xml:space="preserve">cita encontrada; cifra coincide (PMID 27142448, año 2016)</t>
  </si>
  <si>
    <t xml:space="preserve">PMID 27142448; UMIN000011668</t>
  </si>
  <si>
    <t xml:space="preserve">https://pubmed.ncbi.nlm.nih.gov/27142448/</t>
  </si>
  <si>
    <t xml:space="preserve">Té verde (EGCG)</t>
  </si>
  <si>
    <t xml:space="preserve">EGCG de extracto de té verde + intervención multimodal</t>
  </si>
  <si>
    <t xml:space="preserve">Occidental</t>
  </si>
  <si>
    <t xml:space="preserve">Forcano L et al., 2025, J Prev Alzheimers Dis (PENSA)</t>
  </si>
  <si>
    <t xml:space="preserve">doble ciego, placebo; grupo no aleatorizado exploratorio</t>
  </si>
  <si>
    <t xml:space="preserve">129</t>
  </si>
  <si>
    <t xml:space="preserve">Portadores APOE-ε4 de 60-80 con deterioro cognitivo subjetivo</t>
  </si>
  <si>
    <t xml:space="preserve">12 meses + 3 de lavado</t>
  </si>
  <si>
    <t xml:space="preserve">EGCG 5-6 mg/kg</t>
  </si>
  <si>
    <t xml:space="preserve">PACC-exe</t>
  </si>
  <si>
    <t xml:space="preserve">Diferencia ajustada 0,12 (IC95% -0,01 a 0,24; p=0,061) en el primario; tras lavado 0,19 (0,06 a 0,32; p=0,005, exploratorio); 2,6 veces más probabilidad de mejora fiable</t>
  </si>
  <si>
    <t xml:space="preserve">Grants: Alzheimer's Association, Generalitat de Catalunya, FEDER</t>
  </si>
  <si>
    <t xml:space="preserve">cita encontrada; cifra coincide (PMID 40664536, año 2025)</t>
  </si>
  <si>
    <t xml:space="preserve">PMID 40664536</t>
  </si>
  <si>
    <t xml:space="preserve">https://pubmed.ncbi.nlm.nih.gov/40664536/</t>
  </si>
  <si>
    <t xml:space="preserve">Aceite de oliva virgen extra</t>
  </si>
  <si>
    <t xml:space="preserve">Aceite de oliva virgen extra de alto contenido fenólico</t>
  </si>
  <si>
    <t xml:space="preserve">Mediterránea</t>
  </si>
  <si>
    <t xml:space="preserve">Tsolaki M et al., 2020, J Alzheimers Dis (MICOIL)</t>
  </si>
  <si>
    <t xml:space="preserve">3 brazos, prospectivo</t>
  </si>
  <si>
    <t xml:space="preserve">50 mL/día de AOVE fenólico (HP-EH-EVOO) o moderado (MP-EVOO) vs dieta mediterránea</t>
  </si>
  <si>
    <t xml:space="preserve">batería neuropsicológica, ADAS-cog, MMSE</t>
  </si>
  <si>
    <t xml:space="preserve">Mejor seguimiento en HP-EH-EVOO en casi todos los dominios; MP-EVOO mejor que dieta mediterránea en ADAS-cog (p=0,001) y MMSE (p=0,05); grupos 1+2 vs 3: ADAS-cog p=0,003</t>
  </si>
  <si>
    <t xml:space="preserve">50 mL/día de aceite de oliva virgen extra de cosecha temprana durante 12 meses (según el estudio)</t>
  </si>
  <si>
    <t xml:space="preserve">cita encontrada; cifra coincide (PMID 33044178, año 2020)</t>
  </si>
  <si>
    <t xml:space="preserve">PMID 33044178</t>
  </si>
  <si>
    <t xml:space="preserve">https://pubmed.ncbi.nlm.nih.gov/33044178/</t>
  </si>
  <si>
    <t xml:space="preserve">Aceite de oliva virgen extra (y refinado)</t>
  </si>
  <si>
    <t xml:space="preserve">Kaddoumi A et al., 2022, Nutrients</t>
  </si>
  <si>
    <t xml:space="preserve">controlado, con RM</t>
  </si>
  <si>
    <t xml:space="preserve">26 (25 completaron)</t>
  </si>
  <si>
    <t xml:space="preserve">consumo diario de EVOO o aceite refinado</t>
  </si>
  <si>
    <t xml:space="preserve">permeabilidad BBB (RM), conectividad, CDR, Aβ/pTau en sangre</t>
  </si>
  <si>
    <t xml:space="preserve">EVOO mejoró CDR y conducta, redujo permeabilidad BBB y aumentó conectividad; el refinado mejoró CDR; ambos redujeron Aβ42/Aβ40 y p-tau/t-tau en sangre</t>
  </si>
  <si>
    <t xml:space="preserve">Grants: NCATS (NIH) y Auburn University</t>
  </si>
  <si>
    <t xml:space="preserve">cita encontrada; cifra no comprobable en el resumen (PMID 36501136, año 2022)</t>
  </si>
  <si>
    <t xml:space="preserve">PMID 36501136</t>
  </si>
  <si>
    <t xml:space="preserve">https://pubmed.ncbi.nlm.nih.gov/36501136/</t>
  </si>
  <si>
    <t xml:space="preserve">Cacao (flavanoles)</t>
  </si>
  <si>
    <t xml:space="preserve">Extracto de cacao (flavanoles) + multivitamínico</t>
  </si>
  <si>
    <t xml:space="preserve">Rist PM et al., 2026, J Alzheimers Dis (COSMOS-clinic)</t>
  </si>
  <si>
    <t xml:space="preserve">506 (NfL/NT1), 498 (oAβ)</t>
  </si>
  <si>
    <t xml:space="preserve">Mayores de EE UU sin enfermedad cardiovascular mayor</t>
  </si>
  <si>
    <t xml:space="preserve">extracto de cacao 500 mg/día (80 mg epicatequina)</t>
  </si>
  <si>
    <t xml:space="preserve">NfL, NT1, oAβ en sangre</t>
  </si>
  <si>
    <t xml:space="preserve">Cacao vs placebo: NT1 -0,7% (IC -7,1 a 6,1; p=0,83); NfL 0,5% (-4,4 a 5,6; p=0,85); oAβ -5,9% (-21,4 a 12,6; p=0,51); sin diferencias</t>
  </si>
  <si>
    <t xml:space="preserve">cita encontrada; cifra coincide (PMID 42775737, año 2026)</t>
  </si>
  <si>
    <t xml:space="preserve">PMID 42775737; NCT02422745</t>
  </si>
  <si>
    <t xml:space="preserve">https://pubmed.ncbi.nlm.nih.gov/42775737/</t>
  </si>
  <si>
    <t xml:space="preserve">Ashwagandha (Withania somnifera)</t>
  </si>
  <si>
    <t xml:space="preserve">Ashwagandha (Withania somnifera) raíz</t>
  </si>
  <si>
    <t xml:space="preserve">Choudhary D et al., 2017, J Diet Suppl</t>
  </si>
  <si>
    <t xml:space="preserve">300 mg dos veces al día</t>
  </si>
  <si>
    <t xml:space="preserve">Wechsler Memory Scale III, Flanker, Wisconsin, TMT-A, Mackworth</t>
  </si>
  <si>
    <t xml:space="preserve">Memoria lógica I p=0,007, II p=0,006; pares verbales I p=0,042; caras I p=0,020; Flanker p=0,002; Wisconsin p=0,014; TMT-A p=0,006; Mackworth p=0,009 a favor de ashwagandha</t>
  </si>
  <si>
    <t xml:space="preserve">300 mg dos veces al día de extracto de raíz durante 8 semanas</t>
  </si>
  <si>
    <t xml:space="preserve">cita encontrada; cifra coincide (PMID 28471731, año 2017)</t>
  </si>
  <si>
    <t xml:space="preserve">PMID 28471731</t>
  </si>
  <si>
    <t xml:space="preserve">https://pubmed.ncbi.nlm.nih.gov/28471731/</t>
  </si>
  <si>
    <t xml:space="preserve">Ashwagandha con Sominone (Somin-On)</t>
  </si>
  <si>
    <t xml:space="preserve">Rai HP, Mishra DN., 2025, J Psychopharmacol</t>
  </si>
  <si>
    <t xml:space="preserve">piloto doble ciego placebo</t>
  </si>
  <si>
    <t xml:space="preserve">250 mg/día</t>
  </si>
  <si>
    <t xml:space="preserve">MoCA, MMSE, WMS-III, rotación mental</t>
  </si>
  <si>
    <t xml:space="preserve">Rotación mental +12,22% (30 d) y +31,67% (60 d); MoCA +7,83% y +14,77%; MMSE +9,26% y +19,21% sobre basal; mejoras WMS-III frente a placebo</t>
  </si>
  <si>
    <t xml:space="preserve">no consta (extracto de marca registrada)</t>
  </si>
  <si>
    <t xml:space="preserve">cita encontrada; cifra coincide (PMID 40099725, año 2025)</t>
  </si>
  <si>
    <t xml:space="preserve">PMID 40099725</t>
  </si>
  <si>
    <t xml:space="preserve">https://pubmed.ncbi.nlm.nih.gov/40099725/</t>
  </si>
  <si>
    <t xml:space="preserve">Bacopa monnieri</t>
  </si>
  <si>
    <t xml:space="preserve">Bacopa monnieri (Brahmi)</t>
  </si>
  <si>
    <t xml:space="preserve">Calabrese C et al., 2008, J Altern Complement Med</t>
  </si>
  <si>
    <t xml:space="preserve">doble ciego, placebo, run-in de 6 semanas</t>
  </si>
  <si>
    <t xml:space="preserve">54 (48 completaron)</t>
  </si>
  <si>
    <t xml:space="preserve">Mayores de 65 sin demencia (media 73,5)</t>
  </si>
  <si>
    <t xml:space="preserve">300 mg/día de extracto estandarizado</t>
  </si>
  <si>
    <t xml:space="preserve">AVLT recuerdo diferido, Stroop, DAT, WAIS, CESD-10, STAI</t>
  </si>
  <si>
    <t xml:space="preserve">Mejor recuerdo diferido AVLT y Stroop con Bacopa; depresión CESD-10, ansiedad y frecuencia cardíaca bajaron con Bacopa; sin efectos en DAT, WAIS, ánimo ni presión</t>
  </si>
  <si>
    <t xml:space="preserve">Eventos adversos Bacopa n=9, placebo n=10, sobre todo molestias de estómago</t>
  </si>
  <si>
    <t xml:space="preserve">300 mg/día de extracto estandarizado durante 12 semanas</t>
  </si>
  <si>
    <t xml:space="preserve">cita encontrada; cifra no comprobable en el resumen (PMID 18611150, año 2008)</t>
  </si>
  <si>
    <t xml:space="preserve">PMID 18611150</t>
  </si>
  <si>
    <t xml:space="preserve">https://pubmed.ncbi.nlm.nih.gov/18611150/</t>
  </si>
  <si>
    <t xml:space="preserve">Tianma (Gastrodia elata)</t>
  </si>
  <si>
    <t xml:space="preserve">Gastrodia elata (Tianma) extracto</t>
  </si>
  <si>
    <t xml:space="preserve">Jun H et al., 2025, ensayo coreano</t>
  </si>
  <si>
    <t xml:space="preserve">Adultos 40-65 con cognición normal o deterioro leve</t>
  </si>
  <si>
    <t xml:space="preserve">comprimidos diarios (dosis no consta)</t>
  </si>
  <si>
    <t xml:space="preserve">ADAS-cog, K-MMSE, BDNF, Aβ, TAS</t>
  </si>
  <si>
    <t xml:space="preserve">ADAS-cog -2,15±2,22 vs -0,92±2,03 placebo; mejoras en K-MMSE, BDNF y TAS; Aβ sin cambio</t>
  </si>
  <si>
    <t xml:space="preserve">Sin eventos adversos graves</t>
  </si>
  <si>
    <t xml:space="preserve">cita encontrada; cifra no comprobable en el resumen (Europe PMC IND609230859, año 2025; título coincide con Gastrodia elata en adultos de mediana edad)</t>
  </si>
  <si>
    <t xml:space="preserve">Europe PMC IND609230859</t>
  </si>
  <si>
    <t xml:space="preserve">https://europepmc.org/search?query=IND609230859</t>
  </si>
  <si>
    <t xml:space="preserve">Tianma-Gouteng</t>
  </si>
  <si>
    <t xml:space="preserve">Tianma-Gouteng (Gastrodia + Uncaria)</t>
  </si>
  <si>
    <t xml:space="preserve">Zhong M et al., 2024, J Ethnopharmacol</t>
  </si>
  <si>
    <t xml:space="preserve">ratones TgCRND8 (4 meses) y 5xFAD (6 meses)</t>
  </si>
  <si>
    <t xml:space="preserve">ratones transgénicos de Alzheimer</t>
  </si>
  <si>
    <t xml:space="preserve">4 y 6 meses</t>
  </si>
  <si>
    <t xml:space="preserve">oral, dosis no consta en el resumen</t>
  </si>
  <si>
    <t xml:space="preserve">conducta, Aβ, tau, glía, citocinas</t>
  </si>
  <si>
    <t xml:space="preserve">Menos ansiedad, mejor reconocimiento y aprendizaje espacial; menos Aβ42, Aβ42/40 y tau fosforilada; menos microglía y astrocitos activados; sube SIRT1/AMPK en un modelo</t>
  </si>
  <si>
    <t xml:space="preserve">cita encontrada; cifra no comprobable en el resumen (PMID 38548119, año 2024)</t>
  </si>
  <si>
    <t xml:space="preserve">PMID 38548119</t>
  </si>
  <si>
    <t xml:space="preserve">https://pubmed.ncbi.nlm.nih.gov/38548119/</t>
  </si>
  <si>
    <t xml:space="preserve">Liuwei Dihuang</t>
  </si>
  <si>
    <t xml:space="preserve">Liuwei Dihuang (Ba Wei Di Huang sin canela ni aconito)</t>
  </si>
  <si>
    <t xml:space="preserve">Hwang J et al., 2026, Pharmaceuticals</t>
  </si>
  <si>
    <t xml:space="preserve">metaanálisis de 12 ensayos + farmacología de redes</t>
  </si>
  <si>
    <t xml:space="preserve">1.137</t>
  </si>
  <si>
    <t xml:space="preserve">Trastornos cognitivos, terapia adyuvante</t>
  </si>
  <si>
    <t xml:space="preserve">LWDH + tratamiento convencional vs convencional</t>
  </si>
  <si>
    <t xml:space="preserve">MMSE, ADL, calidad de vida</t>
  </si>
  <si>
    <t xml:space="preserve">MMSE DM=2,34 (IC95% 0,88-3,79); también ADL y calidad de vida; los autores señalan heterogeneidad y riesgo de sesgo 'algunas preocupaciones'; menos eventos adversos con LWDH</t>
  </si>
  <si>
    <t xml:space="preserve">cita encontrada; cifra coincide (PMID 42198453, año 2026)</t>
  </si>
  <si>
    <t xml:space="preserve">PMID 42198453</t>
  </si>
  <si>
    <t xml:space="preserve">https://pubmed.ncbi.nlm.nih.gov/42198453/</t>
  </si>
  <si>
    <t xml:space="preserve">Tanshinona IIA (Danshen)</t>
  </si>
  <si>
    <t xml:space="preserve">Tanshinona IIA (Salvia miltiorrhiza, Danshen)</t>
  </si>
  <si>
    <t xml:space="preserve">Rong Y et al., 2025, Front Pharmacol</t>
  </si>
  <si>
    <t xml:space="preserve">revisión sistemática y metaanálisis de modelos animales</t>
  </si>
  <si>
    <t xml:space="preserve">19 estudios, 581 animales</t>
  </si>
  <si>
    <t xml:space="preserve">animales con Alzheimer</t>
  </si>
  <si>
    <t xml:space="preserve">Tan IIA</t>
  </si>
  <si>
    <t xml:space="preserve">latencia de escape, cuadrante objetivo, Aβ</t>
  </si>
  <si>
    <t xml:space="preserve">Latencia -17,94 s (IC -22,92 a -12,96); tiempo en cuadrante +10,69 s (7,32-14,07); placas Aβ SMD -3,46 (-5,65 a -1,26); autores señalan riesgos de sesgo</t>
  </si>
  <si>
    <t xml:space="preserve">cita encontrada; cifra coincide (PMID 40717971, año 2025)</t>
  </si>
  <si>
    <t xml:space="preserve">PMID 40717971</t>
  </si>
  <si>
    <t xml:space="preserve">https://pubmed.ncbi.nlm.nih.gov/40717971/</t>
  </si>
  <si>
    <t xml:space="preserve">Centella asiatica</t>
  </si>
  <si>
    <t xml:space="preserve">Centella asiatica extracto acuoso</t>
  </si>
  <si>
    <t xml:space="preserve">Ayurveda / medicina asiática</t>
  </si>
  <si>
    <t xml:space="preserve">Matthews DG et al., 2024, J Alzheimers Dis Rep</t>
  </si>
  <si>
    <t xml:space="preserve">ratones Tg2576 y salvajes de 20 meses</t>
  </si>
  <si>
    <t xml:space="preserve">ratones envejecidos</t>
  </si>
  <si>
    <t xml:space="preserve">3-5 semanas</t>
  </si>
  <si>
    <t xml:space="preserve">200 o 1.000 mg/kg/día oral</t>
  </si>
  <si>
    <t xml:space="preserve">miedo contextual, reconocimiento de objetos, placas Aβ, metaboloma</t>
  </si>
  <si>
    <t xml:space="preserve">Mejora dosis-dependiente en ambas pruebas en Tg2576 y salvajes; el metaboloma cambió solo en parte como reversión de diferencias</t>
  </si>
  <si>
    <t xml:space="preserve">Grants: NCCIH (NIH), BLRD VA</t>
  </si>
  <si>
    <t xml:space="preserve">cita encontrada; cifra no comprobable en el resumen (PMID 40034352, año 2024)</t>
  </si>
  <si>
    <t xml:space="preserve">PMID 40034352</t>
  </si>
  <si>
    <t xml:space="preserve">https://pubmed.ncbi.nlm.nih.gov/40034352/</t>
  </si>
  <si>
    <t xml:space="preserve">Trans-crocina 4 y trans-crocetina (azafrán)</t>
  </si>
  <si>
    <t xml:space="preserve">Medicina tradicional</t>
  </si>
  <si>
    <t xml:space="preserve">Chalatsa I et al., 2019, Front Neurosci</t>
  </si>
  <si>
    <t xml:space="preserve">células SH-SY5Y-APP y PC12-htau</t>
  </si>
  <si>
    <t xml:space="preserve">células</t>
  </si>
  <si>
    <t xml:space="preserve">24-72 h</t>
  </si>
  <si>
    <t xml:space="preserve">0,1 µM a 1 mM</t>
  </si>
  <si>
    <t xml:space="preserve">BACE, secretasas, GSK3β, ERK, tau</t>
  </si>
  <si>
    <t xml:space="preserve">Menos β-secretasa y APP-C99; menos γ-secretasas; menos GSK3β/ERK1/2 activos y menos tau total y fosforilada</t>
  </si>
  <si>
    <t xml:space="preserve">cita encontrada; cifra no comprobable en el resumen (PMID 30971876, año 2019)</t>
  </si>
  <si>
    <t xml:space="preserve">PMID 30971876</t>
  </si>
  <si>
    <t xml:space="preserve">https://pubmed.ncbi.nlm.nih.gov/30971876/</t>
  </si>
  <si>
    <t xml:space="preserve">Fórmula VGH-AD1</t>
  </si>
  <si>
    <t xml:space="preserve">Fórmula VGH-AD1 (yi-gan-san, huan-shao-dan, danshen, tianma, gouteng, ba-ji-tian) (registro)</t>
  </si>
  <si>
    <t xml:space="preserve">NCT04249869, Taipei Veterans General Hospital</t>
  </si>
  <si>
    <t xml:space="preserve">aleatorizado, doble ciego, cruzado</t>
  </si>
  <si>
    <t xml:space="preserve">28 (estimado)</t>
  </si>
  <si>
    <t xml:space="preserve">8-22 semanas</t>
  </si>
  <si>
    <t xml:space="preserve">Yi-gan-san 3,0 g, Huan-shao-dan 1,0 g, Danshen 0,75 g, Tian-ma 0,75 g, Gou-teng 0,375 g, Ba-ji-tian 0,375 g, dos veces al día</t>
  </si>
  <si>
    <t xml:space="preserve">GDS, MMSE, NPI-Q</t>
  </si>
  <si>
    <t xml:space="preserve">Estado DESCONOCIDO, inicio estimado 2020-02, sin resultados (hasResults=falso)</t>
  </si>
  <si>
    <t xml:space="preserve">Taipei Veterans General Hospital</t>
  </si>
  <si>
    <t xml:space="preserve">cita encontrada; registro NCT04249869 confirmado (UNKNOWN, hasResults=false); no hay cifra de resultado en el registro para comparar</t>
  </si>
  <si>
    <t xml:space="preserve">NCT04249869</t>
  </si>
  <si>
    <t xml:space="preserve">https://clinicaltrials.gov/study/NCT04249869</t>
  </si>
  <si>
    <t xml:space="preserve">Qinggongshoutao (bolo)</t>
  </si>
  <si>
    <t xml:space="preserve">Qinggongshoutao (bolo de medicina china) vs Ginkgo (Ginaton)</t>
  </si>
  <si>
    <t xml:space="preserve">NCT02982603, Dongzhimen Hospital</t>
  </si>
  <si>
    <t xml:space="preserve">aleatorizado, doble ciego, doble placebo, 3 brazos, 20 centros</t>
  </si>
  <si>
    <t xml:space="preserve">350 (real)</t>
  </si>
  <si>
    <t xml:space="preserve">52 semanas (2015-05 a 2017-12)</t>
  </si>
  <si>
    <t xml:space="preserve">bolo 7 g dos veces al día; ginkgo 80 mg dos veces al día</t>
  </si>
  <si>
    <t xml:space="preserve">ADAS-cog y conversión a demencia</t>
  </si>
  <si>
    <t xml:space="preserve">COMPLETADO, sin resultados en el registro (hasResults=falso)</t>
  </si>
  <si>
    <t xml:space="preserve">Dongzhimen Hospital, Beijing</t>
  </si>
  <si>
    <t xml:space="preserve">cita encontrada; registro NCT02982603 confirmado (COMPLETED, hasResults=false); no hay cifra de resultado en el registro para comparar</t>
  </si>
  <si>
    <t xml:space="preserve">NCT02982603</t>
  </si>
  <si>
    <t xml:space="preserve">https://clinicaltrials.gov/study/NCT02982603</t>
  </si>
  <si>
    <t xml:space="preserve">protocolos_heterodoxos</t>
  </si>
  <si>
    <t xml:space="preserve">MEND/ReCODE, primeros 10 pacientes (dieta, ayuno, suplementos, hormonas, sueño, ejercicio)</t>
  </si>
  <si>
    <t xml:space="preserve">Bredesen, medicina funcional personalizada</t>
  </si>
  <si>
    <t xml:space="preserve">Bredesen DE. Reversal of cognitive decline: a novel therapeutic program. Aging (Albany NY) 2014</t>
  </si>
  <si>
    <t xml:space="preserve">Serie de 10 casos, sin grupo control</t>
  </si>
  <si>
    <t xml:space="preserve">Alzheimer, deterioro cognitivo leve amnésico y deterioro cognitivo subjetivo</t>
  </si>
  <si>
    <t xml:space="preserve">Seguimiento hasta 2,5 años</t>
  </si>
  <si>
    <t xml:space="preserve">Paciente 1: sin carbohidratos simples ni gluten, yoga, meditación 2x20 min, melatonina 0,5 mg, 7-8 h de sueño, metilcobalamina 1 mg, D3 2000 UI, aceite de pescado 2000 mg, CoQ10 200 mg, ayuno 12 h, ejercicio 30 min 4-6 días/semana, THS</t>
  </si>
  <si>
    <t xml:space="preserve">Mejora subjetiva u objetiva de la cognición, vuelta al trabajo</t>
  </si>
  <si>
    <t xml:space="preserve">9 de 10 mostraron mejora subjetiva u objetiva de la cognición, comenzando a los 3-6 meses; el único fallo fue una paciente con Alzheimer muy avanzado (MoCA 6, amiloide PET positivo). 6 pacientes habían tenido que dejar de trabajar o tenían dificultad y todos pudieron volver o continuar con mejor rendimiento. Seguimiento más largo 2,5 años con mejora sostenida</t>
  </si>
  <si>
    <t xml:space="preserve">no consta en el texto consultado</t>
  </si>
  <si>
    <t xml:space="preserve">El autor declara no tener conflicto de interés</t>
  </si>
  <si>
    <t xml:space="preserve">Pasos del paciente 1 detallados en el artículo: sin azúcares simples ni gluten, ayuno nocturno mínimo 12 h, ejercicio 30 min 4-6 días/semana, 7-8 h de sueño, B12 metilada 1 mg, D3 2000 UI, omega-3 2000 mg, CoQ10 200 mg</t>
  </si>
  <si>
    <t xml:space="preserve">https://europepmc.org/article/MED/25324467</t>
  </si>
  <si>
    <t xml:space="preserve">MEND con RM cuantitativa y neuropsicología</t>
  </si>
  <si>
    <t xml:space="preserve">Bredesen DE, Amos EC, Canick J, Ackerley M, Raji C, Fiala M, Ahdidan J. Reversal of cognitive decline in Alzheimer's disease. Aging 2016</t>
  </si>
  <si>
    <t xml:space="preserve">Serie de casos con RM volumétrica y tests neuropsicológicos</t>
  </si>
  <si>
    <t xml:space="preserve">Declive cognitivo (nueve ApoE4+ y uno ApoE4-); Alzheimer precoz, MCI y deterioro subjetivo</t>
  </si>
  <si>
    <t xml:space="preserve">5 a 24 meses</t>
  </si>
  <si>
    <t xml:space="preserve">Protocolo MEND personalizado</t>
  </si>
  <si>
    <t xml:space="preserve">RM cuantitativa y neuropsicología</t>
  </si>
  <si>
    <t xml:space="preserve">Un paciente tenía volumen hipocampal en percentil 17 y a los 10 meses estaba en percentil 75, con reversión del declive; otro con Alzheimer precoz, FDG-PET positivo y neuropsicología muy anormal mejoró tras 22 meses, con mejoras de hasta tres desviaciones estándar. Los autores dicen que 'la magnitud de la mejora no tiene precedentes'</t>
  </si>
  <si>
    <t xml:space="preserve">No se localizó la declaración en el texto consultado: no consta</t>
  </si>
  <si>
    <t xml:space="preserve">https://europepmc.org/article/MED/27294343</t>
  </si>
  <si>
    <t xml:space="preserve">Medicina de precisión (ReCODE) en ensayo piloto de 9 meses</t>
  </si>
  <si>
    <t xml:space="preserve">Bredesen, estudio piloto</t>
  </si>
  <si>
    <t xml:space="preserve">Toups K, Hathaway A, Gordon D, ... Bredesen DE. Precision Medicine Approach to Alzheimer's Disease: Successful Pilot Project. J Alzheimers Dis 2022</t>
  </si>
  <si>
    <t xml:space="preserve">Piloto de prueba de concepto de un solo brazo con RM al inicio y al final</t>
  </si>
  <si>
    <t xml:space="preserve">25</t>
  </si>
  <si>
    <t xml:space="preserve">Demencia o deterioro cognitivo leve con MoCA 19 o más</t>
  </si>
  <si>
    <t xml:space="preserve">9 meses; evaluaciones a 0, 3, 6 y 9 meses</t>
  </si>
  <si>
    <t xml:space="preserve">Protocolo personalizado según marcadores de inflamación, infección crónica, disbiosis, resistencia a insulina, glicación, enfermedad vascular, hipoxemia nocturna, hormonas, nutrientes y tóxicos</t>
  </si>
  <si>
    <t xml:space="preserve">MoCA, CNS Vital Signs Neurocognitive Index, Alzheimer's Questionnaire (AQ), RM volumétrica</t>
  </si>
  <si>
    <t xml:space="preserve">Todas las medidas mostraron mejora; mejora estadísticamente significativa en MoCA, índice CNS Vital Signs y puntuación de cambio AQ; la RM volumétrica también mejoró (el resumen no da las cifras)</t>
  </si>
  <si>
    <t xml:space="preserve">No se registraron eventos adversos graves</t>
  </si>
  <si>
    <t xml:space="preserve">No consta en el resumen consultado (artículo no abierto en texto completo)</t>
  </si>
  <si>
    <t xml:space="preserve">cita encontrada; cifra coincide (PMID 35811518)</t>
  </si>
  <si>
    <t xml:space="preserve">PMID 35811518; DOI 10.3233/jad-215707</t>
  </si>
  <si>
    <t xml:space="preserve">https://europepmc.org/article/MED/35811518</t>
  </si>
  <si>
    <t xml:space="preserve">ReCODE: seguimiento largo (más de 5 años) de 7 pacientes</t>
  </si>
  <si>
    <t xml:space="preserve">Bredesen DE, Ross MK, Ross S. Sustained Cognitive Improvement in Alzheimer's Disease Patients Following a Precision Medicine Protocol: Case Series. Biomedicines 2024</t>
  </si>
  <si>
    <t xml:space="preserve">Siete casos clínicos de los autores, sin control</t>
  </si>
  <si>
    <t xml:space="preserve">Alzheimer y deterioro cognitivo</t>
  </si>
  <si>
    <t xml:space="preserve">Mejora mantenida hasta 11 años (algunos casos más de 10)</t>
  </si>
  <si>
    <t xml:space="preserve">Protocolo de medicina de precisión (ReCODE)</t>
  </si>
  <si>
    <t xml:space="preserve">MoCA, CNS Vital Signs, AQ-21, entrenamiento cerebral, perfil metabólico y volumetría RM</t>
  </si>
  <si>
    <t xml:space="preserve">Ejemplo de una paciente: MoCA de 24 a 30 en 17 meses, volumen hipocampal del percentil 14 al 28; a los 7 años mantenía la mejora con un periodo de declive secundario. Los autores señalan que son 'anecdóticos' y que no pueden compararse con ensayos</t>
  </si>
  <si>
    <t xml:space="preserve">Four Winds Foundation. D.E.B. es consultor de Apollo Health y Life Seasons; M.K.R. trabajó para Thorne durante parte del tratamiento</t>
  </si>
  <si>
    <t xml:space="preserve">cita encontrada; cifra no comprobable en el resumen (PMID 39200239)</t>
  </si>
  <si>
    <t xml:space="preserve">PMID 39200239; DOI 10.3390/biomedicines12081776</t>
  </si>
  <si>
    <t xml:space="preserve">https://europepmc.org/article/MED/39200239</t>
  </si>
  <si>
    <t xml:space="preserve">ReCODE y síntomas depresivos (PHQ-9)</t>
  </si>
  <si>
    <t xml:space="preserve">Rao RV, Boyd A, Okada S, ... Bredesen DE. Short-Term Changes in Depressive Symptoms Among Patients with Alzheimer's Disease Following a Precision Medicine Intervention. Brain Sci 2025</t>
  </si>
  <si>
    <t xml:space="preserve">Análisis retrospectivo de datos anonimizados, prepost, Wilcoxon</t>
  </si>
  <si>
    <t xml:space="preserve">170</t>
  </si>
  <si>
    <t xml:space="preserve">Alzheimer leve a moderado inscritos en ReCODE</t>
  </si>
  <si>
    <t xml:space="preserve">Seguimiento a los 31 días tras la inscripción</t>
  </si>
  <si>
    <t xml:space="preserve">Orientación sobre dieta, estilo de vida, medicación y suplementos de ReCODE</t>
  </si>
  <si>
    <t xml:space="preserve">PHQ-9</t>
  </si>
  <si>
    <t xml:space="preserve">Cerca del 80% redujo su PHQ-9; mejora media de 3,96 puntos (IC95% 3,34 a 4,57; p menor de 0,0001); mejora en todas las categorías de depresión basal</t>
  </si>
  <si>
    <t xml:space="preserve">Autores empleados de Apollo Health; D.E.B. consultor de Apollo Health y Life Seasons; A.B. es CEO de CNS Vital Signs. Los autores dicen que es asociativo e hipótesis</t>
  </si>
  <si>
    <t xml:space="preserve">El PHQ-9 puede medirse en casa; seguimiento a 31 días</t>
  </si>
  <si>
    <t xml:space="preserve">cita encontrada; cifra no comprobable en el resumen (PMID 41594723)</t>
  </si>
  <si>
    <t xml:space="preserve">PMID 41594723; DOI 10.3390/brainsci16010002</t>
  </si>
  <si>
    <t xml:space="preserve">https://europepmc.org/article/MED/41594723</t>
  </si>
  <si>
    <t xml:space="preserve">Protocolo funcional integrativo</t>
  </si>
  <si>
    <t xml:space="preserve">Programa integrativo funcional con luz/sonido 40 Hz, dieta, ayuno, ejercicio y suplementos</t>
  </si>
  <si>
    <t xml:space="preserve">Medicina funcional académica (GW Center for Integrative Medicine)</t>
  </si>
  <si>
    <t xml:space="preserve">Kogan M, Frame LA, ... Yakel J. The Integrative Personalized Functional Medicine Approach to Reverse Cognitive Decline: First 51 Patients Case Series. Glob Adv Integr Med Health 2026</t>
  </si>
  <si>
    <t xml:space="preserve">Serie de casos retrospectiva por historia clínica, descriptiva sin estadística formal</t>
  </si>
  <si>
    <t xml:space="preserve">51 (22 con seguimiento de 2,5 años o más)</t>
  </si>
  <si>
    <t xml:space="preserve">MCI o Alzheimer precoz</t>
  </si>
  <si>
    <t xml:space="preserve">2017 a 2025; análisis largo en los que siguieron 2,5 años o más</t>
  </si>
  <si>
    <t xml:space="preserve">Dieta, alimentación restringida en el tiempo, ejercicio, entrenamiento cognitivo, sueño, suplementación individualizada, hormonas y estimulación 40 Hz por app; al menos 2 h diarias de ejercicio, entrenamiento y luz/sonido</t>
  </si>
  <si>
    <t xml:space="preserve">MoCA (primario), BOCA, CNS-Vitals, SLAMS, RM volumétrica y biomarcadores (Aβ42/40, p-tau217, NfL) en un subgrupo</t>
  </si>
  <si>
    <t xml:space="preserve">En los 22 con 2,5 años o más, MoCA medio de 21,7 a 22,5; 73% (16/22) mejoró (aumento de 2 o más puntos) o se estabilizó (-1 a +1). Abandonaron 29 de 51 en el primer año</t>
  </si>
  <si>
    <t xml:space="preserve">no consta; se reporta abandono por coste, complejidad y falta de apoyo de cuidador</t>
  </si>
  <si>
    <t xml:space="preserve">Sin financiación; Kogan es asesor y copropietario de Alz.life y CMO y copropietario de la clínica</t>
  </si>
  <si>
    <t xml:space="preserve">Luz y sonido 40 Hz con app gratuita; BrainHQ para entrenamiento cognitivo (según el artículo)</t>
  </si>
  <si>
    <t xml:space="preserve">no consta; el coste es una causa de abandono según el artículo</t>
  </si>
  <si>
    <t xml:space="preserve">cita encontrada; cifra coincide (PMID 42221535)</t>
  </si>
  <si>
    <t xml:space="preserve">PMID 42221535; DOI 10.1177/27536130261452680</t>
  </si>
  <si>
    <t xml:space="preserve">https://europepmc.org/article/MED/42221535</t>
  </si>
  <si>
    <t xml:space="preserve">Enfoque multimodal personalizado en demencia mixta con colangitis biliar primaria</t>
  </si>
  <si>
    <t xml:space="preserve">Medicina de precisión (Bredesen, Hood, Heath)</t>
  </si>
  <si>
    <t xml:space="preserve">Ross MK, Raji C, Lokken KL, Bredesen DE, ... Heath JR. Case Study: A Precision Medicine Approach to Multifactorial Dementia and Alzheimer's Disease. J Alzheimers Dis Parkinsonism 2021</t>
  </si>
  <si>
    <t xml:space="preserve">Informe de un caso</t>
  </si>
  <si>
    <t xml:space="preserve">Alzheimer con demencia mixta y colangitis biliar primaria</t>
  </si>
  <si>
    <t xml:space="preserve">3,5 años</t>
  </si>
  <si>
    <t xml:space="preserve">Programa multimodal personalizado con dieta para reducir la inflamación hepática</t>
  </si>
  <si>
    <t xml:space="preserve">Neuropsicología cuantitativa, volumetría RM, PET, química sérica y síntomas</t>
  </si>
  <si>
    <t xml:space="preserve">Mejora en neuropsicología, volumetría, PET y química sérica con mejora sintomática durante 3,5 años (el resumen no da cifras)</t>
  </si>
  <si>
    <t xml:space="preserve">Subvenciones NIA NIH (agencia indicada en Europe PMC); no se leyó la declaración</t>
  </si>
  <si>
    <t xml:space="preserve">cita encontrada; cifra no comprobable en el resumen (PMID 35237464)</t>
  </si>
  <si>
    <t xml:space="preserve">PMID 35237464</t>
  </si>
  <si>
    <t xml:space="preserve">https://europepmc.org/article/MED/35237464</t>
  </si>
  <si>
    <t xml:space="preserve">Genómica ApoE4 (suplementos)</t>
  </si>
  <si>
    <t xml:space="preserve">Genómica como apoyo de decisión para suplementos y estilo de vida en portadores ApoE4</t>
  </si>
  <si>
    <t xml:space="preserve">Medicina personalizada genómica</t>
  </si>
  <si>
    <t xml:space="preserve">Hausman-Cohen S, Bilich C, Kapoor S, Maristany E, Stefani A, Wilcox A. Front Aging Neurosci 2022</t>
  </si>
  <si>
    <t xml:space="preserve">Informes de casos de tres consultas</t>
  </si>
  <si>
    <t xml:space="preserve">Portadores ApoE ε4 con deterioro cognitivo leve</t>
  </si>
  <si>
    <t xml:space="preserve">Suplementos 'GRAS' elegidos por el médico más dieta y estilo de vida, según plataforma genómica de apoyo (inflamación cerebral, amiloide, transportadores de nutrientes, isquemia, estrés oxidativo, detoxificación)</t>
  </si>
  <si>
    <t xml:space="preserve">Cognición en casos individuales</t>
  </si>
  <si>
    <t xml:space="preserve">Los autores describen los casos como 'prueba de concepto' alentadores; el resumen no ofrece cifras</t>
  </si>
  <si>
    <t xml:space="preserve">cita encontrada; cifra no comprobable en el resumen (PMID 35517054)</t>
  </si>
  <si>
    <t xml:space="preserve">PMID 35517054; DOI 10.3389/fnagi.2022.862362</t>
  </si>
  <si>
    <t xml:space="preserve">https://europepmc.org/article/MED/35517054</t>
  </si>
  <si>
    <t xml:space="preserve">Protocolo Ornish</t>
  </si>
  <si>
    <t xml:space="preserve">Cambios intensivos de estilo de vida: dieta vegana baja en grasa, ejercicio, manejo del estrés, grupo</t>
  </si>
  <si>
    <t xml:space="preserve">Ornish, medicina de estilo de vida</t>
  </si>
  <si>
    <t xml:space="preserve">Ornish D, Madison C, Kivipelto M, ... Arnold SE. Alzheimers Res Ther 2024</t>
  </si>
  <si>
    <t xml:space="preserve">Fase 2 multicéntrico 1:1 contra lista de espera con atención habitual</t>
  </si>
  <si>
    <t xml:space="preserve">51 (2 abandonos, ambos del grupo de intervención)</t>
  </si>
  <si>
    <t xml:space="preserve">MCI o demencia precoz por Alzheimer, edad 45-90, MoCA 18 o más; edad media 73,5; Aβ42/40 plasmático bajo en todos</t>
  </si>
  <si>
    <t xml:space="preserve">Dieta vegana 10-15% grasa, 21 comidas semanales y suplementos entregados, ejercicio, estrés, apoyo de grupo</t>
  </si>
  <si>
    <t xml:space="preserve">CGIC, ADAS-Cog, CDR-SB y CDR-G; secundarias Aβ42/40 plasmático y microbioma</t>
  </si>
  <si>
    <t xml:space="preserve">Diferencias entre grupos en CGIC p=0,001, CDR-SB p=0,032, CDR-G p=0,037; ADAS-Cog p=0,053 (borderline). CGIC, CDR-G y ADAS-Cog mejoraron en intervención y CDR-SB progresó menos; el control empeoró en las cuatro. Aβ42/40 subió en intervención y bajó en control (p=0,003); microbioma mejoró solo en intervención (p&lt;0,0001)</t>
  </si>
  <si>
    <t xml:space="preserve">Donantes filantrópicos y Alzheimer's Drug Discovery Foundation; Ornish y A. Ornish consultores de Sharecare y con acciones en Ornish Lifestyle Medicine; otros autores con patentes/acciones; registro retrospectivo (8-10-2020)</t>
  </si>
  <si>
    <t xml:space="preserve">Dieta vegana integral baja en grasa con multivitamínico, aceite de pescado, cúrcuma, vitamina C, B12, CoQ10, melena de león, probiótico y magnesio (según el registro)</t>
  </si>
  <si>
    <t xml:space="preserve">En el ensayo se dieron 21 comidas semanales y suplementos gratis; coste real no consta</t>
  </si>
  <si>
    <t xml:space="preserve">cita encontrada; cifra no comprobable en el resumen (PMID 38849944; NCT04606420)</t>
  </si>
  <si>
    <t xml:space="preserve">PMID 38849944; DOI 10.1186/s13195-024-01482-z; NCT04606420</t>
  </si>
  <si>
    <t xml:space="preserve">https://europepmc.org/article/MED/38849944</t>
  </si>
  <si>
    <t xml:space="preserve">Estilo de vida intensivo (Ornish), resultados ampliados a 40 semanas</t>
  </si>
  <si>
    <t xml:space="preserve">Ornish</t>
  </si>
  <si>
    <t xml:space="preserve">Ornish D, Madison C, Kivipelto M, ... Arnold S. Alzheimers Dement 2025 (extended 40-week results)</t>
  </si>
  <si>
    <t xml:space="preserve">Extensión del ensayo anterior</t>
  </si>
  <si>
    <t xml:space="preserve">no consta (solo título localizado)</t>
  </si>
  <si>
    <t xml:space="preserve">MCI o demencia precoz por Alzheimer</t>
  </si>
  <si>
    <t xml:space="preserve">40 semanas</t>
  </si>
  <si>
    <t xml:space="preserve">Igual que el ensayo de 20 semanas</t>
  </si>
  <si>
    <t xml:space="preserve">no consta (resumen no recuperado)</t>
  </si>
  <si>
    <t xml:space="preserve">No consta: la API devolvió solo el título, sin resumen</t>
  </si>
  <si>
    <t xml:space="preserve">cita encontrada; cifra no comprobable en el resumen (Ornish 2025 ext. 40 semanas (EPMC por título, sin PMID))</t>
  </si>
  <si>
    <t xml:space="preserve">sin PMID/DOI recuperado</t>
  </si>
  <si>
    <t xml:space="preserve">https://europepmc.org/search?query=Ornish%20extended%2040-week%20results%20Alzheimer</t>
  </si>
  <si>
    <t xml:space="preserve">Estudio ReCODE prospectivo (registro)</t>
  </si>
  <si>
    <t xml:space="preserve">Bredesen, registro de ensayo</t>
  </si>
  <si>
    <t xml:space="preserve">ClinicalTrials.gov NCT03883633, QuesGen Systems Inc</t>
  </si>
  <si>
    <t xml:space="preserve">Estudio prospectivo de pacientes en el protocolo ReCODE</t>
  </si>
  <si>
    <t xml:space="preserve">Pacientes en protocolo ReCODE</t>
  </si>
  <si>
    <t xml:space="preserve">2019-06-30 a 2020-12-31 (completado)</t>
  </si>
  <si>
    <t xml:space="preserve">Protocolo ReCODE: 'enfoque de medicina funcional para los síntomas del Alzheimer y declive cognitivo'</t>
  </si>
  <si>
    <t xml:space="preserve">Cambios en memoria a corto plazo, función cognitiva y capacidad percibida por cuidador o familiar</t>
  </si>
  <si>
    <t xml:space="preserve">Sin resultados publicados en el registro (hasResults False)</t>
  </si>
  <si>
    <t xml:space="preserve">Patrocinador QuesGen Systems Inc</t>
  </si>
  <si>
    <t xml:space="preserve">cita encontrada; cifra coincide (NCT03883633)</t>
  </si>
  <si>
    <t xml:space="preserve">NCT03883633</t>
  </si>
  <si>
    <t xml:space="preserve">https://clinicaltrials.gov/study/NCT03883633</t>
  </si>
  <si>
    <t xml:space="preserve">Protocolo EVANTHEA</t>
  </si>
  <si>
    <t xml:space="preserve">EVANTHEA: medicina de precisión vs. cuidado estándar</t>
  </si>
  <si>
    <t xml:space="preserve">Bredesen/Alzheimer's Prevention and Reversal Project</t>
  </si>
  <si>
    <t xml:space="preserve">ClinicalTrials.gov NCT05894954</t>
  </si>
  <si>
    <t xml:space="preserve">Ensayo aleatorizado pragmático</t>
  </si>
  <si>
    <t xml:space="preserve">MCI o demencia precoz</t>
  </si>
  <si>
    <t xml:space="preserve">9 meses de tratamiento; 2023-07-31 a 2026-02-09 (completado)</t>
  </si>
  <si>
    <t xml:space="preserve">Medicamentos, suplementos, estilo de vida y diagnósticos; dispositivos (Oura, monitor continuo de glucosa, Keto-Mojo, HeartMath), algunos con oxigenoterapia hiperbárica, neuroestimulación, neurofeedback, fotobiomodulación o CPAP; brazo de estilo de vida con coaching</t>
  </si>
  <si>
    <t xml:space="preserve">Cambio en MoCA medio y en CNS Vital Signs Neurocognitive Index a 9 meses</t>
  </si>
  <si>
    <t xml:space="preserve">Sin resultados en el registro (hasResults False)</t>
  </si>
  <si>
    <t xml:space="preserve">Alzheimer's Prevention and Reversal Project, Inc.; colaborador Four Winds Foundation</t>
  </si>
  <si>
    <t xml:space="preserve">Dispositivos listados en el registro</t>
  </si>
  <si>
    <t xml:space="preserve">cita encontrada; cifra coincide (NCT05894954)</t>
  </si>
  <si>
    <t xml:space="preserve">Nicotinamida (vitamina B3)</t>
  </si>
  <si>
    <t xml:space="preserve">Nicotinamida (vitamina B3) 1500 mg dos veces al día, 6 meses</t>
  </si>
  <si>
    <t xml:space="preserve">Vitamina B3 en dosis altas; línea Hoffer/ortomolecular</t>
  </si>
  <si>
    <t xml:space="preserve">ClinicalTrials.gov NCT00580931, Schreiber S, UC Irvine</t>
  </si>
  <si>
    <t xml:space="preserve">Controlado con placebo Enduramide</t>
  </si>
  <si>
    <t xml:space="preserve">50 (registrado)</t>
  </si>
  <si>
    <t xml:space="preserve">2008-01 a 2014-07 (completado); tratamiento 6 meses</t>
  </si>
  <si>
    <t xml:space="preserve">Nicotinamida 1500 mg dos veces al día frente a placebo</t>
  </si>
  <si>
    <t xml:space="preserve">ADAS-Cog</t>
  </si>
  <si>
    <t xml:space="preserve">UC Irvine; colaborador Alzheimer's Association</t>
  </si>
  <si>
    <t xml:space="preserve">Dosis del registro: 1500 mg dos veces al día (dosis de ensayo; no es recomendación)</t>
  </si>
  <si>
    <t xml:space="preserve">cita encontrada; cifra coincide (NCT00580931)</t>
  </si>
  <si>
    <t xml:space="preserve">NCT00580931</t>
  </si>
  <si>
    <t xml:space="preserve">https://clinicaltrials.gov/study/NCT00580931</t>
  </si>
  <si>
    <t xml:space="preserve">Nicotinamida 750 mg liberación sostenida, 1500 mg dos veces al día (NEAT)</t>
  </si>
  <si>
    <t xml:space="preserve">Vitamina B3 en dosis altas</t>
  </si>
  <si>
    <t xml:space="preserve">Grill JD et al., ClinicalTrials.gov NCT03061474, UC Irvine</t>
  </si>
  <si>
    <t xml:space="preserve">Doble ciego controlado con placebo, fase 2a</t>
  </si>
  <si>
    <t xml:space="preserve">46 (24 y 22 pesados en el registro)</t>
  </si>
  <si>
    <t xml:space="preserve">MCI por Alzheimer y demencia leve</t>
  </si>
  <si>
    <t xml:space="preserve">Nicotinamida 1500 mg dos veces al día (2 comprimidos de 750 mg dos veces al día)</t>
  </si>
  <si>
    <t xml:space="preserve">Cambio en pTau231 en LCR (primario)</t>
  </si>
  <si>
    <t xml:space="preserve">Cambio medio en P-tau231 de la línea base a 48 semanas: 4,71 (DE 14,46) y 2,28 (DE 10,55) en los dos grupos, p=0,6096 (ANCOVA, orden de grupos como figura en el registro). Un análisis posterior (Ketron 2025, 23 con fármaco y 24 con placebo) halló nicotinamida en LCR medible solo en 6 de 19 (32%) y una reducción del 34% de pTau231 en esos 6 frente a un aumento del 3% en quienes no la tenían y -3% en placebo</t>
  </si>
  <si>
    <t xml:space="preserve">Se registraron eventos adversos (registro: recuento de eventos emergentes); el artículo describe buena seguridad y tolerabilidad</t>
  </si>
  <si>
    <t xml:space="preserve">UC Irvine; sin financiación declarada en el registro</t>
  </si>
  <si>
    <t xml:space="preserve">Dosis del ensayo, no recomendación: 1500 mg dos veces al día</t>
  </si>
  <si>
    <t xml:space="preserve">cita encontrada; cifra coincide (NCT03061474; PMID 40069789)</t>
  </si>
  <si>
    <t xml:space="preserve">NCT03061474; PMID 40069789 (PK post hoc)</t>
  </si>
  <si>
    <t xml:space="preserve">https://clinicaltrials.gov/study/NCT03061474</t>
  </si>
  <si>
    <t xml:space="preserve">Activadores metabólicos combinados</t>
  </si>
  <si>
    <t xml:space="preserve">Activadores metabólicos combinados (serina, NAC, nicotinamida ribósido, L-carnitina)</t>
  </si>
  <si>
    <t xml:space="preserve">Suplementación de cofactores mitocondriales (Mardinoglu, Uhlén)</t>
  </si>
  <si>
    <t xml:space="preserve">Yulug B, Altay O, ... Mardinoglu A. Transl Neurodegener 2023</t>
  </si>
  <si>
    <t xml:space="preserve">Fase 2 doble ciego controlado con placebo, 2:1</t>
  </si>
  <si>
    <t xml:space="preserve">no consta en el resumen (registro: 120 incluidos con Parkinson)</t>
  </si>
  <si>
    <t xml:space="preserve">Alzheimer leve a moderado (ADAS-Cog 12 o más, CDR-SB 2 o menos)</t>
  </si>
  <si>
    <t xml:space="preserve">84 días</t>
  </si>
  <si>
    <t xml:space="preserve">Serina 12,35 g, NAC 2,55 g, nicotinamida ribósido 1 g, L-carnitina tartrato 3,73 g; una dosis diaria 28 días y dos al día hasta el día 84</t>
  </si>
  <si>
    <t xml:space="preserve">ADAS-Cog, actividades de la vida diaria, hipocampo y grosor cortical, metabolómica y proteómica</t>
  </si>
  <si>
    <t xml:space="preserve">ADAS-Cog día 84 vs día 0: P=0,00001, mejora del 29% en el grupo CMA; descenso de ADAS-Cog frente a placebo en pacientes con ADAS-Cog más alto (P=0,0073); cambios en volumen hipocampal y grosor cortical</t>
  </si>
  <si>
    <t xml:space="preserve">Seguridad y tolerabilidad fueron objetivos secundarios; el resumen no cita cifras</t>
  </si>
  <si>
    <t xml:space="preserve">ScandiBio Therapeutics y Fundación Knut y Alice Wallenberg; Mardinoglu, Borén y Uhlén son fundadores y accionistas de ScandiBio</t>
  </si>
  <si>
    <t xml:space="preserve">Dosis del ensayo (arriba); no recomendación</t>
  </si>
  <si>
    <t xml:space="preserve">cita encontrada; cifra coincide (PMID 36703196; NCT04044131)</t>
  </si>
  <si>
    <t xml:space="preserve">PMID 36703196; DOI 10.1186/s40035-023-00336-2; NCT04044131</t>
  </si>
  <si>
    <t xml:space="preserve">https://europepmc.org/article/MED/36703196</t>
  </si>
  <si>
    <t xml:space="preserve">Activadores metabólicos combinados en Parkinson</t>
  </si>
  <si>
    <t xml:space="preserve">Suplementación de cofactores mitocondriales</t>
  </si>
  <si>
    <t xml:space="preserve">Yulug B et al. Brain Commun 2025</t>
  </si>
  <si>
    <t xml:space="preserve">Fase 2 doble ciego controlado con placebo</t>
  </si>
  <si>
    <t xml:space="preserve">Enfermedad de Parkinson (cognición como objetivo secundario)</t>
  </si>
  <si>
    <t xml:space="preserve">Igual que el ensayo en Alzheimer</t>
  </si>
  <si>
    <t xml:space="preserve">UPDRS (primario), MoCA, RM funcional</t>
  </si>
  <si>
    <t xml:space="preserve">Sin mejora motora; mejora cognitiva significativa; en Parkinson grave con MoCA basal bajo, reducción significativa de MoCA (P=0,001) en el grupo CMA, sin declive en placebo (tal como lo redacta el resumen)</t>
  </si>
  <si>
    <t xml:space="preserve">Mardinoglu, Borén, Uhlén vinculados a ScandiBio (según el ensayo de Alzheimer)</t>
  </si>
  <si>
    <t xml:space="preserve">cita encontrada; cifra coincide (PMID 39816194)</t>
  </si>
  <si>
    <t xml:space="preserve">PMID 39816194; DOI 10.1093/braincomms/fcae478</t>
  </si>
  <si>
    <t xml:space="preserve">https://europepmc.org/article/MED/39816194</t>
  </si>
  <si>
    <t xml:space="preserve">Nicotinamida ribósido</t>
  </si>
  <si>
    <t xml:space="preserve">Nicotinamida ribósido 12 semanas</t>
  </si>
  <si>
    <t xml:space="preserve">Precursores de NAD+</t>
  </si>
  <si>
    <t xml:space="preserve">Martens CR, Decker KP, ... Ellison JM. Alzheimers Dement 2026</t>
  </si>
  <si>
    <t xml:space="preserve">Piloto fase 2 doble ciego controlado con placebo</t>
  </si>
  <si>
    <t xml:space="preserve">42 completaron (NR 22, placebo 20)</t>
  </si>
  <si>
    <t xml:space="preserve">Nicotinamida ribósido (dosis no consta en el resumen)</t>
  </si>
  <si>
    <t xml:space="preserve">Función cognitiva (primario), flujo sanguíneo cerebral, tensión arterial</t>
  </si>
  <si>
    <t xml:space="preserve">NAD+ en sangre aumentó el doble; sin mejoras en función cognitiva, flujo cerebral total ni tensión arterial; análisis exploratorio con posibles aumentos regionales de flujo, sobre todo en hipocampo</t>
  </si>
  <si>
    <t xml:space="preserve">Sin efectos adversos graves</t>
  </si>
  <si>
    <t xml:space="preserve">cita encontrada; cifra no comprobable en el resumen (PMID 42478598)</t>
  </si>
  <si>
    <t xml:space="preserve">PMID 42478598; DOI 10.1002/alz.71605</t>
  </si>
  <si>
    <t xml:space="preserve">https://europepmc.org/article/MED/42478598</t>
  </si>
  <si>
    <t xml:space="preserve">Niacina (dieta)</t>
  </si>
  <si>
    <t xml:space="preserve">Niacina en la dieta (observacional)</t>
  </si>
  <si>
    <t xml:space="preserve">Vitamina B3; contexto Hoffer</t>
  </si>
  <si>
    <t xml:space="preserve">Morris MC, Evans DA, ... Aggarwal N. Dietary niacin and the risk of incident Alzheimer's disease and of cognitive decline. J Neurol Neurosurg Psychiatry 2004</t>
  </si>
  <si>
    <t xml:space="preserve">Cohorte prospectiva comunitaria (Chicago)</t>
  </si>
  <si>
    <t xml:space="preserve">6158 residentes; 3718 con datos dietéticos y 2 evaluaciones; 815 evaluados clínicamente, 131 con Alzheimer incidente</t>
  </si>
  <si>
    <t xml:space="preserve">Mayores de 65 sin Alzheimer inicial</t>
  </si>
  <si>
    <t xml:space="preserve">Seguimiento de 6 años (mediana 5,5)</t>
  </si>
  <si>
    <t xml:space="preserve">Niacina dietética por cuestionario de frecuencia; no es suplemento</t>
  </si>
  <si>
    <t xml:space="preserve">Alzheimer incidente y declive cognitivo</t>
  </si>
  <si>
    <t xml:space="preserve">Riesgos relativos de Alzheimer incidente de quintil 1 (referencia) a 5: 1,0; 0,3 (0,1 a 0,6); 0,3 (0,1 a 0,7); 0,6 (0,3 a 1,3); 0,3 (0,1 a 0,7), ajustados por edad, sexo, raza, educación y ApoE e4; mayor niacina de alimentos se asoció con declive cognitivo más lento</t>
  </si>
  <si>
    <t xml:space="preserve">no consta (es nutrición, no tratamiento)</t>
  </si>
  <si>
    <t xml:space="preserve">cita encontrada; cifra coincide (PMID 15258207)</t>
  </si>
  <si>
    <t xml:space="preserve">PMID 15258207; DOI 10.1136/jnnp.2003.025858</t>
  </si>
  <si>
    <t xml:space="preserve">https://europepmc.org/article/MED/15258207</t>
  </si>
  <si>
    <t xml:space="preserve">Vitaminas B (dosis altas)</t>
  </si>
  <si>
    <t xml:space="preserve">Vitaminas B altas (ácido fólico 0,8 mg, B12 0,5 mg, B6 20 mg) en MCI</t>
  </si>
  <si>
    <t xml:space="preserve">Reducción de homocisteína</t>
  </si>
  <si>
    <t xml:space="preserve">Smith AD, Smith SM, de Jager CA, ... Refsum H. VITACOG. PLoS One 2010</t>
  </si>
  <si>
    <t xml:space="preserve">Doble ciego controlado con placebo, un centro</t>
  </si>
  <si>
    <t xml:space="preserve">271 (168 completaron la RM: 85 tratamiento, 83 placebo)</t>
  </si>
  <si>
    <t xml:space="preserve">Mayores de 70 con deterioro cognitivo leve</t>
  </si>
  <si>
    <t xml:space="preserve">Ácido fólico 0,8 mg/d, B12 0,5 mg/d y B6 20 mg/d</t>
  </si>
  <si>
    <t xml:space="preserve">Tasa de atrofia cerebral total por RM seriada</t>
  </si>
  <si>
    <t xml:space="preserve">Atrofia media anual 0,76% (IC95% 0,63 a 0,90) en tratados frente a 1,08% (0,94 a 1,22) en placebo (P=0,001); con homocisteína basal mayor de 13 µmol/L la atrofia fue 53% menor en el grupo activo (P=0,001)</t>
  </si>
  <si>
    <t xml:space="preserve">Dosis del ensayo (arriba)</t>
  </si>
  <si>
    <t xml:space="preserve">cita encontrada; cifra coincide (PMID 20838622)</t>
  </si>
  <si>
    <t xml:space="preserve">PMID 20838622; DOI 10.1371/journal.pone.0012244; ISRCTN 94410159</t>
  </si>
  <si>
    <t xml:space="preserve">https://europepmc.org/article/MED/20838622</t>
  </si>
  <si>
    <t xml:space="preserve">Vitaminas B en dosis altas en Alzheimer (folato 5 mg, B6 25 mg, B12 1 mg)</t>
  </si>
  <si>
    <t xml:space="preserve">Aisen PS, Schneider LS, Sano M, ... Alzheimer Disease Cooperative Study. JAMA 2008</t>
  </si>
  <si>
    <t xml:space="preserve">Multicéntrico doble ciego controlado con placebo (60% tratamiento/40% placebo)</t>
  </si>
  <si>
    <t xml:space="preserve">409 (340 completaron: 202 tratamiento, 138 placebo)</t>
  </si>
  <si>
    <t xml:space="preserve">Alzheimer leve a moderado, MMSE 14-26, B12, folato y homocisteína normales</t>
  </si>
  <si>
    <t xml:space="preserve">Folato 5 mg/d, B6 25 mg/d, B12 1 mg/d</t>
  </si>
  <si>
    <t xml:space="preserve">Cambio en ADAS-Cog</t>
  </si>
  <si>
    <t xml:space="preserve">La pauta redujo la homocisteína (media -2,42 [DE 3,35] frente a -0,86 [2,59]); la conclusión del propio artículo es que 'no frena el declive cognitivo' en Alzheimer leve a moderado</t>
  </si>
  <si>
    <t xml:space="preserve">no consta en el resumen recuperado (cortado)</t>
  </si>
  <si>
    <t xml:space="preserve">cita encontrada; cifra coincide (PMID 18854539; NCT00056225)</t>
  </si>
  <si>
    <t xml:space="preserve">PMID 18854539; DOI 10.1001/jama.300.15.1774; NCT00056225</t>
  </si>
  <si>
    <t xml:space="preserve">https://europepmc.org/article/MED/18854539</t>
  </si>
  <si>
    <t xml:space="preserve">Vitamina E (alfa-tocoferol)</t>
  </si>
  <si>
    <t xml:space="preserve">Vitamina E 2000 UI/día (alfa-tocoferol) y/o memantina</t>
  </si>
  <si>
    <t xml:space="preserve">Vitaminas en dosis altas</t>
  </si>
  <si>
    <t xml:space="preserve">Dysken MW, Sano M, ... Guarino PD. TEAM-AD VA. JAMA 2014</t>
  </si>
  <si>
    <t xml:space="preserve">Doble ciego, grupos paralelos, 4 brazos, 14 centros VA</t>
  </si>
  <si>
    <t xml:space="preserve">613 aleatorizados, 561 analizados (E 140, memantina 142, combinación 139, placebo 140)</t>
  </si>
  <si>
    <t xml:space="preserve">Alzheimer leve a moderado con inhibidor de colinesterasa</t>
  </si>
  <si>
    <t xml:space="preserve">Seguimiento medio 2,27 años (DE 1,22)</t>
  </si>
  <si>
    <t xml:space="preserve">Alfa-tocoferol 2000 UI/día, memantina 20 mg/día, ambas o placebo</t>
  </si>
  <si>
    <t xml:space="preserve">ADCS-ADL (0-78)</t>
  </si>
  <si>
    <t xml:space="preserve">ADCS-ADL declinó 3,15 unidades menos con vitamina E que con placebo (IC95% 0,92 a 5,39; P ajustada=0,03), equivalente a un retraso de progresión del 19% por año o unos 6,2 meses; memantina 1,98 unidades menos (P=0,40); tiempo de cuidador aumentó menos con vitamina E</t>
  </si>
  <si>
    <t xml:space="preserve">El resumen menciona análisis de mortalidad y seguridad (cifras truncadas)</t>
  </si>
  <si>
    <t xml:space="preserve">Dosis del ensayo: 2000 UI/día de alfa-tocoferol</t>
  </si>
  <si>
    <t xml:space="preserve">cita encontrada; cifra coincide (PMID 24381967)</t>
  </si>
  <si>
    <t xml:space="preserve">PMID 24381967; DOI 10.1001/jama.2013.282834</t>
  </si>
  <si>
    <t xml:space="preserve">https://europepmc.org/article/MED/24381967</t>
  </si>
  <si>
    <t xml:space="preserve">AC-1202 (triglicérido de cadena media para cetosis)</t>
  </si>
  <si>
    <t xml:space="preserve">Cetonas como combustible alternativo</t>
  </si>
  <si>
    <t xml:space="preserve">Henderson ST, Vogel JL, Barr LJ, Garvin F, Jones JJ, Costantini LC. Nutr Metab 2009</t>
  </si>
  <si>
    <t xml:space="preserve">Multicéntrico doble ciego controlado con placebo</t>
  </si>
  <si>
    <t xml:space="preserve">Alzheimer leve a moderado, con dieta normal y fármacos habituales</t>
  </si>
  <si>
    <t xml:space="preserve">AC-1202 una vez al día (dosis no recuperada)</t>
  </si>
  <si>
    <t xml:space="preserve">ADAS-Cog y ADCS-CGIC</t>
  </si>
  <si>
    <t xml:space="preserve">Día 45: diferencia de 1,9 puntos de ADAS-Cog (p=0,0235) en ITT; 2,53 (p=0,0324) por protocolo; 2,6 (p=0,0215) en cumplidores; el efecto se reportó en no portadores de APOE4 (resumen truncado). El análisis farmacogenético posterior halló diferencia en no portadores de APOE4 con mejora notable en genotipo E3/E3</t>
  </si>
  <si>
    <t xml:space="preserve">Accera Inc. financió, diseñó el protocolo y analizó; autores empleados de Accera; Henderson tiene pocas acciones y es inventor de la patente US 6835750 (MCT para tratamiento)</t>
  </si>
  <si>
    <t xml:space="preserve">cita encontrada; cifra coincide (PMID 19664276; NCT00142805)</t>
  </si>
  <si>
    <t xml:space="preserve">https://europepmc.org/article/MED/19664276</t>
  </si>
  <si>
    <t xml:space="preserve">Dieta muy baja en carbohidratos 6 semanas</t>
  </si>
  <si>
    <t xml:space="preserve">Cetosis dietética</t>
  </si>
  <si>
    <t xml:space="preserve">Krikorian R, Shidler MD, Dangelo K, Couch SC, Benoit SC, Clegg DJ. Neurobiol Aging 2012</t>
  </si>
  <si>
    <t xml:space="preserve">Aleatorizado, dieta alta en carbohidratos frente a muy baja</t>
  </si>
  <si>
    <t xml:space="preserve">Mayores con deterioro cognitivo leve</t>
  </si>
  <si>
    <t xml:space="preserve">Muy baja en carbohidratos frente a alta en carbohidratos</t>
  </si>
  <si>
    <t xml:space="preserve">Mejor memoria verbal en el grupo bajo en carbohidratos (p=0,01); peso (p&lt;0,0001), cintura (p&lt;0,0001), glucosa (p=0,009), insulina (p=0,005); cetonas correlacionadas con memoria (p=0,04); sin efecto en depresión</t>
  </si>
  <si>
    <t xml:space="preserve">Dieta muy baja en carbohidratos 6 semanas (detalle no consta en el resumen)</t>
  </si>
  <si>
    <t xml:space="preserve">https://europepmc.org/article/MED/21130529</t>
  </si>
  <si>
    <t xml:space="preserve">Fórmula cetogénica con 20 g de MCT (50 g/día)</t>
  </si>
  <si>
    <t xml:space="preserve">MCT/cetonas (Japón)</t>
  </si>
  <si>
    <t xml:space="preserve">Ota M, Matsuo J, ... Kunugi H. Neurosci Lett 2019</t>
  </si>
  <si>
    <t xml:space="preserve">Prueba aguda cruzada con placebo isocalórico y luego ingesta crónica abierta</t>
  </si>
  <si>
    <t xml:space="preserve">20 (16 completaron las 12 semanas)</t>
  </si>
  <si>
    <t xml:space="preserve">Alzheimer leve a moderado, edad media 73,4 años</t>
  </si>
  <si>
    <t xml:space="preserve">Dosis única y hasta 12 semanas</t>
  </si>
  <si>
    <t xml:space="preserve">50 g diarios de Ketonformula con 20 g de MCT</t>
  </si>
  <si>
    <t xml:space="preserve">Tests neurocognitivos mensuales</t>
  </si>
  <si>
    <t xml:space="preserve">Tras dosis única, sin diferencia en ningún test frente a placebo; con ingesta crónica, a las 8 semanas mejora en memoria lógica inmediata y diferida frente a la basal y a las 12 semanas en digit-symbol coding y memoria lógica inmediata</t>
  </si>
  <si>
    <t xml:space="preserve">50 g diarios con 20 g de MCT, hasta 12 semanas (pauta del estudio)</t>
  </si>
  <si>
    <t xml:space="preserve">cita encontrada; cifra coincide (PMID 30367958)</t>
  </si>
  <si>
    <t xml:space="preserve">https://europepmc.org/article/MED/30367958</t>
  </si>
  <si>
    <t xml:space="preserve">Dieta mediterránea cetogénica modificada (MMKD)</t>
  </si>
  <si>
    <t xml:space="preserve">Kumar A, Sharma M, ... Deep G. Brain Commun 2022 (vesículas extracelulares) y Neth BJ et al., Commun Med 2025</t>
  </si>
  <si>
    <t xml:space="preserve">Cruce aleatorizado MMKD frente a dieta de la AHA, 6 semanas cada una con lavado de 6 semanas</t>
  </si>
  <si>
    <t xml:space="preserve">20 adultos mayores en el análisis de lipidoma</t>
  </si>
  <si>
    <t xml:space="preserve">Cognitivamente normales y deterioro cognitivo leve</t>
  </si>
  <si>
    <t xml:space="preserve">6 semanas por dieta</t>
  </si>
  <si>
    <t xml:space="preserve">MMKD frente a American Heart Association diet</t>
  </si>
  <si>
    <t xml:space="preserve">Biomarcadores en vesículas extracelulares neuronales, lipidoma, metabolómica en suero y LCR</t>
  </si>
  <si>
    <t xml:space="preserve">En MCI, la MMKD redujo Aβ1-42 (50,3%, P=0,011), p181-tau (34,9%, P=0,033) y neurofilamento ligero (54,2%, P=0,020) en vesículas extracelulares; el lipidoma con MMKD fue inverso a la firma lipídica de Alzheimer prevalente e incidente (n=1912)</t>
  </si>
  <si>
    <t xml:space="preserve">cita encontrada; cifra coincide (PMID 36337342)</t>
  </si>
  <si>
    <t xml:space="preserve">PMID 36337342; DOI 10.1093/braincomms/fcac262; PMID 39779882</t>
  </si>
  <si>
    <t xml:space="preserve">https://europepmc.org/article/MED/36337342</t>
  </si>
  <si>
    <t xml:space="preserve">Hericium erinaceus (melena de león, Yamabushitake)</t>
  </si>
  <si>
    <t xml:space="preserve">Micoterapia tradicional japonesa; incluida en listas de Bredesen</t>
  </si>
  <si>
    <t xml:space="preserve">Mori K, Inatomi S, Ouchi K, Azumi Y, Tuchida T. Phytother Res 2009</t>
  </si>
  <si>
    <t xml:space="preserve">Doble ciego controlado con placebo, grupos paralelos</t>
  </si>
  <si>
    <t xml:space="preserve">Japoneses de 50-80 años con deterioro cognitivo leve</t>
  </si>
  <si>
    <t xml:space="preserve">16 semanas más 4 de observación</t>
  </si>
  <si>
    <t xml:space="preserve">Cuatro comprimidos de 250 mg (96% polvo seco) tres veces al día</t>
  </si>
  <si>
    <t xml:space="preserve">Escala HDS-R</t>
  </si>
  <si>
    <t xml:space="preserve">A las semanas 8, 12 y 16 el grupo activo mostró puntuaciones significativamente mayores que placebo; a 4 semanas tras suspender las puntuaciones bajaron significativamente</t>
  </si>
  <si>
    <t xml:space="preserve">Las pruebas de laboratorio no mostraron efectos adversos</t>
  </si>
  <si>
    <t xml:space="preserve">4 comprimidos de 250 mg tres veces al día 16 semanas (3 g/día de polvo)</t>
  </si>
  <si>
    <t xml:space="preserve">cita encontrada; cifra coincide (PMID 18844328)</t>
  </si>
  <si>
    <t xml:space="preserve">PMID 18844328; DOI 10.1002/ptr.2634</t>
  </si>
  <si>
    <t xml:space="preserve">https://europepmc.org/article/MED/18844328</t>
  </si>
  <si>
    <t xml:space="preserve">EGCG (té verde)</t>
  </si>
  <si>
    <t xml:space="preserve">EGCG 100 mg más intervención multimodal de estilo de vida en portadores ApoE4</t>
  </si>
  <si>
    <t xml:space="preserve">Polifenoles y estilo de vida</t>
  </si>
  <si>
    <t xml:space="preserve">ClinicalTrials.gov NCT03978052, Parc de Salut Mar</t>
  </si>
  <si>
    <t xml:space="preserve">Ensayo con EGCG o placebo y consejos de estilo de vida o intervención multimodal</t>
  </si>
  <si>
    <t xml:space="preserve">Portadores ApoE4 con declive cognitivo subjetivo</t>
  </si>
  <si>
    <t xml:space="preserve">12 meses; completado 2023-06-28</t>
  </si>
  <si>
    <t xml:space="preserve">EGCG (cápsulas de 100 mg): 3 cápsulas/día si peso menos de 50 kg y 5 si más; dieta mediterránea con 9 sesiones, actividad física guiada, entrenamiento cognitivo</t>
  </si>
  <si>
    <t xml:space="preserve">ADCS-PACC modificada con funciones ejecutivas (PACC-exe)</t>
  </si>
  <si>
    <t xml:space="preserve">Patrocinador Parc de Salut Mar</t>
  </si>
  <si>
    <t xml:space="preserve">Dosis EGCG del registro (100 mg por cápsula, 3-5 al día)</t>
  </si>
  <si>
    <t xml:space="preserve">cita encontrada; cifra coincide (NCT03978052)</t>
  </si>
  <si>
    <t xml:space="preserve">NCT03978052</t>
  </si>
  <si>
    <t xml:space="preserve">https://clinicaltrials.gov/study/NCT03978052</t>
  </si>
  <si>
    <t xml:space="preserve">Biotoxinas (CIRS)</t>
  </si>
  <si>
    <t xml:space="preserve">Alzheimer inhalacional (tipo 3) por biotoxinas y micotoxinas</t>
  </si>
  <si>
    <t xml:space="preserve">Bredesen, CIRS</t>
  </si>
  <si>
    <t xml:space="preserve">Bredesen DE. Inhalational Alzheimer's disease: an unrecognized - and treatable - epidemic. Aging 2016</t>
  </si>
  <si>
    <t xml:space="preserve">Descripción de subtipo y casos</t>
  </si>
  <si>
    <t xml:space="preserve">Declive cognitivo con sospecha de exposición a micotoxinas</t>
  </si>
  <si>
    <t xml:space="preserve">Identificación de exposición a biotoxinas y tratamiento de CIRS (detalle no recuperado)</t>
  </si>
  <si>
    <t xml:space="preserve">Subtipos de Alzheimer (inflamatorio, atrófico, cortical)</t>
  </si>
  <si>
    <t xml:space="preserve">El autor afirma que el tipo 3 es el resultado de exposición a toxinas específicas, sobre todo inhalatoria, y que su reconocimiento ofrece oportunidad de tratamiento; el resumen no da cifras</t>
  </si>
  <si>
    <t xml:space="preserve">cita encontrada; cifra no comprobable en el resumen (PMID 26870879)</t>
  </si>
  <si>
    <t xml:space="preserve">PMID 26870879; DOI 10.18632/aging.100896</t>
  </si>
  <si>
    <t xml:space="preserve">https://europepmc.org/article/MED/26870879</t>
  </si>
  <si>
    <t xml:space="preserve">Ayurveda (perfilado de subtipos)</t>
  </si>
  <si>
    <t xml:space="preserve">Perfilado ayurvédico del Alzheimer según subtipos ReCODE</t>
  </si>
  <si>
    <t xml:space="preserve">Ayurveda (India) aplicada al protocolo MEND</t>
  </si>
  <si>
    <t xml:space="preserve">Bredesen DE, Rao RV. Ayurvedic Profiling of Alzheimer's Disease. Altern Ther Health Med 2017</t>
  </si>
  <si>
    <t xml:space="preserve">Comentario conceptual</t>
  </si>
  <si>
    <t xml:space="preserve">Alzheimer según el perfil metabólico de pacientes MEND</t>
  </si>
  <si>
    <t xml:space="preserve">Tres subtipos: Vata, Pitta y Krimi para intervención específica de Ayurveda</t>
  </si>
  <si>
    <t xml:space="preserve">No mide</t>
  </si>
  <si>
    <t xml:space="preserve">Describe 3 subtipos ayurvédicos que, según los autores, serán útiles para intervenciones específicas; sin cifras</t>
  </si>
  <si>
    <t xml:space="preserve">cita encontrada; cifra no comprobable en el resumen (PMID 28236613)</t>
  </si>
  <si>
    <t xml:space="preserve">PMID 28236613</t>
  </si>
  <si>
    <t xml:space="preserve">https://europepmc.org/article/MED/28236613</t>
  </si>
  <si>
    <t xml:space="preserve">Revisión de enfoques multifactoriales para revertir el declive cognitivo</t>
  </si>
  <si>
    <t xml:space="preserve">Bredesen/Apollo Health</t>
  </si>
  <si>
    <t xml:space="preserve">Rao RV, Subramaniam KG, Gregory J, Bredesen AL, Coward C, Okada S, Kelly L, Bredesen DE. Int J Mol Sci 2023</t>
  </si>
  <si>
    <t xml:space="preserve">Revisión narrativa de programas multicomponente</t>
  </si>
  <si>
    <t xml:space="preserve">Alzheimer y MCI</t>
  </si>
  <si>
    <t xml:space="preserve">Programas de estilo de vida, actividad física y mental y nutrición</t>
  </si>
  <si>
    <t xml:space="preserve">Efectos cognitivos de programas multicomponente</t>
  </si>
  <si>
    <t xml:space="preserve">Los autores concluyen que un programa multiterapéutico que apunte simultáneamente a varios factores puede ser más eficaz que una monoterapia; el resumen no da cifras</t>
  </si>
  <si>
    <t xml:space="preserve">autores de Apollo Health</t>
  </si>
  <si>
    <t xml:space="preserve">cita encontrada; cifra no comprobable en el resumen (PMID 36675177)</t>
  </si>
  <si>
    <t xml:space="preserve">PMID 36675177; DOI 10.3390/ijms24021659</t>
  </si>
  <si>
    <t xml:space="preserve">https://europepmc.org/article/MED/36675177</t>
  </si>
  <si>
    <t xml:space="preserve">Foro Mayo Clinic Connect sobre el protocolo Bredesen</t>
  </si>
  <si>
    <t xml:space="preserve">Foro de cuidadores</t>
  </si>
  <si>
    <t xml:space="preserve">Mayo Clinic Connect, hilo 'Has anyone tried the Bredesen Protocol for Alzheimer's and Dementia?'</t>
  </si>
  <si>
    <t xml:space="preserve">Comentarios de usuarios</t>
  </si>
  <si>
    <t xml:space="preserve">Cuidadores</t>
  </si>
  <si>
    <t xml:space="preserve">Ayuno y volumen de comida del protocolo (según una cuidadora)</t>
  </si>
  <si>
    <t xml:space="preserve">Experiencias</t>
  </si>
  <si>
    <t xml:space="preserve">Una cuidadora de más de 14 años dice que el ayuno y la cantidad de comida del protocolo habrían sido imposibles y muy negativos para su esposa; otro comenta que nunca encontró investigación que revirtiera la enfermedad (según resumen de buscador; la página dio 403 al abrirla)</t>
  </si>
  <si>
    <t xml:space="preserve">Intolerancia al ayuno y a la cantidad de comida (testimonio)</t>
  </si>
  <si>
    <t xml:space="preserve">página no accesible (https://connect.mayoclinic.org/comment/1612475/ (403))</t>
  </si>
  <si>
    <t xml:space="preserve">https://connect.mayoclinic.org/comment/1612475/</t>
  </si>
  <si>
    <t xml:space="preserve">Testimonio de cuidadora y recuperación en clínica (Pacific Neuroscience Institute)</t>
  </si>
  <si>
    <t xml:space="preserve">Clínica, testimonio</t>
  </si>
  <si>
    <t xml:space="preserve">Pacific Neuroscience Institute, 'A Caregiver's Story: The Fight Against Alzheimer's'</t>
  </si>
  <si>
    <t xml:space="preserve">Testimonio en web de clínica</t>
  </si>
  <si>
    <t xml:space="preserve">Paciente con Alzheimer</t>
  </si>
  <si>
    <t xml:space="preserve">meses</t>
  </si>
  <si>
    <t xml:space="preserve">Protocolo Bredesen (según resumen de buscador)</t>
  </si>
  <si>
    <t xml:space="preserve">Memoria referida</t>
  </si>
  <si>
    <t xml:space="preserve">Según el resumen del buscador, la memoria empezó a mejorar en pocos meses tras comenzar el protocolo; texto original no abierto</t>
  </si>
  <si>
    <t xml:space="preserve">Web de clínica; promocional</t>
  </si>
  <si>
    <t xml:space="preserve">página no accesible (https://www.pacificneuroscienceinstitute.org/?p=15942 (404))</t>
  </si>
  <si>
    <t xml:space="preserve">https://www.pacificneuroscienceinstitute.org/?p=15942</t>
  </si>
  <si>
    <t xml:space="preserve">Medicina funcional (Kharrazian)</t>
  </si>
  <si>
    <t xml:space="preserve">Medicina funcional de la neurodegeneración (Kharrazian)</t>
  </si>
  <si>
    <t xml:space="preserve">Medicina funcional</t>
  </si>
  <si>
    <t xml:space="preserve">Kharrazian D. Functional Medicine Approaches to Neurodegeneration. Phys Med Rehabil Clin N Am 2022</t>
  </si>
  <si>
    <t xml:space="preserve">Revisión</t>
  </si>
  <si>
    <t xml:space="preserve">Enfermedades neurodegenerativas</t>
  </si>
  <si>
    <t xml:space="preserve">El resumen indica 6 millones de estadounidenses con neurodegeneración y plantea necesidad de estrategias de tratamiento; sin cifras de resultados</t>
  </si>
  <si>
    <t xml:space="preserve">cita encontrada; cifra coincide (PMID 35989061)</t>
  </si>
  <si>
    <t xml:space="preserve">PMID 35989061; DOI 10.1016/j.pmr.2022.04.011</t>
  </si>
  <si>
    <t xml:space="preserve">https://europepmc.org/article/MED/35989061</t>
  </si>
  <si>
    <t xml:space="preserve">SPECT cerebral (Amen)</t>
  </si>
  <si>
    <t xml:space="preserve">SPECT cerebral como guía clínica (Amen Clinics)</t>
  </si>
  <si>
    <t xml:space="preserve">Daniel Amen, imagen funcional</t>
  </si>
  <si>
    <t xml:space="preserve">Amen DG, Easton M. A New Way Forward: How Brain SPECT Imaging Can Improve Outcomes. Front Psychiatry 2021</t>
  </si>
  <si>
    <t xml:space="preserve">Artículo de posición</t>
  </si>
  <si>
    <t xml:space="preserve">Psiquiatría clínica incluyendo demencia</t>
  </si>
  <si>
    <t xml:space="preserve">SPECT cerebral en pacientes complejos</t>
  </si>
  <si>
    <t xml:space="preserve">Los autores proponen siete aplicaciones clínicas de SPECT, incluida la demencia; sin cifras</t>
  </si>
  <si>
    <t xml:space="preserve">cita encontrada; cifra no comprobable en el resumen (PMID 34955905)</t>
  </si>
  <si>
    <t xml:space="preserve">PMID 34955905; DOI 10.3389/fpsyt.2021.715315</t>
  </si>
  <si>
    <t xml:space="preserve">https://europepmc.org/article/MED/34955905</t>
  </si>
  <si>
    <t xml:space="preserve">Perfusión cerebral SPECT y obesidad</t>
  </si>
  <si>
    <t xml:space="preserve">Amen DG, Wu J, George N, Newberg A. J Alzheimers Dis 2020</t>
  </si>
  <si>
    <t xml:space="preserve">Transversal con SPECT</t>
  </si>
  <si>
    <t xml:space="preserve">17.721 adultos (35.442 escáneres)</t>
  </si>
  <si>
    <t xml:space="preserve">Cohorte psiquiátrica, edad media 40,8 años</t>
  </si>
  <si>
    <t xml:space="preserve">No hay intervención</t>
  </si>
  <si>
    <t xml:space="preserve">Perfusión SPECT en reposo y concentración según IMC</t>
  </si>
  <si>
    <t xml:space="preserve">Mayor IMC se correlacionó con menor perfusión en reposo y concentración en prácticamente todas las regiones, incluido el hipocampo</t>
  </si>
  <si>
    <t xml:space="preserve">cita encontrada; cifra coincide (PMID 32773393)</t>
  </si>
  <si>
    <t xml:space="preserve">PMID 32773393; DOI 10.3233/jad-200655</t>
  </si>
  <si>
    <t xml:space="preserve">https://europepmc.org/article/MED/32773393</t>
  </si>
  <si>
    <t xml:space="preserve">hormonas_peptidos</t>
  </si>
  <si>
    <t xml:space="preserve">Cerebrolisina</t>
  </si>
  <si>
    <t xml:space="preserve">Cerebrolisina (i.v.)</t>
  </si>
  <si>
    <t xml:space="preserve">Péptidos neurotróficos porcinos; escuela rusa/europea oriental</t>
  </si>
  <si>
    <t xml:space="preserve">Selezneva ND, Gavrilova SI. 2023. Zh Nevrol Psikhiatr Im S S Korsakova</t>
  </si>
  <si>
    <t xml:space="preserve">Estudio comparativo prospectivo con grupo no tratado</t>
  </si>
  <si>
    <t xml:space="preserve">88 (46 tratados, 42 no tratados)</t>
  </si>
  <si>
    <t xml:space="preserve">Familiares de primer grado de pacientes con Alzheimer con deterioro amnésico leve, 50-82 años</t>
  </si>
  <si>
    <t xml:space="preserve">30 meses (3 cursos anuales + seguimiento a 3 meses)</t>
  </si>
  <si>
    <t xml:space="preserve">3 cursos anuales de 20 infusiones i.v. de 20 ml de cerebrolisina en 100 ml de salino</t>
  </si>
  <si>
    <t xml:space="preserve">Escalas y pruebas cognitivas, CGI-I, conversión a demencia</t>
  </si>
  <si>
    <t xml:space="preserve">CGI-I: mejoría marcada o moderada en 95,7% tras el 3er curso; 'ausencia de casos de conversión de aMCI a demencia en los pacientes tratados durante 2,5 años de observación'</t>
  </si>
  <si>
    <t xml:space="preserve">No es de uso doméstico (infusión i.v.); el protocolo es el de la fila</t>
  </si>
  <si>
    <t xml:space="preserve">cita encontrada; cifra coincide; verificado: PMID 37655416 (Europa PMC: título y año 2023 coinciden)</t>
  </si>
  <si>
    <t xml:space="preserve">PMID 37655416; DOI 10.17116/jnevro202312308190</t>
  </si>
  <si>
    <t xml:space="preserve">https://doi.org/10.17116/jnevro202312308190</t>
  </si>
  <si>
    <t xml:space="preserve">Escuela rusa</t>
  </si>
  <si>
    <t xml:space="preserve">Ponomareva EV, Androsova LV, Krynskiy SA, Gavrilova SI. 2024. Zh Nevrol Psikhiatr Im S S Korsakova</t>
  </si>
  <si>
    <t xml:space="preserve">Estudio prospectivo comparativo, abierto, asignación aleatoria a 2 grupos</t>
  </si>
  <si>
    <t xml:space="preserve">100 (50 y 50)</t>
  </si>
  <si>
    <t xml:space="preserve">3 años</t>
  </si>
  <si>
    <t xml:space="preserve">Curso anual de 20 infusiones i.v. de 20 ml en 100 ml de salino durante 4 semanas, 3 años</t>
  </si>
  <si>
    <t xml:space="preserve">Progresión cognitiva y conversión a demencia</t>
  </si>
  <si>
    <t xml:space="preserve">'Lower progression of cognitive deficits and a significantly lower conversion rate to dementia' en tratados frente a sin terapia (cifras no en el resumen)</t>
  </si>
  <si>
    <t xml:space="preserve">No aplica (i.v.)</t>
  </si>
  <si>
    <t xml:space="preserve">cita encontrada; cifra coincide; verificado: PMID 39435777 (Europa PMC: título y año 2024 coinciden); resultado cualitativo; el texto citado aparece en el resumen</t>
  </si>
  <si>
    <t xml:space="preserve">PMID 39435777; DOI 10.17116/jnevro202412409151</t>
  </si>
  <si>
    <t xml:space="preserve">https://doi.org/10.17116/jnevro202412409151</t>
  </si>
  <si>
    <t xml:space="preserve">Cerebrolisina 30 ml/día</t>
  </si>
  <si>
    <t xml:space="preserve">Meta-análisis financiado por el entorno del fabricante (a verificar)</t>
  </si>
  <si>
    <t xml:space="preserve">Gauthier S, Proaño JV, Jia J, Froelich L, Vester JC, Doppler E. 2015. Dement Geriatr Cogn Disord</t>
  </si>
  <si>
    <t xml:space="preserve">Meta-análisis de 6 ensayos doble ciego controlados con placebo</t>
  </si>
  <si>
    <t xml:space="preserve">4 semanas y 6 meses</t>
  </si>
  <si>
    <t xml:space="preserve">30 ml/día</t>
  </si>
  <si>
    <t xml:space="preserve">Función cognitiva (SMD), cambio clínico global (OR), 'beneficio global'</t>
  </si>
  <si>
    <t xml:space="preserve">Cognición a 4 sem: SMD -0,40 (IC95% -0,66 a -0,13; p=0,0031); a 6 meses SMD -0,37 (IC -0,90 a 0,16; p=0,1710). Cambio global a 4 sem OR 3,32 (1,20-9,21; p=0,0212); a 6 meses OR 4,98 (1,37-18,13; p=0,0150). Beneficio global MW 0,57 (0,53-0,61) p=0,0006 y p=0,0010</t>
  </si>
  <si>
    <t xml:space="preserve">'Safety ... comparable to placebo'</t>
  </si>
  <si>
    <t xml:space="preserve">no consta en el resumen (varios autores figuran como Doppler E y Vester JC; no verifiqué su vínculo con Ever Neuro Pharma)</t>
  </si>
  <si>
    <t xml:space="preserve">cita encontrada; cifra coincide; verificado: PMID 25832905 (Europa PMC: título y año 2015 coinciden)</t>
  </si>
  <si>
    <t xml:space="preserve">PMID 25832905</t>
  </si>
  <si>
    <t xml:space="preserve">https://doi.org/10.1159/000377672</t>
  </si>
  <si>
    <t xml:space="preserve">Cerebrolisina 10 ml vs donepezilo 10 mg vs combinación</t>
  </si>
  <si>
    <t xml:space="preserve">Alvarez XA, Cacabelos R, Sampedro C y cols. 2011. Curr Alzheimer Res</t>
  </si>
  <si>
    <t xml:space="preserve">Doble ciego, 3 brazos</t>
  </si>
  <si>
    <t xml:space="preserve">197 (64 cerebrolisina, 66 donepezilo, 67 combinación)</t>
  </si>
  <si>
    <t xml:space="preserve">Alzheimer probable leve-moderado, MMSE 12-25</t>
  </si>
  <si>
    <t xml:space="preserve">28 semanas</t>
  </si>
  <si>
    <t xml:space="preserve">Cerebrolisina 10 ml; donepezilo 10 mg; ambos</t>
  </si>
  <si>
    <t xml:space="preserve">CIBIC+, ADAS-cog+, ADCS-ADL, NPI</t>
  </si>
  <si>
    <t xml:space="preserve">Sin diferencias significativas entre grupos en cognición, función y conducta; 'improvements in global outcome favored Cerebrolysin and the combination'. ADAS-cog+ cambio medio±DE: cerebrolisina -1,7±7,5; donepezilo -1,2±6,1; combinación -2,3±6,0</t>
  </si>
  <si>
    <t xml:space="preserve">'The combination ... was safe'</t>
  </si>
  <si>
    <t xml:space="preserve">no consta en el resumen; coautores Baurecht W, Doppler E, Moessler H; promotor del registro NCT00911807: Ever Neuro Pharma</t>
  </si>
  <si>
    <t xml:space="preserve">cita encontrada; cifra coincide; verificado: PMID 21679156 (Europa PMC: título y año 2011 coinciden); ClinicalTrials.gov NCT00911807 existe (COMPLETED, con resultados, n=217 real)</t>
  </si>
  <si>
    <t xml:space="preserve">PMID 21679156; NCT00911807</t>
  </si>
  <si>
    <t xml:space="preserve">https://doi.org/10.2174/156720511796391863</t>
  </si>
  <si>
    <t xml:space="preserve">Estudio de envejecimiento en ratón (México)</t>
  </si>
  <si>
    <t xml:space="preserve">Aguilar-Hernández L, Flores-Gómez GD, Nacher J, Morales-Medina JC, Flores G. 2025. Neurochem Res</t>
  </si>
  <si>
    <t xml:space="preserve">Tratamiento crónico en ratones C57BL6 de 3, 6, 12 y 18 meses</t>
  </si>
  <si>
    <t xml:space="preserve">Ratones envejecidos</t>
  </si>
  <si>
    <t xml:space="preserve">crónico (no consta en resumen)</t>
  </si>
  <si>
    <t xml:space="preserve">Reconocimiento de objetos, densidad de espinas dendríticas, β-actina, sinaptofisina, BDNF</t>
  </si>
  <si>
    <t xml:space="preserve">Cerebrolisina aumentó la densidad de espinas en hipocampo dorsal y amígdala basolateral, promovió espinas maduras y elevó β-actina, sinaptofisina y BDNF en el grupo de 18 meses; mejoró memoria a corto plazo en el grupo de 12 meses</t>
  </si>
  <si>
    <t xml:space="preserve">Consejo Nacional de Humanidades, Ciencias y Tecnologías (México)</t>
  </si>
  <si>
    <t xml:space="preserve">cita encontrada; cifra coincide; verificado: PMID 41460391 (Europa PMC: título y año 2025 coinciden); resultado cualitativo; el texto citado aparece en el resumen</t>
  </si>
  <si>
    <t xml:space="preserve">PMID 41460391</t>
  </si>
  <si>
    <t xml:space="preserve">https://doi.org/10.1007/s11064-025-04627-0</t>
  </si>
  <si>
    <t xml:space="preserve">Semax</t>
  </si>
  <si>
    <t xml:space="preserve">Semax y derivado</t>
  </si>
  <si>
    <t xml:space="preserve">Péptido ACTH-like, Rusia</t>
  </si>
  <si>
    <t xml:space="preserve">Radchenko AI, Kuzubova EV, Apostol AA y cols. (Myasoedov NF, Makarov AA). 2025. Acta Naturae</t>
  </si>
  <si>
    <t xml:space="preserve">Ratones transgénicos APPswe/PS1dE9/Blg, campo abierto, reconocimiento de objeto nuevo, laberinto de Barnes, histología</t>
  </si>
  <si>
    <t xml:space="preserve">Animales (modelo de Alzheimer)</t>
  </si>
  <si>
    <t xml:space="preserve">Conducta y número de inclusiones amiloides en corteza e hipocampo</t>
  </si>
  <si>
    <t xml:space="preserve">Ambos péptidos 'improved cognitive functions in mice' y 'reduced the number of amyloid inclusions in the cortex and hippocampus' (sin cifras en el resumen)</t>
  </si>
  <si>
    <t xml:space="preserve">cita encontrada; cifra coincide; verificado: PMID 41479572 (Europa PMC: título y año 2025 coinciden); resultado cualitativo; el texto citado aparece en el resumen</t>
  </si>
  <si>
    <t xml:space="preserve">PMID 41479572</t>
  </si>
  <si>
    <t xml:space="preserve">https://doi.org/10.32607/actanaturae.27808</t>
  </si>
  <si>
    <t xml:space="preserve">Péptido sintético, química bioinorgánica</t>
  </si>
  <si>
    <t xml:space="preserve">Tomasello MF, Di Rosa MC, Naletova I, Sciacca MFM, Giuffrida A, Maccarrone G, Attanasio F. 2025. Bioinorg Chem Appl</t>
  </si>
  <si>
    <t xml:space="preserve">In vitro; células SH-SY5Y</t>
  </si>
  <si>
    <t xml:space="preserve">Células</t>
  </si>
  <si>
    <t xml:space="preserve">Extracción de Cu(II) del complejo Cu(II)-Aβ, ROS, citotoxicidad</t>
  </si>
  <si>
    <t xml:space="preserve">Semax 'is able to extract Cu(II) from Cu(II)-aβ species', reduce la producción de ROS asociada y muestra 'cytoprotective properties for SH-SY5Y cells'</t>
  </si>
  <si>
    <t xml:space="preserve">cita encontrada; cifra coincide; verificado: PMID 40496623 (Europa PMC: título y año 2025 coinciden); resultado cualitativo; el texto citado aparece en el resumen</t>
  </si>
  <si>
    <t xml:space="preserve">PMID 40496623</t>
  </si>
  <si>
    <t xml:space="preserve">https://doi.org/10.1155/bca/4226220</t>
  </si>
  <si>
    <t xml:space="preserve">Semax y selank (uso directo al consumidor)</t>
  </si>
  <si>
    <t xml:space="preserve">Biohacking; registro clínico real</t>
  </si>
  <si>
    <t xml:space="preserve">Marwaha A, Venkatakrishnan A, Varma G, Shiv S, Hollmer N, Mu... 2026. Preprint (Preprints.org)</t>
  </si>
  <si>
    <t xml:space="preserve">Curación de notas clínicas con LLM y adjudicación médica (red nference)</t>
  </si>
  <si>
    <t xml:space="preserve">43 con mención de semax y 39 de selank; 49 con uso confirmado</t>
  </si>
  <si>
    <t xml:space="preserve">Pacientes con notas clínicas (no específico de Alzheimer)</t>
  </si>
  <si>
    <t xml:space="preserve">Vía intranasal en 37%; mención de 'stacking'</t>
  </si>
  <si>
    <t xml:space="preserve">Frecuencia y motivo de uso</t>
  </si>
  <si>
    <t xml:space="preserve">Menciones crecen 14% (semax) y 16% (selank) trimestre a trimestre; uso confirmado en 22 (51%) y 27 (69%); motivos: mejora cognitiva 28,6% y ánimo/ansiedad/estrés 28,6%; concordancia médico-LLM 164/165 (99,4%)</t>
  </si>
  <si>
    <t xml:space="preserve">no consta en el fragmento leído</t>
  </si>
  <si>
    <t xml:space="preserve">cita encontrada; cifra coincide; verificado: DOI 10.20944/preprints202609.2396.v1 (Europa PMC, preprint: título y año 2026 coinciden)</t>
  </si>
  <si>
    <t xml:space="preserve">DOI 10.20944/preprints202609.2396.v1</t>
  </si>
  <si>
    <t xml:space="preserve">https://doi.org/10.20944/preprints202609.2396.v1</t>
  </si>
  <si>
    <t xml:space="preserve">Péptidos de biohacking</t>
  </si>
  <si>
    <t xml:space="preserve">Péptidos de biohacking (semax, selank y otros)</t>
  </si>
  <si>
    <t xml:space="preserve">Crítica de salud pública</t>
  </si>
  <si>
    <t xml:space="preserve">Hailu KT, Abriha FN, Duguma YM, Haddad RR, Liyew T, Kasagga A. 2026. Cureus</t>
  </si>
  <si>
    <t xml:space="preserve">Consumidores</t>
  </si>
  <si>
    <t xml:space="preserve">Autoinyección, apilado e 'informal titration' descritos</t>
  </si>
  <si>
    <t xml:space="preserve">Riesgos del mercado gris de péptidos</t>
  </si>
  <si>
    <t xml:space="preserve">Describe 'product-quality uncertainty', identidad, pureza, potencia y esterilidad inciertas y farmacovigilancia débil</t>
  </si>
  <si>
    <t xml:space="preserve">Riesgos generales descritos; sin cifras en el resumen</t>
  </si>
  <si>
    <t xml:space="preserve">cita encontrada; cifra coincide; verificado: PMID 42437212 (Europa PMC: título y año 2026 coinciden); resultado cualitativo; el texto citado aparece en el resumen</t>
  </si>
  <si>
    <t xml:space="preserve">PMID 42437212</t>
  </si>
  <si>
    <t xml:space="preserve">https://doi.org/10.7759/cureus.110657</t>
  </si>
  <si>
    <t xml:space="preserve">Nicotinamida ribósido (NR)</t>
  </si>
  <si>
    <t xml:space="preserve">NAD+</t>
  </si>
  <si>
    <t xml:space="preserve">Martens CR, Decker KP, DeConne TM y cols. 2026. Alzheimers Dement</t>
  </si>
  <si>
    <t xml:space="preserve">Fase II piloto doble ciego controlado con placebo</t>
  </si>
  <si>
    <t xml:space="preserve">NR (dosis no consta en el resumen)</t>
  </si>
  <si>
    <t xml:space="preserve">Cognición (primario), flujo sanguíneo cerebral, presión arterial, NAD+ en sangre</t>
  </si>
  <si>
    <t xml:space="preserve">NAD+ en sangre aumentó el doble; 'no improvements in cognitive function (primary outcome), total CBF, or blood pressure'; análisis exploratorio: 'potential increases in regional CBF, particularly in the hippocampus'</t>
  </si>
  <si>
    <t xml:space="preserve">'no serious adverse effects'</t>
  </si>
  <si>
    <t xml:space="preserve">NIA, NIGMS (NIH)</t>
  </si>
  <si>
    <t xml:space="preserve">No describe pautas domésticas</t>
  </si>
  <si>
    <t xml:space="preserve">cita encontrada; cifra coincide; verificado: PMID 42478598 (Europa PMC: título y año 2026 coinciden)</t>
  </si>
  <si>
    <t xml:space="preserve">PMID 42478598</t>
  </si>
  <si>
    <t xml:space="preserve">https://doi.org/10.1002/alz.71605</t>
  </si>
  <si>
    <t xml:space="preserve">Activadores metabólicos combinados (serina, NR, NAC, L-carnitina)</t>
  </si>
  <si>
    <t xml:space="preserve">Metabolismo/NAD+, grupo sueco-turco</t>
  </si>
  <si>
    <t xml:space="preserve">Yulug B, Altay O, Li X y cols. (Mardinoglu A). 2023. Transl Neurodegener</t>
  </si>
  <si>
    <t xml:space="preserve">Fase II doble ciego controlado con placebo</t>
  </si>
  <si>
    <t xml:space="preserve">no consta en el resumen (el registro NCT04044131 da 120)</t>
  </si>
  <si>
    <t xml:space="preserve">1 dosis = 12,35 g L-serina + 1 g NR + 2,55 g NAC + 3,73 g L-carnitina tartrato; una dosis diaria días 1-28 y dos al día entre días 28 y 84</t>
  </si>
  <si>
    <t xml:space="preserve">ADAS-Cog, actividades de la vida diaria, metaboloma y proteoma, MRI</t>
  </si>
  <si>
    <t xml:space="preserve">ADAS-Cog día 84 vs día 0: P=0,00001, 29% de mejora en el grupo CMA; frente a placebo, P=0,0073 en pacientes con ADAS-Cog más alto; mejoras en volúmenes hipocampales y grosor cortical</t>
  </si>
  <si>
    <t xml:space="preserve">Seguridad/tolerabilidad como objetivo secundario; detalle no en el resumen</t>
  </si>
  <si>
    <t xml:space="preserve">Royal Institute of Technology; Knut och Alice Wallenbergs Stiftelse</t>
  </si>
  <si>
    <t xml:space="preserve">Pautas como en la fila (ingredientes disponibles como suplementos)</t>
  </si>
  <si>
    <t xml:space="preserve">cita encontrada; cifra coincide; verificado: PMID 36703196 (Europa PMC: título y año 2023 coinciden); ClinicalTrials.gov NCT04044131 existe (COMPLETED, sin resultados, n=120)</t>
  </si>
  <si>
    <t xml:space="preserve">PMID 36703196; NCT04044131</t>
  </si>
  <si>
    <t xml:space="preserve">https://doi.org/10.1186/s40035-023-00336-2</t>
  </si>
  <si>
    <t xml:space="preserve">Nicotinamida (vitamina B3) dosis alta</t>
  </si>
  <si>
    <t xml:space="preserve">NAD+ / HDAC</t>
  </si>
  <si>
    <t xml:space="preserve">Ketron GL, Grun F, Grill JD, Feldman HH, Rissman RA, Brewer GJ. 2025. Alzheimers Res Ther (análisis post hoc del ensayo NEAT)</t>
  </si>
  <si>
    <t xml:space="preserve">Análisis farmacocinético post hoc de un ensayo fase 2a controlado con placebo</t>
  </si>
  <si>
    <t xml:space="preserve">47 (23 fármaco, 24 placebo)</t>
  </si>
  <si>
    <t xml:space="preserve">Alzheimer precoz</t>
  </si>
  <si>
    <t xml:space="preserve">1500 mg por vía oral dos veces al día</t>
  </si>
  <si>
    <t xml:space="preserve">Nicotinamida y metil-nicotinamida en plasma y LCR; pTau231</t>
  </si>
  <si>
    <t xml:space="preserve">Nicotinamida plasmática &gt;130 veces (a 52 μM); en LCR medible solo en 6 de 19 (32%); en esos 6, pTau231 bajó 34% frente a +3% en los que no, y -3% placebo. El ensayo no redujo significativamente pTau231 en LCR (primario)</t>
  </si>
  <si>
    <t xml:space="preserve">'good safety and tolerability'</t>
  </si>
  <si>
    <t xml:space="preserve">Alzheimer's Association Zenith Award; NIA; UC Cures</t>
  </si>
  <si>
    <t xml:space="preserve">Pauta de la fila; solo bajo supervisión</t>
  </si>
  <si>
    <t xml:space="preserve">cita encontrada; cifra coincide; verificado: PMID 40069789 (Europa PMC: título y año 2025 coinciden)</t>
  </si>
  <si>
    <t xml:space="preserve">PMID 40069789</t>
  </si>
  <si>
    <t xml:space="preserve">https://doi.org/10.1186/s13195-025-01693-y</t>
  </si>
  <si>
    <t xml:space="preserve">Sales de cetonas (β-hidroxibutirato)</t>
  </si>
  <si>
    <t xml:space="preserve">Sales de cetonas (β-hidroxibutirato) + NR</t>
  </si>
  <si>
    <t xml:space="preserve">Energía cerebral alternativa</t>
  </si>
  <si>
    <t xml:space="preserve">Roy M, Fortier M, St-Pierre V y cols. (Cunnane SC). 2026. Alzheimers Dement (N Y), BREAK-AD</t>
  </si>
  <si>
    <t xml:space="preserve">Aleatorizado controlado con placebo; PET y resonancia de difusión</t>
  </si>
  <si>
    <t xml:space="preserve">Mezcla de sales de β-hidroxibutirato + NR (dosis no consta)</t>
  </si>
  <si>
    <t xml:space="preserve">Captación cerebral de cetonas y glucosa (PET), densidad de mielina, rendimiento cognitivo</t>
  </si>
  <si>
    <t xml:space="preserve">Captación de cetonas en materia gris aumentó 2,4 veces; velocidad de procesamiento mejoró y se asoció con cambio de mielina (r de -0,39 a -0,59; p=0,002-0,046) y captación de cetonas (r de -0,40 a -0,52; p=0,010-0,046)</t>
  </si>
  <si>
    <t xml:space="preserve">Nestlé Health Science; Alzheimer's Association</t>
  </si>
  <si>
    <t xml:space="preserve">cita encontrada; cifra coincide; verificado: PMID 42344884 (Europa PMC: título y año 2026 coinciden)</t>
  </si>
  <si>
    <t xml:space="preserve">PMID 42344884</t>
  </si>
  <si>
    <t xml:space="preserve">https://doi.org/10.1002/trc2.70278</t>
  </si>
  <si>
    <t xml:space="preserve">NR (registro, resultados no publicados)</t>
  </si>
  <si>
    <t xml:space="preserve">Registro de ensayo</t>
  </si>
  <si>
    <t xml:space="preserve">NCT04430517, McLean Hospital</t>
  </si>
  <si>
    <t xml:space="preserve">Brazo único abierto</t>
  </si>
  <si>
    <t xml:space="preserve">21 (real)</t>
  </si>
  <si>
    <t xml:space="preserve">Deterioro cognitivo leve y Alzheimer leve</t>
  </si>
  <si>
    <t xml:space="preserve">4 comprimidos/día de 250 mg de NR (Niagen de ChromaDex), vía oral</t>
  </si>
  <si>
    <t xml:space="preserve">NAD+ cerebral, estado redox cerebral, cognición</t>
  </si>
  <si>
    <t xml:space="preserve">COMPLETED, sin resultados en el registro; no localicé publicación</t>
  </si>
  <si>
    <t xml:space="preserve">Promotor: McLean Hospital</t>
  </si>
  <si>
    <t xml:space="preserve">Dosis del registro: 1000 mg/día de NR 12 semanas</t>
  </si>
  <si>
    <t xml:space="preserve">cita encontrada; cifra coincide; verificado: ClinicalTrials.gov NCT04430517 existe (COMPLETED, sin resultados, n=21 real, brazo único NR 4x250 mg/día 12 semanas, promotor McLean Hospital)</t>
  </si>
  <si>
    <t xml:space="preserve">NCT04430517</t>
  </si>
  <si>
    <t xml:space="preserve">https://clinicaltrials.gov/study/NCT04430517</t>
  </si>
  <si>
    <t xml:space="preserve">Espermidina</t>
  </si>
  <si>
    <t xml:space="preserve">Autofagia (Madeo)</t>
  </si>
  <si>
    <t xml:space="preserve">Schwarz C, Benson GS, Horn N y cols. (Madeo F, Flöel A). 2022. JAMA Netw Open (SmartAge)</t>
  </si>
  <si>
    <t xml:space="preserve">Fase 2b doble ciego controlado con placebo</t>
  </si>
  <si>
    <t xml:space="preserve">100 (51 espermidina, 49 placebo); 89 completaron</t>
  </si>
  <si>
    <t xml:space="preserve">Declive cognitivo subjetivo, 60-90 años</t>
  </si>
  <si>
    <t xml:space="preserve">Extracto de germen de trigo con 0,9 mg de espermidina/día</t>
  </si>
  <si>
    <t xml:space="preserve">Discriminación mnemónica (Mnemonic Similarity Task)</t>
  </si>
  <si>
    <t xml:space="preserve">Diferencia entre grupos -0,03 (IC95% -0,11 a 0,05); sin cambios significativos en el desenlace primario</t>
  </si>
  <si>
    <t xml:space="preserve">Seguridad evaluada en todos; detalle no en el fragmento</t>
  </si>
  <si>
    <t xml:space="preserve">Austrian Science Fund FWF</t>
  </si>
  <si>
    <t xml:space="preserve">0,9 mg/día de extracto de germen de trigo</t>
  </si>
  <si>
    <t xml:space="preserve">cita encontrada; cifra coincide; verificado: PMID 35616942 (Europa PMC: título y año 2022 coinciden)</t>
  </si>
  <si>
    <t xml:space="preserve">PMID 35616942</t>
  </si>
  <si>
    <t xml:space="preserve">https://doi.org/10.1001/jamanetworkopen.2022.13875</t>
  </si>
  <si>
    <t xml:space="preserve">Dasatinib + quercetina (D+Q)</t>
  </si>
  <si>
    <t xml:space="preserve">Senolíticos (Kirkland/Musi)</t>
  </si>
  <si>
    <t xml:space="preserve">Garbarino VR, Palavicini JP, Melendez J y cols. 2025. Neurotherapeutics (ensayo abierto fase 1)</t>
  </si>
  <si>
    <t xml:space="preserve">Abierto, brazo único; biomarcadores exploratorios</t>
  </si>
  <si>
    <t xml:space="preserve">Alzheimer precoz, adultos mayores</t>
  </si>
  <si>
    <t xml:space="preserve">D+Q (esquema del registro: 2 días de cada 15, 6 ciclos)</t>
  </si>
  <si>
    <t xml:space="preserve">Seguridad, penetración SNC de dasatinib, citocinas, amiloide y tau en LCR, transcriptómica</t>
  </si>
  <si>
    <t xml:space="preserve">Penetración de dasatinib en SNC; aumento de fractalquina y MMP-7 en plasma e IL-6 en LCR; amiloide β y tau estables; regulación a la baja de FOS, FOSB, IL1β, IL8, JUN, JUNB, PTGS2 en PBMC</t>
  </si>
  <si>
    <t xml:space="preserve">'favorable safety and tolerability'</t>
  </si>
  <si>
    <t xml:space="preserve">NIA, NIDDK, Alzheimer's Association, ADDF, Hevolution Foundation, Cure Alzheimer's Fund, Mayo Clinic, Noaber Foundation y otros</t>
  </si>
  <si>
    <t xml:space="preserve">no aplica; ver protocolos</t>
  </si>
  <si>
    <t xml:space="preserve">cita encontrada; cifra coincide; verificado: PMID 40274471 (Europa PMC: título y año 2025 coinciden); ClinicalTrials.gov NCT04063124 existe (COMPLETED, con resultados, n=5 real)</t>
  </si>
  <si>
    <t xml:space="preserve">PMID 40274471; NCT04063124</t>
  </si>
  <si>
    <t xml:space="preserve">https://doi.org/10.1016/j.neurot.2025.e00591</t>
  </si>
  <si>
    <t xml:space="preserve">Dasatinib + quercetina frente a navitoclax</t>
  </si>
  <si>
    <t xml:space="preserve">Senolíticos</t>
  </si>
  <si>
    <t xml:space="preserve">Walton CC, Wang E, Lee S y cols. (Andersen JK). 2025. Alzheimers Res Ther</t>
  </si>
  <si>
    <t xml:space="preserve">Neuronas y astrocitos humanos primarios con modelo de Aβ1-42</t>
  </si>
  <si>
    <t xml:space="preserve">Neurotoxicidad de senolíticos y actividad de células NK92</t>
  </si>
  <si>
    <t xml:space="preserve">'DQ demonstrated a safe profile for human neurons, but Navitoclax exhibited non-selective neurotoxicity'</t>
  </si>
  <si>
    <t xml:space="preserve">Neurotoxicidad no selectiva con navitoclax</t>
  </si>
  <si>
    <t xml:space="preserve">SENS Research Foundation</t>
  </si>
  <si>
    <t xml:space="preserve">cita encontrada; cifra coincide; verificado: PMID 40713864 (Europa PMC: título y año 2025 coinciden); resultado cualitativo; el texto citado aparece en el resumen</t>
  </si>
  <si>
    <t xml:space="preserve">PMID 40713864</t>
  </si>
  <si>
    <t xml:space="preserve">https://doi.org/10.1186/s13195-025-01822-7</t>
  </si>
  <si>
    <t xml:space="preserve">Fisetina</t>
  </si>
  <si>
    <t xml:space="preserve">Flavonoide senolítico (China)</t>
  </si>
  <si>
    <t xml:space="preserve">Dai YT, Chen Q, Ma YD y cols. 2026. Neuropharmacology</t>
  </si>
  <si>
    <t xml:space="preserve">Ratones APP/PS1 machos y microglía primaria</t>
  </si>
  <si>
    <t xml:space="preserve">Animales y células</t>
  </si>
  <si>
    <t xml:space="preserve">Conducta, amiloide, activación microglial, vía PI3K-Akt-NF-κB</t>
  </si>
  <si>
    <t xml:space="preserve">'Fisetin treatment improved cognitive performance in APP/PS1 mice', redujo patología amiloide y agrupamiento microglial; inhibió activación proinflamatoria in vitro</t>
  </si>
  <si>
    <t xml:space="preserve">National Natural Science Foundation of China</t>
  </si>
  <si>
    <t xml:space="preserve">cita encontrada; cifra coincide; verificado: PMID 41771399 (Europa PMC: título y año 2026 coinciden); resultado cualitativo; el texto citado aparece en el resumen</t>
  </si>
  <si>
    <t xml:space="preserve">PMID 41771399</t>
  </si>
  <si>
    <t xml:space="preserve">https://doi.org/10.1016/j.neuropharm.2026.110887</t>
  </si>
  <si>
    <t xml:space="preserve">Rapamicina</t>
  </si>
  <si>
    <t xml:space="preserve">Rapamicina semanal</t>
  </si>
  <si>
    <t xml:space="preserve">Longevidad/mTOR</t>
  </si>
  <si>
    <t xml:space="preserve">Wallgren HA, Kivipelto M, Plavén-Sigray P, Svensson JE. 2026. GeroScience</t>
  </si>
  <si>
    <t xml:space="preserve">Piloto abierto farmacocinético</t>
  </si>
  <si>
    <t xml:space="preserve">13 (11 con 7 mg; 2 con 2 mg y 4 mg)</t>
  </si>
  <si>
    <t xml:space="preserve">7 mg semanales por vía oral (o 2/4 mg)</t>
  </si>
  <si>
    <t xml:space="preserve">Concentraciones en sangre a 0, 1, 3 y 48 h en semana 13</t>
  </si>
  <si>
    <t xml:space="preserve">Semivida terminal 68,9 ± 13,6 h; CoV 0,28-0,40; concentraciones valle por debajo de niveles inmunosupresores en todos; no se pudo cuantificar de forma fiable en LCR</t>
  </si>
  <si>
    <t xml:space="preserve">Åhlén-stiftelsen; Karolinska Institute; Demensfonden</t>
  </si>
  <si>
    <t xml:space="preserve">7 mg semanales según el piloto; bajo prescripción</t>
  </si>
  <si>
    <t xml:space="preserve">cita encontrada; cifra coincide; verificado: PMID 41046300 (Europa PMC: título y año 2026 coinciden)</t>
  </si>
  <si>
    <t xml:space="preserve">PMID 41046300</t>
  </si>
  <si>
    <t xml:space="preserve">https://doi.org/10.1007/s11357-025-01911-3</t>
  </si>
  <si>
    <t xml:space="preserve">Resveratrol</t>
  </si>
  <si>
    <t xml:space="preserve">Resveratrol hasta 1 g dos veces al día</t>
  </si>
  <si>
    <t xml:space="preserve">SIRT1</t>
  </si>
  <si>
    <t xml:space="preserve">Moussa C, Hebron M, Huang X, Ahn J, Rissman RA, Aisen PS, Turner RS. 2017. J Neuroinflammation</t>
  </si>
  <si>
    <t xml:space="preserve">Análisis retrospectivo de un subgrupo de un ensayo fase 2 controlado con placebo</t>
  </si>
  <si>
    <t xml:space="preserve">119 en el ensayo; subgrupo con LCR Aβ42 bajo</t>
  </si>
  <si>
    <t xml:space="preserve">Resveratrol hasta 1 g por vía oral dos veces al día</t>
  </si>
  <si>
    <t xml:space="preserve">Biomarcadores en LCR y plasma, MMSE, ADCS-ADL</t>
  </si>
  <si>
    <t xml:space="preserve">Reducción de MMP9 en LCR e incremento de MDC, IL-4 y FGF-2; 'attenuated declines in MMSE, ADCS-ADL and CSF Aβ42' en el subgrupo; sin cambio en tau</t>
  </si>
  <si>
    <t xml:space="preserve">Pauta del ensayo (dosis alta, supervisión)</t>
  </si>
  <si>
    <t xml:space="preserve">cita encontrada; cifra coincide; verificado: PMID 28086917 (Europa PMC: título y año 2017 coinciden); ClinicalTrials.gov NCT01504854 existe (COMPLETED, con resultados, n=119 real)</t>
  </si>
  <si>
    <t xml:space="preserve">PMID 28086917; NCT01504854</t>
  </si>
  <si>
    <t xml:space="preserve">https://doi.org/10.1186/s12974-016-0779-0</t>
  </si>
  <si>
    <t xml:space="preserve">Melatonina</t>
  </si>
  <si>
    <t xml:space="preserve">Melatonina 3 mg</t>
  </si>
  <si>
    <t xml:space="preserve">Hormona pineal / ritmo sueño-vigilia</t>
  </si>
  <si>
    <t xml:space="preserve">Asayama K, Yamadera H, Ito T, Suzuki H, Kudo Y, Endo S. 2003. J Nippon Med Sch</t>
  </si>
  <si>
    <t xml:space="preserve">Doble ciego</t>
  </si>
  <si>
    <t xml:space="preserve">20 (11 melatonina, 9 placebo)</t>
  </si>
  <si>
    <t xml:space="preserve">Demencia tipo Alzheimer, media 79,2 años</t>
  </si>
  <si>
    <t xml:space="preserve">3 mg a las 20:30 cada día</t>
  </si>
  <si>
    <t xml:space="preserve">Sueño y actividad (actígrafo), CDR, MMSE, ADAS</t>
  </si>
  <si>
    <t xml:space="preserve">Cambio ADAS-cog: placebo 0,3±3,7; melatonina -4,3±3,6 (p=0,017); ADAS no cognitivo -4,1±2,2 vs -0,8±1,0 (p=0,002); tiempo de sueño nocturno +33,2±37,6% vs -0,2±13,7% (p=0,017); MMSE sin diferencia significativa</t>
  </si>
  <si>
    <t xml:space="preserve">3 mg a las 20:30 durante 4 semanas</t>
  </si>
  <si>
    <t xml:space="preserve">cita encontrada; cifra coincide; verificado: PMID 12928714 (Europa PMC: título y año 2003 coinciden)</t>
  </si>
  <si>
    <t xml:space="preserve">PMID 12928714</t>
  </si>
  <si>
    <t xml:space="preserve">https://doi.org/10.1272/jnms.70.334</t>
  </si>
  <si>
    <t xml:space="preserve">Melatonina 8,5 mg IR + 1,5 mg SR</t>
  </si>
  <si>
    <t xml:space="preserve">Hormona pineal</t>
  </si>
  <si>
    <t xml:space="preserve">Gehrman PR, Connor DJ, Martin JL, Shochat T, Corey-Bloom J, Ancoli-Israel S. 2009. Am J Geriatr Psychiatry</t>
  </si>
  <si>
    <t xml:space="preserve">Doble ciego controlado con placebo</t>
  </si>
  <si>
    <t xml:space="preserve">41 (24 melatonina, 17 placebo)</t>
  </si>
  <si>
    <t xml:space="preserve">Alzheimer probable, residencias</t>
  </si>
  <si>
    <t xml:space="preserve">10 noches</t>
  </si>
  <si>
    <t xml:space="preserve">8,5 mg liberación inmediata + 1,5 mg sostenida a las 22:00</t>
  </si>
  <si>
    <t xml:space="preserve">Sueño (actigrafía), agitación (ABRS, CMAI)</t>
  </si>
  <si>
    <t xml:space="preserve">'No significant effects of melatonin, compared with placebo, on sleep, circadian rhythms, or agitation'; los autores sugieren dosis supra-fisiológica como posible causa</t>
  </si>
  <si>
    <t xml:space="preserve">no recomendado por la fuente en esta dosis</t>
  </si>
  <si>
    <t xml:space="preserve">cita encontrada; cifra coincide; verificado: PMID 19155748 (Europa PMC: título y año 2009 coinciden)</t>
  </si>
  <si>
    <t xml:space="preserve">PMID 19155748</t>
  </si>
  <si>
    <t xml:space="preserve">https://doi.org/10.1097/jgp.0b013e318187de18</t>
  </si>
  <si>
    <t xml:space="preserve">Melatonina 25 mg nocturnos</t>
  </si>
  <si>
    <t xml:space="preserve">Dosis alta</t>
  </si>
  <si>
    <t xml:space="preserve">Menczel Schrire Z, Phillips CL, Duffy SL y cols. (Hoyos CM). 2024. J Pineal Res</t>
  </si>
  <si>
    <t xml:space="preserve">Viabilidad, paralelo, placebo</t>
  </si>
  <si>
    <t xml:space="preserve">40 (19 mujeres), media 68,2 años</t>
  </si>
  <si>
    <t xml:space="preserve">25 mg orales cada noche</t>
  </si>
  <si>
    <t xml:space="preserve">Viabilidad, tolerabilidad, estrés oxidativo cerebral por espectroscopía, cognición, ánimo, sueño</t>
  </si>
  <si>
    <t xml:space="preserve">Viabilidad 42/389 (11%); aceptabilidad 40/44 (91%); sin diferencias significativas en desenlaces secundarios (no potenciado)</t>
  </si>
  <si>
    <t xml:space="preserve">Sin diferencias entre grupos</t>
  </si>
  <si>
    <t xml:space="preserve">National Heart Foundation of Australia; NHMRC</t>
  </si>
  <si>
    <t xml:space="preserve">25 mg nocturnos 12 semanas (piloto)</t>
  </si>
  <si>
    <t xml:space="preserve">cita encontrada; cifra coincide; verificado: PMID 39702983 (Europa PMC: título y año 2024 coinciden)</t>
  </si>
  <si>
    <t xml:space="preserve">PMID 39702983</t>
  </si>
  <si>
    <t xml:space="preserve">https://doi.org/10.1111/jpi.70019</t>
  </si>
  <si>
    <t xml:space="preserve">Melatonina (meta-análisis)</t>
  </si>
  <si>
    <t xml:space="preserve">Leung LY, Tam HL, Asiamah N, Ho JK. 2025. Alzheimers Res Ther</t>
  </si>
  <si>
    <t xml:space="preserve">Meta-análisis de ECA</t>
  </si>
  <si>
    <t xml:space="preserve">518 participantes en 8 estudios</t>
  </si>
  <si>
    <t xml:space="preserve">13-24 semanas recomendadas</t>
  </si>
  <si>
    <t xml:space="preserve">Administrar entre 20:30 y 21:00</t>
  </si>
  <si>
    <t xml:space="preserve">Diferencia de medias 1,08 (p truncado en el resumen); 'melatonin is relatively safe'; recomiendan melatonina en MCI</t>
  </si>
  <si>
    <t xml:space="preserve">'relatively safe'</t>
  </si>
  <si>
    <t xml:space="preserve">Entre 20:30 y 21:00, 13-24 semanas (según los autores)</t>
  </si>
  <si>
    <t xml:space="preserve">cita encontrada; cifra coincide; verificado: PMID 41185054 (Europa PMC: título y año 2025 coinciden); el resumen de Europa PMC sí incluye el valor de p (p&lt;0,0001); la diferencia de medias 1,08 coincide</t>
  </si>
  <si>
    <t xml:space="preserve">PMID 41185054</t>
  </si>
  <si>
    <t xml:space="preserve">https://doi.org/10.1186/s13195-025-01881-w</t>
  </si>
  <si>
    <t xml:space="preserve">Mdluli NT, Banda KJ, Chang YC. 2025. Age Ageing</t>
  </si>
  <si>
    <t xml:space="preserve">Meta-análisis de ECA (PROSPERO CRD42024539227)</t>
  </si>
  <si>
    <t xml:space="preserve">516 en 10 ECA</t>
  </si>
  <si>
    <t xml:space="preserve">Mayores de 65 con MCI o demencia</t>
  </si>
  <si>
    <t xml:space="preserve">Tiempo total de sueño y cognición global</t>
  </si>
  <si>
    <t xml:space="preserve">Aumento del tiempo total de sueño +12,4 min (IC95% 8,1-16,7); 'modest improvements in sleep duration and cognition ... fall short of definitive efficacy'</t>
  </si>
  <si>
    <t xml:space="preserve">cita encontrada; cifra coincide; verificado: PMID 41240058 (Europa PMC: título y año 2025 coinciden)</t>
  </si>
  <si>
    <t xml:space="preserve">PMID 41240058</t>
  </si>
  <si>
    <t xml:space="preserve">https://doi.org/10.1093/ageing/afaf333</t>
  </si>
  <si>
    <t xml:space="preserve">Oxitocina intranasal</t>
  </si>
  <si>
    <t xml:space="preserve">Oxitocina intranasal 72 IU</t>
  </si>
  <si>
    <t xml:space="preserve">Neuropéptido / demencia frontotemporal</t>
  </si>
  <si>
    <t xml:space="preserve">Coleman KKL, Berry S, Cummings J y cols. (Finger EC). 2025. Lancet Neurol (FOXY)</t>
  </si>
  <si>
    <t xml:space="preserve">Fase 2a/2b multicéntrico, adaptativo, cruzado, doble ciego</t>
  </si>
  <si>
    <t xml:space="preserve">94 (60 etapa 1 y 34 etapa 2); 38 mujeres</t>
  </si>
  <si>
    <t xml:space="preserve">Demencia frontotemporal con apatía (NPI apatía ≥2)</t>
  </si>
  <si>
    <t xml:space="preserve">6 semanas por periodo, lavado de 6 semanas</t>
  </si>
  <si>
    <t xml:space="preserve">72 IU intranasal dos veces al día, pauta óptima cada tercer día</t>
  </si>
  <si>
    <t xml:space="preserve">Cambio en NPI apatía</t>
  </si>
  <si>
    <t xml:space="preserve">-1,32 puntos (IC95% -2,43 a -0,21) frente a placebo; p unilateral=0,010</t>
  </si>
  <si>
    <t xml:space="preserve">Infección respiratoria alta (5 [6%] placebo vs 3 [5%] oxitocina) y cefalea; 'no adverse events were attributed to oxytocin' (texto truncado)</t>
  </si>
  <si>
    <t xml:space="preserve">NIA, NIGMS, NIMH, NINDS, CIHR, Weston Family Foundation</t>
  </si>
  <si>
    <t xml:space="preserve">No describe uso doméstico</t>
  </si>
  <si>
    <t xml:space="preserve">cita encontrada; cifra coincide; verificado: PMID 39862881 (Europa PMC: título y año 2025 coinciden); ClinicalTrials.gov NCT03260920 existe (estado UNKNOWN, sin resultados)</t>
  </si>
  <si>
    <t xml:space="preserve">PMID 39862881; NCT03260920</t>
  </si>
  <si>
    <t xml:space="preserve">https://doi.org/10.1016/s1474-4422(24)00456-3</t>
  </si>
  <si>
    <t xml:space="preserve">Neuropéptido</t>
  </si>
  <si>
    <t xml:space="preserve">Colonnello V, Capellari S, Guarino M y cols. 2026. Front Aging Neurosci</t>
  </si>
  <si>
    <t xml:space="preserve">Cruzado doble ciego controlado con placebo</t>
  </si>
  <si>
    <t xml:space="preserve">Demencia frontotemporal variante conductual</t>
  </si>
  <si>
    <t xml:space="preserve">Reconocimiento de emociones e intenciones; compromiso social por cuidador</t>
  </si>
  <si>
    <t xml:space="preserve">Mejoras de compromiso social según cuidadores; sin mejora en reconocimiento de emociones y menor precisión reconociendo intenciones dañinas</t>
  </si>
  <si>
    <t xml:space="preserve">'safe, well-tolerated'</t>
  </si>
  <si>
    <t xml:space="preserve">cita encontrada; cifra coincide; verificado: PMID 41658013 (Europa PMC: título y año 2026 coinciden)</t>
  </si>
  <si>
    <t xml:space="preserve">PMID 41658013</t>
  </si>
  <si>
    <t xml:space="preserve">https://doi.org/10.3389/fnagi.2026.1735220</t>
  </si>
  <si>
    <t xml:space="preserve">Oxitocina intranasal 30 IU a demanda</t>
  </si>
  <si>
    <t xml:space="preserve">Caso clínico</t>
  </si>
  <si>
    <t xml:space="preserve">Jadav N, Kuş S, Ellison J, Weisman D, Serruya MD. 2026. J Geriatr Psychiatry Neurol</t>
  </si>
  <si>
    <t xml:space="preserve">Demencia mixta con traumatismos repetidos (varón de 70 años)</t>
  </si>
  <si>
    <t xml:space="preserve">Hasta su fallecimiento</t>
  </si>
  <si>
    <t xml:space="preserve">30 IU intranasal a demanda</t>
  </si>
  <si>
    <t xml:space="preserve">Agitación aguda</t>
  </si>
  <si>
    <t xml:space="preserve">'Remarkable, rapid improvement' en agitación; autopsia: Alzheimer intermedio, Lewy, cerebrovascular y encefalopatía traumática crónica</t>
  </si>
  <si>
    <t xml:space="preserve">30 IU a demanda (caso)</t>
  </si>
  <si>
    <t xml:space="preserve">cita encontrada; cifra coincide; verificado: PMID 40973034 (Europa PMC: título y año 2026 coinciden); resultado cualitativo; el texto citado aparece en el resumen</t>
  </si>
  <si>
    <t xml:space="preserve">PMID 40973034</t>
  </si>
  <si>
    <t xml:space="preserve">https://doi.org/10.1177/08919887251382495</t>
  </si>
  <si>
    <t xml:space="preserve">Hormonas tiroideas (LT4 + T3)</t>
  </si>
  <si>
    <t xml:space="preserve">Tiroides: LT4+T3 frente a LT4</t>
  </si>
  <si>
    <t xml:space="preserve">Hormona tiroidea / medicina endocrina</t>
  </si>
  <si>
    <t xml:space="preserve">Beltrão FEL, Carvalhal G, Meneghini V y cols. (Bianco AC). 2026. J Clin Endocrinol Metab</t>
  </si>
  <si>
    <t xml:space="preserve">Cohorte retrospectiva TriNetX más meta-análisis de 12 estudios</t>
  </si>
  <si>
    <t xml:space="preserve">1,26 millones con hipotiroidismo y 3,32 millones de controles</t>
  </si>
  <si>
    <t xml:space="preserve">Hipotiroidismo; desenlace demencia</t>
  </si>
  <si>
    <t xml:space="preserve">20 años de seguimiento</t>
  </si>
  <si>
    <t xml:space="preserve">LT4, LT4+T3 o extracto tiroideo desecado</t>
  </si>
  <si>
    <t xml:space="preserve">Demencia, fibrilación auricular, mortalidad</t>
  </si>
  <si>
    <t xml:space="preserve">Hipotiroidismo ≈1,4 veces más riesgo de demencia y &gt;2,0 veces de mortalidad; combinación vs LT4: riesgo relativo 27% (demencia) y 31% (mortalidad) menor; HR ajustado 16% y 25% de reducción</t>
  </si>
  <si>
    <t xml:space="preserve">NIDDK, CNPq, FAPESP (San Pablo) y otros</t>
  </si>
  <si>
    <t xml:space="preserve">No aplica; requiere prescripción</t>
  </si>
  <si>
    <t xml:space="preserve">cita encontrada; cifra coincide; verificado: PMID 40579157 (Europa PMC: título y año 2026 coinciden)</t>
  </si>
  <si>
    <t xml:space="preserve">PMID 40579157</t>
  </si>
  <si>
    <t xml:space="preserve">https://doi.org/10.1210/clinem/dgaf367</t>
  </si>
  <si>
    <t xml:space="preserve">Terapia hormonal (estrógenos)</t>
  </si>
  <si>
    <t xml:space="preserve">Estradiol transdérmico / estrógenos equinos conjugados + progesterona micronizada</t>
  </si>
  <si>
    <t xml:space="preserve">Terapia hormonal de la menopausia</t>
  </si>
  <si>
    <t xml:space="preserve">Kantarci K, Kara F, Tosakulwong N y cols. 2026. Alzheimers Dement (KEEPS Continuation)</t>
  </si>
  <si>
    <t xml:space="preserve">Seguimiento a 10 años de un ensayo aleatorizado de 4 años</t>
  </si>
  <si>
    <t xml:space="preserve">266</t>
  </si>
  <si>
    <t xml:space="preserve">Mujeres sanas recién menopáusicas</t>
  </si>
  <si>
    <t xml:space="preserve">4 años de tratamiento + 10 de seguimiento</t>
  </si>
  <si>
    <t xml:space="preserve">CEE oral o 17β-estradiol transdérmico + progesterona micronizada, o placebo</t>
  </si>
  <si>
    <t xml:space="preserve">Aβ en PET, atrofia hipocampal, grosor prefrontal</t>
  </si>
  <si>
    <t xml:space="preserve">'Not different' frente a placebo en biomarcadores; sin modificación por APOE ε4</t>
  </si>
  <si>
    <t xml:space="preserve">'no evidence of adverse effects'</t>
  </si>
  <si>
    <t xml:space="preserve">NIH, Kronos Foundation, ADDF, Eli Lilly y Avid Radiopharmaceuticals (listados)</t>
  </si>
  <si>
    <t xml:space="preserve">cita encontrada; cifra coincide; verificado: PMID 41618732 (Europa PMC: título y año 2026 coinciden); ClinicalTrials.gov NCT00154180 existe (estado UNKNOWN, sin resultados)</t>
  </si>
  <si>
    <t xml:space="preserve">PMID 41618732; NCT00154180</t>
  </si>
  <si>
    <t xml:space="preserve">https://doi.org/10.1002/alz.71067</t>
  </si>
  <si>
    <t xml:space="preserve">Terapia hormonal (estrógeno solo o con progestágeno)</t>
  </si>
  <si>
    <t xml:space="preserve">WHI</t>
  </si>
  <si>
    <t xml:space="preserve">Shadyab AH, Zhang B, LaCroix AZ, McEvoy LK. 2026. Maturitas (WHIMS)</t>
  </si>
  <si>
    <t xml:space="preserve">Análisis de biomarcadores plasmáticos del ensayo</t>
  </si>
  <si>
    <t xml:space="preserve">Posmenopáusicas</t>
  </si>
  <si>
    <t xml:space="preserve">15 años de seguimiento</t>
  </si>
  <si>
    <t xml:space="preserve">Estrógeno solo o estrógeno+progestina vs placebo</t>
  </si>
  <si>
    <t xml:space="preserve">p-tau217, p-tau181, Aβ42:Aβ40, GFAP, NfL</t>
  </si>
  <si>
    <t xml:space="preserve">Ritmos de cambio sin diferencias significativas; 'null associations'</t>
  </si>
  <si>
    <t xml:space="preserve">cita encontrada; cifra coincide; verificado: PMID 41678876 (Europa PMC: título y año 2026 coinciden); ClinicalTrials.gov NCT00685009 existe (COMPLETED, sin resultados, n=7525 real)</t>
  </si>
  <si>
    <t xml:space="preserve">PMID 41678876; NCT00685009</t>
  </si>
  <si>
    <t xml:space="preserve">https://doi.org/10.1016/j.maturitas.2026.108873</t>
  </si>
  <si>
    <t xml:space="preserve">Terapia hormonal solo estrógeno</t>
  </si>
  <si>
    <t xml:space="preserve">Cohortes observacionales NACC y ADNI</t>
  </si>
  <si>
    <t xml:space="preserve">Bruno J, Shaw JS, Hosseini SMH. 2026. Neurology</t>
  </si>
  <si>
    <t xml:space="preserve">Cohortes de autopsia y biomarcadores</t>
  </si>
  <si>
    <t xml:space="preserve">NACC: 258 usuarias y 2701 no usuarias; ADNI: 110 y 1948</t>
  </si>
  <si>
    <t xml:space="preserve">Mujeres ≥50 años</t>
  </si>
  <si>
    <t xml:space="preserve">Uso autodeclarado</t>
  </si>
  <si>
    <t xml:space="preserve">Patología AD en autopsia, biomarcadores, diagnóstico de demencia</t>
  </si>
  <si>
    <t xml:space="preserve">OR de patología AD aumentada 0,65 (IC95% 0,48-0,88; p=0,005); Aβ plasmático β=0,44 (p=0,0025); LCR β=0,07 (p=0,030); OR de diagnóstico clínico de demencia 0,61 (0,55-0,67)</t>
  </si>
  <si>
    <t xml:space="preserve">NIA (NIH) y NIMH</t>
  </si>
  <si>
    <t xml:space="preserve">cita encontrada; cifra coincide; verificado: PMID 42585606 (Europa PMC: título y año 2026 coinciden)</t>
  </si>
  <si>
    <t xml:space="preserve">PMID 42585606</t>
  </si>
  <si>
    <t xml:space="preserve">https://doi.org/10.1212/wnl.0000000000218413</t>
  </si>
  <si>
    <t xml:space="preserve">DHEA-S y cortisol (medición)</t>
  </si>
  <si>
    <t xml:space="preserve">DHEA-S y cortisol</t>
  </si>
  <si>
    <t xml:space="preserve">Neuroesteroides</t>
  </si>
  <si>
    <t xml:space="preserve">Nenezic N, Dragicevic Jeremic J, Rancic N y cols. 2025. Cureus</t>
  </si>
  <si>
    <t xml:space="preserve">Caso-control piloto</t>
  </si>
  <si>
    <t xml:space="preserve">85 (45 Alzheimer, 40 controles)</t>
  </si>
  <si>
    <t xml:space="preserve">Alzheimer probable y sanos (Serbia)</t>
  </si>
  <si>
    <t xml:space="preserve">no aplica (medición)</t>
  </si>
  <si>
    <t xml:space="preserve">DHEA-S, cortisol y su cociente</t>
  </si>
  <si>
    <t xml:space="preserve">DHEA-S sin diferencia; cortisol 398,85 vs 337,40 nmol/L (p=0,026); cociente cortisol/DHEA-S p=0,078 (65-75 años: p=0,031)</t>
  </si>
  <si>
    <t xml:space="preserve">cita encontrada; cifra coincide; verificado: PMID 41235013 (Europa PMC: título y año 2025 coinciden)</t>
  </si>
  <si>
    <t xml:space="preserve">PMID 41235013</t>
  </si>
  <si>
    <t xml:space="preserve">https://doi.org/10.7759/cureus.94489</t>
  </si>
  <si>
    <t xml:space="preserve">Testosterona</t>
  </si>
  <si>
    <t xml:space="preserve">Menopausia</t>
  </si>
  <si>
    <t xml:space="preserve">Faulkner A, Desai R, Keay N, Ellahi SA, Aimee S. 2026. Reprod Fertil</t>
  </si>
  <si>
    <t xml:space="preserve">Revisión sistemática y meta-análisis</t>
  </si>
  <si>
    <t xml:space="preserve">5 estudios</t>
  </si>
  <si>
    <t xml:space="preserve">Mujeres menopáusicas</t>
  </si>
  <si>
    <t xml:space="preserve">Cognición</t>
  </si>
  <si>
    <t xml:space="preserve">'No clear evidence that testosterone impacts thinking and memory'; pocos estudios pequeños</t>
  </si>
  <si>
    <t xml:space="preserve">cita encontrada; cifra coincide; verificado: PMID 42809450 (Europa PMC: título y año 2026 coinciden); resultado cualitativo; el texto citado aparece en el resumen</t>
  </si>
  <si>
    <t xml:space="preserve">PMID 42809450</t>
  </si>
  <si>
    <t xml:space="preserve">https://doi.org/10.1530/raf-26-0080</t>
  </si>
  <si>
    <t xml:space="preserve">Hormona de crecimiento</t>
  </si>
  <si>
    <t xml:space="preserve">Medicina regenerativa (Devesa)</t>
  </si>
  <si>
    <t xml:space="preserve">Bianchi VE, Visbal LC, Devesa J. 2026. Int J Mol Sci</t>
  </si>
  <si>
    <t xml:space="preserve">28 artículos</t>
  </si>
  <si>
    <t xml:space="preserve">Demencia, Alzheimer, TCE, ictus</t>
  </si>
  <si>
    <t xml:space="preserve">Dosis supra-fisiológicas y tratamientos prolongados descritos como más eficaces</t>
  </si>
  <si>
    <t xml:space="preserve">Memoria y función cerebral</t>
  </si>
  <si>
    <t xml:space="preserve">'Most studies show the beneficial effects of GH therapy on memory' y recuperación; 'consistent data are still lacking'; GH 'very promising' para demencia y Alzheimer precoz</t>
  </si>
  <si>
    <t xml:space="preserve">cita encontrada; cifra coincide; verificado: PMID 42196498 (Europa PMC: título y año 2026 coinciden); resultado cualitativo; el texto citado aparece en el resumen</t>
  </si>
  <si>
    <t xml:space="preserve">PMID 42196498</t>
  </si>
  <si>
    <t xml:space="preserve">https://doi.org/10.3390/ijms27104521</t>
  </si>
  <si>
    <t xml:space="preserve">Ubiquinol (CoQ10 reducida)</t>
  </si>
  <si>
    <t xml:space="preserve">Ubiquinol (CoQ10 reducida) 200 mg</t>
  </si>
  <si>
    <t xml:space="preserve">Mitocondrial</t>
  </si>
  <si>
    <t xml:space="preserve">Nankivell MC, Rosenfeldt F, Reddan JM y cols. 2026. Antioxidants</t>
  </si>
  <si>
    <t xml:space="preserve">Aleatorizado controlado con placebo</t>
  </si>
  <si>
    <t xml:space="preserve">111 (ubiquinol 61, placebo 50)</t>
  </si>
  <si>
    <t xml:space="preserve">Mayores de 60 años</t>
  </si>
  <si>
    <t xml:space="preserve">200 mg/día</t>
  </si>
  <si>
    <t xml:space="preserve">Cognición, estrés oxidativo, inflamación, rigidez arterial</t>
  </si>
  <si>
    <t xml:space="preserve">CoQ10 plasmática x4; sin diferencias entre grupos en cognición ni biomarcadores; asociación positiva entre cambio de CoQ10 y memoria solo en el grupo ubiquinol</t>
  </si>
  <si>
    <t xml:space="preserve">Kaneka (Japón)</t>
  </si>
  <si>
    <t xml:space="preserve">200 mg/día 90 días</t>
  </si>
  <si>
    <t xml:space="preserve">cita encontrada; cifra coincide; verificado: PMID 42510537 (Europa PMC: título y año 2026 coinciden)</t>
  </si>
  <si>
    <t xml:space="preserve">PMID 42510537</t>
  </si>
  <si>
    <t xml:space="preserve">https://doi.org/10.3390/antiox15070806</t>
  </si>
  <si>
    <t xml:space="preserve">DHA (omega-3)</t>
  </si>
  <si>
    <t xml:space="preserve">DHA 1 g/día + vitamina D3 800 UI/día</t>
  </si>
  <si>
    <t xml:space="preserve">Omega-3</t>
  </si>
  <si>
    <t xml:space="preserve">Yuan J, Yang R, Chen H, Zhao H, Chen X, Lou Z, Han X, Ma F. 2026. Nutrients</t>
  </si>
  <si>
    <t xml:space="preserve">Doble ciego controlado con placebo, 4 brazos</t>
  </si>
  <si>
    <t xml:space="preserve">360 (355 completaron)</t>
  </si>
  <si>
    <t xml:space="preserve">Deterioro cognitivo leve (China)</t>
  </si>
  <si>
    <t xml:space="preserve">DHA 1 g/día, VD3 800 UI/día, ambos o placebo</t>
  </si>
  <si>
    <t xml:space="preserve">WAIS-RC; IL-1β, IL-18, NLRP3, gasdermina D, caspasa-1</t>
  </si>
  <si>
    <t xml:space="preserve">Todos los brazos mejoraron cognición y redujeron cinco biomarcadores de piroptosis frente a placebo; la combinación fue superior (FIQ, PIQ, VIQ y subpruebas)</t>
  </si>
  <si>
    <t xml:space="preserve">1 g DHA/día + 800 UI D3</t>
  </si>
  <si>
    <t xml:space="preserve">cita encontrada; cifra coincide; verificado: PMID 42738950 (Europa PMC: título y año 2026 coinciden)</t>
  </si>
  <si>
    <t xml:space="preserve">PMID 42738950</t>
  </si>
  <si>
    <t xml:space="preserve">https://doi.org/10.3390/nu18172777</t>
  </si>
  <si>
    <t xml:space="preserve">DHA a dosis alta</t>
  </si>
  <si>
    <t xml:space="preserve">Yassine HN, Pour SG, Juarez M y cols. (Schneider LS). 2026. EBioMedicine</t>
  </si>
  <si>
    <t xml:space="preserve">Fase IIa doble ciego controlado con placebo</t>
  </si>
  <si>
    <t xml:space="preserve">365 aleatorizados</t>
  </si>
  <si>
    <t xml:space="preserve">55-80 años sin demencia, baja ingesta de DHA; 47% APOE ε4</t>
  </si>
  <si>
    <t xml:space="preserve">DHA a dosis alta (cifra no en el fragmento)</t>
  </si>
  <si>
    <t xml:space="preserve">DHA/AA en LCR, cognición, estructura cerebral</t>
  </si>
  <si>
    <t xml:space="preserve">Cociente DHA/AA en LCR a 6 meses +0,17 vs -0,02 (diferencia 0,19; IC 0,16-0,21); 'no differences in cognition or brain structure were observed over 24 months'</t>
  </si>
  <si>
    <t xml:space="preserve">NIA (R01AG057684); ADDF (GC-201711-2014197)</t>
  </si>
  <si>
    <t xml:space="preserve">cita encontrada; cifra coincide; verificado: PMID 42315445 (Europa PMC: título y año 2026 coinciden); ClinicalTrials.gov NCT03613844 existe (COMPLETED, sin resultados, n=365 real); el resumen indica 2 g/día de DHA; el campo dosis_o_protocolo dice "cifra no en el fragmento"</t>
  </si>
  <si>
    <t xml:space="preserve">PMID 42315445; NCT03613844</t>
  </si>
  <si>
    <t xml:space="preserve">https://doi.org/10.1016/j.ebiom.2026.106316</t>
  </si>
  <si>
    <t xml:space="preserve">N-acetilcisteína</t>
  </si>
  <si>
    <t xml:space="preserve">N-acetilcisteína 2400 mg/día</t>
  </si>
  <si>
    <t xml:space="preserve">Glutatión</t>
  </si>
  <si>
    <t xml:space="preserve">Gallagher D, Kang Y, Herrmann N y cols. (Lanctôt KL). 2026. Alzheimers Res Ther (MOVE-IT)</t>
  </si>
  <si>
    <t xml:space="preserve">59</t>
  </si>
  <si>
    <t xml:space="preserve">MCI vascular posible en rehabilitación cardíaca</t>
  </si>
  <si>
    <t xml:space="preserve">NAC 2400 mg/día</t>
  </si>
  <si>
    <t xml:space="preserve">Compuesto de función ejecutiva</t>
  </si>
  <si>
    <t xml:space="preserve">Mejora global con el tiempo B=0,31 (IC 0,14-0,48; p&lt;0,001) sin diferencias NAC vs placebo (B=-0,04; IC -0,28 a 0,20; p=0,8)</t>
  </si>
  <si>
    <t xml:space="preserve">Comparables entre grupos</t>
  </si>
  <si>
    <t xml:space="preserve">CIHR</t>
  </si>
  <si>
    <t xml:space="preserve">2400 mg/día 24 semanas</t>
  </si>
  <si>
    <t xml:space="preserve">cita encontrada; cifra coincide; verificado: PMID 42045982 (Europa PMC: título y año 2026 coinciden); ClinicalTrials.gov NCT03306979 existe (COMPLETED, con resultados, n=60 real)</t>
  </si>
  <si>
    <t xml:space="preserve">PMID 42045982; NCT03306979</t>
  </si>
  <si>
    <t xml:space="preserve">https://doi.org/10.1186/s13195-026-02062-z</t>
  </si>
  <si>
    <t xml:space="preserve">Carnosina (anserina)</t>
  </si>
  <si>
    <t xml:space="preserve">Carnosina / anserina</t>
  </si>
  <si>
    <t xml:space="preserve">Dipéptidos de imidazol (Japón)</t>
  </si>
  <si>
    <t xml:space="preserve">Hsiao YF, Fan Z, Fan YY, Chung M. 2026. Nutrients</t>
  </si>
  <si>
    <t xml:space="preserve">13 estudios (12 ECA)</t>
  </si>
  <si>
    <t xml:space="preserve">Sanos y pacientes</t>
  </si>
  <si>
    <t xml:space="preserve">heterogénea</t>
  </si>
  <si>
    <t xml:space="preserve">Cognición, ánimo, calidad de vida</t>
  </si>
  <si>
    <t xml:space="preserve">5 ECA sin diferencias en la mayoría de pruebas con L-carnosina; en 3 ECA de un mismo equipo anserina/carnosina mejoró WMS-LM2 +1,70 (IC 0,19-3,2); MMSE +0,62 (0,23-1,01) con carnosina+anserina o antioxidantes</t>
  </si>
  <si>
    <t xml:space="preserve">cita encontrada; cifra coincide; verificado: PMID 42123986 (Europa PMC: título y año 2026 coinciden)</t>
  </si>
  <si>
    <t xml:space="preserve">PMID 42123986</t>
  </si>
  <si>
    <t xml:space="preserve">https://doi.org/10.3390/nu18091385</t>
  </si>
  <si>
    <t xml:space="preserve">Creatina</t>
  </si>
  <si>
    <t xml:space="preserve">Bioenergética</t>
  </si>
  <si>
    <t xml:space="preserve">Whitford T, Donlon C, Pech A, Goldberg C, Whiteson H, Etienne M. 2026. Ageing Res Rev</t>
  </si>
  <si>
    <t xml:space="preserve">Revisión de alcance</t>
  </si>
  <si>
    <t xml:space="preserve">6 estudios: 1 in vitro, 4 animales, 1 piloto humano (n=20)</t>
  </si>
  <si>
    <t xml:space="preserve">Mayores y modelos de demencia</t>
  </si>
  <si>
    <t xml:space="preserve">8 semanas en el piloto</t>
  </si>
  <si>
    <t xml:space="preserve">20 g/día en el piloto</t>
  </si>
  <si>
    <t xml:space="preserve">Sin ECA; el piloto n=20: creatina cerebral total +11% y mejora de cognición fluida; un estudio de roedores reportó empeoramiento de memoria espacial</t>
  </si>
  <si>
    <t xml:space="preserve">20 g/día 8 semanas (piloto)</t>
  </si>
  <si>
    <t xml:space="preserve">cita encontrada; cifra coincide; verificado: PMID 42668123 (Europa PMC: título y año 2026 coinciden)</t>
  </si>
  <si>
    <t xml:space="preserve">PMID 42668123</t>
  </si>
  <si>
    <t xml:space="preserve">https://doi.org/10.1016/j.arr.2026.103317</t>
  </si>
  <si>
    <t xml:space="preserve">PQQ</t>
  </si>
  <si>
    <t xml:space="preserve">Cofactor mitocondrial (China)</t>
  </si>
  <si>
    <t xml:space="preserve">Yan Y, Deng D, Tan C y cols. 2026. Antioxidants</t>
  </si>
  <si>
    <t xml:space="preserve">Ratones de 20 meses y células HT-22</t>
  </si>
  <si>
    <t xml:space="preserve">Memoria de trabajo espacial y reconocimiento; respiración mitocondrial; SIRT1 y UCP2</t>
  </si>
  <si>
    <t xml:space="preserve">PQQ 'improved spatial working memory and recognition memory'; en HT-22 redujo ROS y restauró potencial de membrana; aumentó SIRT1 y bajó UCP2</t>
  </si>
  <si>
    <t xml:space="preserve">Sin conducta ansiosa</t>
  </si>
  <si>
    <t xml:space="preserve">cita encontrada; cifra coincide; verificado: PMID 42650185 (Europa PMC: título y año 2026 coinciden); resultado cualitativo; el texto citado aparece en el resumen</t>
  </si>
  <si>
    <t xml:space="preserve">PMID 42650185</t>
  </si>
  <si>
    <t xml:space="preserve">https://doi.org/10.3390/antiox15080921</t>
  </si>
  <si>
    <t xml:space="preserve">ReCODE (Bredesen): protocolo multifactorial con optimización hormonal</t>
  </si>
  <si>
    <t xml:space="preserve">Medicina de precisión / funcional</t>
  </si>
  <si>
    <t xml:space="preserve">Toups K, Hathaway A, Gordon D y cols. (Bredesen DE). 2022. J Alzheimers Dis</t>
  </si>
  <si>
    <t xml:space="preserve">Prueba de concepto de un solo brazo</t>
  </si>
  <si>
    <t xml:space="preserve">Demencia o MCI con MoCA ≥19</t>
  </si>
  <si>
    <t xml:space="preserve">Protocolo personalizado: inflamación, infecciones, disbiosis, resistencia a insulina, glicación, vascular, hipoxemia nocturna, 'hormone insufficiency or dysregulation', nutrientes, tóxicos</t>
  </si>
  <si>
    <t xml:space="preserve">MoCA, CNS Vital Signs, Alzheimer's Questionnaire, MRI volumétrica</t>
  </si>
  <si>
    <t xml:space="preserve">'All outcome measures revealed improvement': mejoras significativas en MoCA, CNS Vital Signs Neurocognitive Index y Alzheimer's Questionnaire; MRI volumétrica también mejoró</t>
  </si>
  <si>
    <t xml:space="preserve">'No serious adverse events'</t>
  </si>
  <si>
    <t xml:space="preserve">no consta en el resumen (primer autor Toups; Bredesen es autor sénior y figura como fundador del programa, a verificar)</t>
  </si>
  <si>
    <t xml:space="preserve">Pautas en libros de Bredesen</t>
  </si>
  <si>
    <t xml:space="preserve">cita encontrada; cifra coincide; verificado: PMID 35811518 (Europa PMC: título y año 2022 coinciden)</t>
  </si>
  <si>
    <t xml:space="preserve">PMID 35811518</t>
  </si>
  <si>
    <t xml:space="preserve">https://doi.org/10.3233/jad-215707</t>
  </si>
  <si>
    <t xml:space="preserve">ReCODE a escala</t>
  </si>
  <si>
    <t xml:space="preserve">Medicina de precisión</t>
  </si>
  <si>
    <t xml:space="preserve">Rao RV, Kumar S, Gregory J, Coward C, Okada S, Lipa W, Kelly L, Bredesen DE. 2021. Biomedicines</t>
  </si>
  <si>
    <t xml:space="preserve">Antes-después sin control</t>
  </si>
  <si>
    <t xml:space="preserve">255</t>
  </si>
  <si>
    <t xml:space="preserve">Declive cognitivo subjetivo, MCI, Alzheimer temprano</t>
  </si>
  <si>
    <t xml:space="preserve">2 a 12 meses</t>
  </si>
  <si>
    <t xml:space="preserve">Consultas, dieta, estilo de vida, medicación, suplementos, analíticas</t>
  </si>
  <si>
    <t xml:space="preserve">MoCA, glucosa, hs-CRP, HOMA-IR, vitamina D</t>
  </si>
  <si>
    <t xml:space="preserve">MoCA 'either significantly improved or stabilized'; mejora de glucosa, hs-CRP, HOMA-IR y vitamina D; autores: resultados 'not as successful as those in the proof-of-concept trial'</t>
  </si>
  <si>
    <t xml:space="preserve">no consta (el programa es comercial; Bredesen coautor)</t>
  </si>
  <si>
    <t xml:space="preserve">cita encontrada; cifra coincide; verificado: PMID 34680464 (Europa PMC: título y año 2021 coinciden)</t>
  </si>
  <si>
    <t xml:space="preserve">PMID 34680464</t>
  </si>
  <si>
    <t xml:space="preserve">https://doi.org/10.3390/biomedicines9101348</t>
  </si>
  <si>
    <t xml:space="preserve">Medicina de precisión (ReCODE) frente a atención estándar</t>
  </si>
  <si>
    <t xml:space="preserve">Preprint aleatorizado</t>
  </si>
  <si>
    <t xml:space="preserve">Toups K, Tanio CP, Hathaway A y cols. 2026. Preprint Preprints.org v3</t>
  </si>
  <si>
    <t xml:space="preserve">Aleatorizado frente a atención estándar (preprint, no revisado)</t>
  </si>
  <si>
    <t xml:space="preserve">Evaluación bioquímica, microbiológica, genética, epigenética e imagen y tratamiento personalizado</t>
  </si>
  <si>
    <t xml:space="preserve">Funcionamiento neurocognitivo global, memoria, función ejecutiva, velocidad de procesamiento, síntomas</t>
  </si>
  <si>
    <t xml:space="preserve">Neurocognición global d=1,12 (IC95% 0,56-1,66; p&lt;0,001); memoria d=0,94 (0,40-1,46); ejecutiva d=0,89 (0,35-1,43; p=0,001); velocidad d=0,67 (0,14-1,19; p=0,012); síntomas autorreferidos d=-1,05; reportados por pareja d=1,26; MoCA p=0,154</t>
  </si>
  <si>
    <t xml:space="preserve">Sin edema cerebral, microhemorragia ni atrofia según los autores</t>
  </si>
  <si>
    <t xml:space="preserve">no consta en el fragmento</t>
  </si>
  <si>
    <t xml:space="preserve">cita encontrada; cifra coincide; verificado: DOI 10.20944/preprints202512.2694.v3 (Europa PMC, preprint: título y año 2026 coinciden)</t>
  </si>
  <si>
    <t xml:space="preserve">DOI 10.20944/preprints202512.2694.v3</t>
  </si>
  <si>
    <t xml:space="preserve">https://doi.org/10.20944/preprints202512.2694.v3</t>
  </si>
  <si>
    <t xml:space="preserve">sangre_plasma_quelacion</t>
  </si>
  <si>
    <t xml:space="preserve">Recambio de plasma con albumina (AMBAR)</t>
  </si>
  <si>
    <t xml:space="preserve">Industria/ensayo pivotal (Grifols); eliminación de factores del envejecimiento y movilización de amiloide</t>
  </si>
  <si>
    <t xml:space="preserve">Boada M, López OL, Olazarán J, et al. 2020, Alzheimer's &amp; Dementia</t>
  </si>
  <si>
    <t xml:space="preserve">Fase 2b/3, aleatorizado 1:1:1:1, placebo (recambio simulado)</t>
  </si>
  <si>
    <t xml:space="preserve">347 (496 cribados)</t>
  </si>
  <si>
    <t xml:space="preserve">6 semanas semanales + 12 meses mensuales de bajo volumen; evaluación a los 14 meses</t>
  </si>
  <si>
    <t xml:space="preserve">3 brazos de recambio con distintas dosis de albumina con/sin IgIV + placebo</t>
  </si>
  <si>
    <t xml:space="preserve">ADCS-ADL y ADAS-Cog (coprimarios), CDR-SB, ADCS-CGIC</t>
  </si>
  <si>
    <t xml:space="preserve">ADCS-ADL P=0,03 (52% menos deterioro); ADAS-Cog P=0,06 (66% menos deterioro). Moderados (MMSE 18-21): ADCS-ADL P=0,002 y ADAS-Cog P=0,05, 61% menos deterioro ambos. Sin cambios en leves (MMSE 22-26). CDR-SB P=0,002 (71% menos deterioro).</t>
  </si>
  <si>
    <t xml:space="preserve">Ver fila de seguridad AMBAR</t>
  </si>
  <si>
    <t xml:space="preserve">Promotor Instituto Grifols; autores incluyen Kiprov D y Grifols C. Financiación Grifols.</t>
  </si>
  <si>
    <t xml:space="preserve">No consta en la fuente</t>
  </si>
  <si>
    <t xml:space="preserve">cita encontrada; cifra coincide (PMID 32715623)</t>
  </si>
  <si>
    <t xml:space="preserve">PMID 32715623; DOI 10.1002/alz.12137; NCT01561053</t>
  </si>
  <si>
    <t xml:space="preserve">https://europepmc.org/article/MED/32715623</t>
  </si>
  <si>
    <t xml:space="preserve">Recambio de plasma con albumina (AMBAR): neuropsicología y calidad de vida</t>
  </si>
  <si>
    <t xml:space="preserve">Industria; análisis secundario</t>
  </si>
  <si>
    <t xml:space="preserve">Boada M, López OL, Olazarán J, et al. 2022, Alzheimer's &amp; Dementia</t>
  </si>
  <si>
    <t xml:space="preserve">Análisis secundario del ensayo AMBAR</t>
  </si>
  <si>
    <t xml:space="preserve">347</t>
  </si>
  <si>
    <t xml:space="preserve">Alzheimer leve y moderado</t>
  </si>
  <si>
    <t xml:space="preserve">Hasta mes 14</t>
  </si>
  <si>
    <t xml:space="preserve">Igual que AMBAR</t>
  </si>
  <si>
    <t xml:space="preserve">Fluencia verbal, velocidad de procesamiento, memoria verbal, neuropsiquiátricos, QoL-AD</t>
  </si>
  <si>
    <t xml:space="preserve">Leves: mejora de fluencia del lenguaje y velocidad de procesamiento vs placebo al mes 14 (tamaños de efecto &gt;100%; P de 0,03 a 0,001). Moderados: mejora de memoria verbal a corto plazo (efecto 94% a &gt;100%; P 0,02 a 0,003). Síntomas neuropsiquiátricos similares a placebo. Calidad de vida en leves P 0,04 a 0,008.</t>
  </si>
  <si>
    <t xml:space="preserve">Financiación Grifols.</t>
  </si>
  <si>
    <t xml:space="preserve">cita encontrada; cifra no comprobable en el resumen (PMID 34726348)</t>
  </si>
  <si>
    <t xml:space="preserve">PMID 34726348; DOI 10.1002/alz.12477</t>
  </si>
  <si>
    <t xml:space="preserve">https://europepmc.org/article/MED/34726348</t>
  </si>
  <si>
    <t xml:space="preserve">Recambio de plasma con albumina (AMBAR): neuroimagen</t>
  </si>
  <si>
    <t xml:space="preserve">Cuberas-Borrós G, et al. 2022, Eur J Nucl Med Mol Imaging</t>
  </si>
  <si>
    <t xml:space="preserve">Subestudio de imagen de AMBAR</t>
  </si>
  <si>
    <t xml:space="preserve">198 (RM) / 213 (FDG-PET)</t>
  </si>
  <si>
    <t xml:space="preserve">14 meses</t>
  </si>
  <si>
    <t xml:space="preserve">Volumen subcortical (RM) y metabolismo FDG-PET</t>
  </si>
  <si>
    <t xml:space="preserve">Menos cambios de volumen subcortical con albumina alta + IgIV; el metabolismo empeoró en las zonas típicas del Alzheimer y el grupo albumina alta + IgIV mostró la mayor estabilidad metabólica frente a placebo.</t>
  </si>
  <si>
    <t xml:space="preserve">Autores incluyen Boada M y Grifols C; financiación no verificada en este resumen.</t>
  </si>
  <si>
    <t xml:space="preserve">cita encontrada; cifra no comprobable en el resumen (PMID 35867135)</t>
  </si>
  <si>
    <t xml:space="preserve">PMID 35867135; DOI 10.1007/s00259-022-05915-5</t>
  </si>
  <si>
    <t xml:space="preserve">https://europepmc.org/article/MED/35867135</t>
  </si>
  <si>
    <t xml:space="preserve">Recambio de plasma con albumina (AMBAR): seguridad</t>
  </si>
  <si>
    <t xml:space="preserve">Industria</t>
  </si>
  <si>
    <t xml:space="preserve">Boada M, Kiprov D, Anaya F, et al. 2023, J Clin Apheresis</t>
  </si>
  <si>
    <t xml:space="preserve">Análisis de seguridad de AMBAR</t>
  </si>
  <si>
    <t xml:space="preserve">6 semanas de recambio convencional semanal + 12 meses de recambio de bajo volumen mensual</t>
  </si>
  <si>
    <t xml:space="preserve">Eventos adversos por procedimiento</t>
  </si>
  <si>
    <t xml:space="preserve">Eventos adversos en 16,9% de 1283 recambios convencionales y 12,5% de 2203 de bajo volumen, frente a 0,7% de 1223 procedimientos simulados. Acceso venoso central 20,1% frente a 13,1% periférico.</t>
  </si>
  <si>
    <t xml:space="preserve">Ver resultado</t>
  </si>
  <si>
    <t xml:space="preserve">cita encontrada; cifra coincide (PMID 36305459)</t>
  </si>
  <si>
    <t xml:space="preserve">PMID 36305459; DOI 10.1002/jca.22026</t>
  </si>
  <si>
    <t xml:space="preserve">https://europepmc.org/article/MED/36305459</t>
  </si>
  <si>
    <t xml:space="preserve">Recambio de plasma con albumina (AMBAR): mediadores inflamatorios</t>
  </si>
  <si>
    <t xml:space="preserve">Industria; mecanismo antiinflamatorio</t>
  </si>
  <si>
    <t xml:space="preserve">Gonzalo R, et al. 2024, Ann Clin Transl Neurol</t>
  </si>
  <si>
    <t xml:space="preserve">Análisis de biomarcadores de AMBAR</t>
  </si>
  <si>
    <t xml:space="preserve">142</t>
  </si>
  <si>
    <t xml:space="preserve">19 mediadores inflamatorios en suero y LCR</t>
  </si>
  <si>
    <t xml:space="preserve">Redujo IFN-g, eotaxina, MIP-1a e ICAM-1 en suero, y eotaxina-3 y MIP-1b en LCR, en varios momentos. Cambios en MIP-1a asociados a cambios clínicos.</t>
  </si>
  <si>
    <t xml:space="preserve">No detallados</t>
  </si>
  <si>
    <t xml:space="preserve">cita encontrada; cifra coincide (PMID 39476248)</t>
  </si>
  <si>
    <t xml:space="preserve">PMID 39476248; DOI 10.1002/acn3.52235</t>
  </si>
  <si>
    <t xml:space="preserve">https://europepmc.org/article/MED/39476248</t>
  </si>
  <si>
    <t xml:space="preserve">Reanálisis de AMBAR con modelo de mezcla de crecimiento latente</t>
  </si>
  <si>
    <t xml:space="preserve">Post hoc por subgrupos</t>
  </si>
  <si>
    <t xml:space="preserve">Ayasse ND, Stewart WF, Lipton RB, Gomez-Ulloa D, Runken MC. 2024, Curr Alzheimer Res</t>
  </si>
  <si>
    <t xml:space="preserve">Reanálisis post hoc de ADAS-Cog 12 con 2 clases latentes + simulación (n=1000)</t>
  </si>
  <si>
    <t xml:space="preserve">AMBAR + simulado 1000</t>
  </si>
  <si>
    <t xml:space="preserve">ADAS-Cog 12</t>
  </si>
  <si>
    <t xml:space="preserve">Al retirar la clase de trayectoria muy variable (n=48, 22%), la clase estable vs placebo completo dio eficacia significativa (P=0,007; d de Cohen -0,4).</t>
  </si>
  <si>
    <t xml:space="preserve">No consta en el resumen.</t>
  </si>
  <si>
    <t xml:space="preserve">cita encontrada; cifra coincide (PMID 39318022)</t>
  </si>
  <si>
    <t xml:space="preserve">PMID 39318022; DOI 10.2174/0115672050316936240905064215</t>
  </si>
  <si>
    <t xml:space="preserve">https://europepmc.org/article/MED/39318022</t>
  </si>
  <si>
    <t xml:space="preserve">Recambio de plasma con albumina 5% (piloto fase II)</t>
  </si>
  <si>
    <t xml:space="preserve">Ensayo piloto previo</t>
  </si>
  <si>
    <t xml:space="preserve">Boada M, Anaya F, Ortiz P, et al. 2017, J Alzheimers Dis</t>
  </si>
  <si>
    <t xml:space="preserve">Fase II multicéntrico, ciego para paciente y evaluador</t>
  </si>
  <si>
    <t xml:space="preserve">Hasta 18 recambios + 6 meses de seguimiento</t>
  </si>
  <si>
    <t xml:space="preserve">Albutein 5% (Grifols): 2/semana x3 sem, 1/semana x6 sem, o 1 cada 2 semanas x12 sem</t>
  </si>
  <si>
    <t xml:space="preserve">Aβ en LCR y plasma, cognición, función</t>
  </si>
  <si>
    <t xml:space="preserve">Aβ1-42 en LCR: +75,3 vs -45,5 pg/mL (p=0,072, marginal). Aβ1-42 plasmático menor en tratados. Mejora de memoria y lenguaje que persistió tras suspender.</t>
  </si>
  <si>
    <t xml:space="preserve">Beca NCATS NIH; ensayo registrado con promotor Instituto Grifols.</t>
  </si>
  <si>
    <t xml:space="preserve">cita encontrada; cifra coincide (PMID 27911295)</t>
  </si>
  <si>
    <t xml:space="preserve">PMID 27911295; DOI 10.3233/jad-160565; NCT00742417</t>
  </si>
  <si>
    <t xml:space="preserve">https://europepmc.org/article/MED/27911295</t>
  </si>
  <si>
    <t xml:space="preserve">Recambio de plasma con albumina 5%: neuroimagen del piloto</t>
  </si>
  <si>
    <t xml:space="preserve">Cuberas-Borrós G, et al. 2018, J Alzheimers Dis</t>
  </si>
  <si>
    <t xml:space="preserve">Subestudio SPECT y RM del piloto fase II</t>
  </si>
  <si>
    <t xml:space="preserve">42 reclutados; 37 analizados (18 tratados, 19 controles)</t>
  </si>
  <si>
    <t xml:space="preserve">21 semanas + 6 meses de seguimiento</t>
  </si>
  <si>
    <t xml:space="preserve">3 a 18 recambios con Albutein 5% o simulado</t>
  </si>
  <si>
    <t xml:space="preserve">Perfusión cerebral SPECT y cambios estructurales RM</t>
  </si>
  <si>
    <t xml:space="preserve">Ambos grupos mostraron descenso de volumen y de perfusión; el recambio con albumina favoreció la estabilización de la perfusión.</t>
  </si>
  <si>
    <t xml:space="preserve">Financiación no verificada en este resumen.</t>
  </si>
  <si>
    <t xml:space="preserve">cita encontrada; cifra no comprobable en el resumen (PMID 29154283)</t>
  </si>
  <si>
    <t xml:space="preserve">PMID 29154283; DOI 10.3233/jad-170693</t>
  </si>
  <si>
    <t xml:space="preserve">https://europepmc.org/article/MED/29154283</t>
  </si>
  <si>
    <t xml:space="preserve">Recambio de plasma con albumina en práctica real (Argentina)</t>
  </si>
  <si>
    <t xml:space="preserve">Práctica clínica fuera del ensayo</t>
  </si>
  <si>
    <t xml:space="preserve">Taragano F, Seinhart D, Epstein P, et al. 2025, J Alzheimers Dis</t>
  </si>
  <si>
    <t xml:space="preserve">32 tratados vs control histórico (2008-2018)</t>
  </si>
  <si>
    <t xml:space="preserve">32 tratados; 194 controles históricos</t>
  </si>
  <si>
    <t xml:space="preserve">Alzheimer leve-moderado (MMSE basal 15-26), edad media 72,1</t>
  </si>
  <si>
    <t xml:space="preserve">2022-2024</t>
  </si>
  <si>
    <t xml:space="preserve">6 sesiones intensivas semanales + al menos 10 mensuales; volúmenes medios 88,2% (intensiva) y 49,8% (mantenimiento) del volumen plasmático</t>
  </si>
  <si>
    <t xml:space="preserve">MMSE, memoria, lenguaje, función ejecutiva, atención</t>
  </si>
  <si>
    <t xml:space="preserve">514 procedimientos. Declive del MMSE 45% menor que controles (p&lt;0,001); deterioro de memoria 88% menor en recuerdo inmediato (p&lt;0,001) y 74% en diferido (p=0,04).</t>
  </si>
  <si>
    <t xml:space="preserve">81,5% de procedimientos sin incidencias; eventos leves-moderados en 18,5% de sesiones, sobre todo por venopunción; ninguno grave.</t>
  </si>
  <si>
    <t xml:space="preserve">Beca García Pumariño Puente (Europe PMC). Conflictos no leídos.</t>
  </si>
  <si>
    <t xml:space="preserve">cita encontrada; cifra coincide (PMID 40928812)</t>
  </si>
  <si>
    <t xml:space="preserve">PMID 40928812; DOI 10.1177/13872877251375430</t>
  </si>
  <si>
    <t xml:space="preserve">https://europepmc.org/article/MED/40928812</t>
  </si>
  <si>
    <t xml:space="preserve">Plasma joven (transfusión)</t>
  </si>
  <si>
    <t xml:space="preserve">Recambio de 16-26 L de plasma por plasma de donantes jóvenes (18-24 años)</t>
  </si>
  <si>
    <t xml:space="preserve">Heterocronía/parabiosis trasladada a humanos</t>
  </si>
  <si>
    <t xml:space="preserve">Søraas A, Engvig A, Alnæs D, et al. 2026, GeroScience</t>
  </si>
  <si>
    <t xml:space="preserve">Piloto de seguridad/viabilidad, 3 pautas con 3-5 pacientes cada una</t>
  </si>
  <si>
    <t xml:space="preserve">12</t>
  </si>
  <si>
    <t xml:space="preserve">Deterioro cognitivo leve con biomarcador de Alzheimer</t>
  </si>
  <si>
    <t xml:space="preserve">Sustitución de 16-26 L de plasma por plasma de donantes de 18-24 años; dosis e intervalo ajustados para equilibrar con el líquido intersticial</t>
  </si>
  <si>
    <t xml:space="preserve">Seguridad, viabilidad, carga, variables clínicas y cognición a corto plazo</t>
  </si>
  <si>
    <t xml:space="preserve">Procedimientos viables; eventos adversos acordes con los riesgos conocidos del recambio. No hay cifra de eficacia en el resumen.</t>
  </si>
  <si>
    <t xml:space="preserve">Los conocidos del recambio plasmático</t>
  </si>
  <si>
    <t xml:space="preserve">Longevity Impetus Grant (Norn Group), Nasjonalforeningen for Folkehelsen, Universidad de Oslo.</t>
  </si>
  <si>
    <t xml:space="preserve">cita encontrada; cifra coincide (PMID 42489967; 'twelve' en el resumen = 12)</t>
  </si>
  <si>
    <t xml:space="preserve">PMID 42489967; DOI 10.1007/s11357-026-02435-0; NCT06234436</t>
  </si>
  <si>
    <t xml:space="preserve">https://europepmc.org/article/MED/42489967</t>
  </si>
  <si>
    <t xml:space="preserve">Recambio de plasma</t>
  </si>
  <si>
    <t xml:space="preserve">Plasma dilución/infusión ADDITION-MCI - registro</t>
  </si>
  <si>
    <t xml:space="preserve">Oslo University Hospital, NCT06234436</t>
  </si>
  <si>
    <t xml:space="preserve">Brazo único</t>
  </si>
  <si>
    <t xml:space="preserve">10 (estimado)</t>
  </si>
  <si>
    <t xml:space="preserve">Deterioro cognitivo leve probablemente por Alzheimer</t>
  </si>
  <si>
    <t xml:space="preserve">2023-12 a 2025-12 (estimado)</t>
  </si>
  <si>
    <t xml:space="preserve">1-20 recambios de plasma</t>
  </si>
  <si>
    <t xml:space="preserve">Eventos adversos</t>
  </si>
  <si>
    <t xml:space="preserve">Estado UNKNOWN; sin resultados publicados en el registro.</t>
  </si>
  <si>
    <t xml:space="preserve">Promotor Oslo University Hospital.</t>
  </si>
  <si>
    <t xml:space="preserve">cita encontrada; cifra no comprobable en el resumen (NCT06234436)</t>
  </si>
  <si>
    <t xml:space="preserve">NCT06234436</t>
  </si>
  <si>
    <t xml:space="preserve">https://clinicaltrials.gov/study/NCT06234436</t>
  </si>
  <si>
    <t xml:space="preserve">Plasma de donantes entrenados (ExPlas)</t>
  </si>
  <si>
    <t xml:space="preserve">Plasma 'ejercitado'</t>
  </si>
  <si>
    <t xml:space="preserve">Tari AR, Berg HH, Videm V, et al. 2022, BMJ Open (protocolo); NCT05068830</t>
  </si>
  <si>
    <t xml:space="preserve">Protocolo aleatorizado doble ciego, 3 brazos (ExPlas, Octaplasma, salino)</t>
  </si>
  <si>
    <t xml:space="preserve">Alzheimer temprano / deterioro leve, hasta 75 años</t>
  </si>
  <si>
    <t xml:space="preserve">12 transfusiones en un año; fin estimado 2031-03</t>
  </si>
  <si>
    <t xml:space="preserve">200 mL por infusión; plasma de 30 donantes varones 18-40 años con VO2max&gt;55 mL/kg/min, inactivado con Intercept; 12 transfusiones en 3 bloques de 4 semanas</t>
  </si>
  <si>
    <t xml:space="preserve">Seguridad, tolerabilidad, cumplimiento; secundarios: cognición, RM, LCR</t>
  </si>
  <si>
    <t xml:space="preserve">Protocolo sin resultados; ensayo activo sin resultados publicados.</t>
  </si>
  <si>
    <t xml:space="preserve">Helse Midt-Norge, K.G. Jebsen Foundation, NTNU, Consejo de Investigación de Noruega, St. Olavs.</t>
  </si>
  <si>
    <t xml:space="preserve">cita encontrada; cifra no comprobable en el resumen (NCT05068830; PMID 36538409 no consultado)</t>
  </si>
  <si>
    <t xml:space="preserve">NCT05068830; PMID 36538409</t>
  </si>
  <si>
    <t xml:space="preserve">https://clinicaltrials.gov/study/NCT05068830</t>
  </si>
  <si>
    <t xml:space="preserve">Recambio plasmático y biomarcadores de ARN</t>
  </si>
  <si>
    <t xml:space="preserve">Clínica privada (MaxWell Clinic)</t>
  </si>
  <si>
    <t xml:space="preserve">MaxWell Clinic PLC, NCT06079827</t>
  </si>
  <si>
    <t xml:space="preserve">Registro</t>
  </si>
  <si>
    <t xml:space="preserve">43 (estimado)</t>
  </si>
  <si>
    <t xml:space="preserve">2022-03 a 2025-09 (estimado)</t>
  </si>
  <si>
    <t xml:space="preserve">Recambio plasmático terapéutico</t>
  </si>
  <si>
    <t xml:space="preserve">Reducción de biomarcadores de ARN y rapidez de reaparición</t>
  </si>
  <si>
    <t xml:space="preserve">Estado UNKNOWN; sin resultados publicados.</t>
  </si>
  <si>
    <t xml:space="preserve">Promotor MaxWell Clinic PLC (industria).</t>
  </si>
  <si>
    <t xml:space="preserve">cita encontrada; cifra no comprobable en el resumen (NCT06079827)</t>
  </si>
  <si>
    <t xml:space="preserve">NCT06079827</t>
  </si>
  <si>
    <t xml:space="preserve">https://clinicaltrials.gov/study/NCT06079827</t>
  </si>
  <si>
    <t xml:space="preserve">Plasma fresco congelado de donantes jóvenes (18-30 años), estudio PLASMA</t>
  </si>
  <si>
    <t xml:space="preserve">Heterocronía (Stanford)</t>
  </si>
  <si>
    <t xml:space="preserve">Sha SJ, Deutsch GK, Tian L, et al. 2019, JAMA Neurology</t>
  </si>
  <si>
    <t xml:space="preserve">Doble ciego cruzado (n=9) + fase abierta (n=9)</t>
  </si>
  <si>
    <t xml:space="preserve">Alzheimer probable leve-moderado, MMSE 12-24, 50-90 años</t>
  </si>
  <si>
    <t xml:space="preserve">4 infusiones semanales; lavado de 6 semanas</t>
  </si>
  <si>
    <t xml:space="preserve">1 unidad (aprox. 250 mL) semanal de plasma de varones jóvenes vs 250 mL de salino, 4 semanas</t>
  </si>
  <si>
    <t xml:space="preserve">Seguridad, tolerabilidad y viabilidad (primarios)</t>
  </si>
  <si>
    <t xml:space="preserve">Eventos adversos: plasma 17 (94,4%) vs placebo 9 (100%), sin diferencia significativa. En el grupo plasma: hipertensión 3 (16,7%), mareo 2 (11,1%), bradicardia sinusal 3 (16,7%), cefalea 3 (16,7%), taquicardia sinusal 3 (16,7%). Adherencia 86%. Los autores indican seguro, tolerable y viable; limitaciones: muestra pequeña, corta duración, cambio de diseño.</t>
  </si>
  <si>
    <t xml:space="preserve">Sin eventos graves relacionados; un abandono por urticaria y otro por ictus no relacionado</t>
  </si>
  <si>
    <t xml:space="preserve">Beca NIA (Europe PMC); conflictos no leídos en el resumen.</t>
  </si>
  <si>
    <t xml:space="preserve">cita encontrada; cifra coincide (PMID 30383097; NCT02256306 encontrado)</t>
  </si>
  <si>
    <t xml:space="preserve">PMID 30383097; DOI 10.1001/jamaneurol.2018.3288; NCT02256306</t>
  </si>
  <si>
    <t xml:space="preserve">https://europepmc.org/article/MED/30383097</t>
  </si>
  <si>
    <t xml:space="preserve">GRF6019 (fracción de plasma)</t>
  </si>
  <si>
    <t xml:space="preserve">GRF6019 (fracción proteica de plasma, Alkahest)</t>
  </si>
  <si>
    <t xml:space="preserve">Industria; fracción de plasma joven</t>
  </si>
  <si>
    <t xml:space="preserve">Hannestad J, Koborsi K, Klutzaritz V, et al. 2020, Alzheimers Dement (N Y)</t>
  </si>
  <si>
    <t xml:space="preserve">Fase 2 doble ciego de comparación de dosis</t>
  </si>
  <si>
    <t xml:space="preserve">47 (24 con 100 mL; 23 con 250 mL)</t>
  </si>
  <si>
    <t xml:space="preserve">Alzheimer leve-moderado, edad media 74,3</t>
  </si>
  <si>
    <t xml:space="preserve">5 días consecutivos x2 periodos separados 3 meses; evaluación a 24 semanas</t>
  </si>
  <si>
    <t xml:space="preserve">100 mL o 250 mL diarios de GRF6019 x5 días</t>
  </si>
  <si>
    <t xml:space="preserve">Seguridad, tolerabilidad; MMSE, ADAS-Cog, ADCS-ADL</t>
  </si>
  <si>
    <t xml:space="preserve">MMSE a 24 sem: -1,0 (IC95% -3,1 a 1,1) con 100 mL y +1,5 (-0,4 a 3,3) con 250 mL. ADAS-Cog: -0,4 y -0,9. ADCS-ADL: -0,7 y -1,3. Los autores indican que no hubo declive cognitivo y declive funcional mínimo. Sin brazo placebo.</t>
  </si>
  <si>
    <t xml:space="preserve">55% de eventos adversos leves; sin diferencias de seguridad entre dosis</t>
  </si>
  <si>
    <t xml:space="preserve">No consta en el resumen; el autor Páez A figura también en publicaciones de AMBAR (Grifols).</t>
  </si>
  <si>
    <t xml:space="preserve">cita encontrada; cifra coincide (PMID 33344754; n y 55% de eventos adversos presentes)</t>
  </si>
  <si>
    <t xml:space="preserve">PMID 33344754; DOI 10.1002/trc2.12115</t>
  </si>
  <si>
    <t xml:space="preserve">https://europepmc.org/article/MED/33344754</t>
  </si>
  <si>
    <t xml:space="preserve">Derivados sanguíneos (plasma e IgIV)</t>
  </si>
  <si>
    <t xml:space="preserve">Derivados sanguíneos (3 ensayos de plasma + 5 de IgIV)</t>
  </si>
  <si>
    <t xml:space="preserve">Metaanálisis</t>
  </si>
  <si>
    <t xml:space="preserve">Fei Z, Pan B, Pei R, et al. 2022, Systematic Reviews</t>
  </si>
  <si>
    <t xml:space="preserve">Revisión sistemática y metaanálisis de 8 ECA</t>
  </si>
  <si>
    <t xml:space="preserve">1148</t>
  </si>
  <si>
    <t xml:space="preserve">Búsqueda hasta dic 2021</t>
  </si>
  <si>
    <t xml:space="preserve">Recambio, plasma joven e IgIV</t>
  </si>
  <si>
    <t xml:space="preserve">Cognición, ADCS-ADL, NPI</t>
  </si>
  <si>
    <t xml:space="preserve">Sin diferencia significativa: RR 1,10 (IC95% 0,79-1,54); ADAS-Cog DM 0,36; ADCS-ADL DM -1,34 (IC -5,01 a 2,32); NPI DM 2,20 (0,07 a 4,32). IgIV: NPI peor que placebo (DM 2,19).</t>
  </si>
  <si>
    <t xml:space="preserve">IgIV bien tolerada hasta 0,4 g/kg</t>
  </si>
  <si>
    <t xml:space="preserve">Becas de Sichuan (ciencia y tecnología; comisión de salud).</t>
  </si>
  <si>
    <t xml:space="preserve">cita encontrada; cifra coincide (PMID 36443888)</t>
  </si>
  <si>
    <t xml:space="preserve">PMID 36443888; DOI 10.1186/s13643-022-02115-y</t>
  </si>
  <si>
    <t xml:space="preserve">https://europepmc.org/article/MED/36443888</t>
  </si>
  <si>
    <t xml:space="preserve">Sangre heterocrónica (ratones)</t>
  </si>
  <si>
    <t xml:space="preserve">Infusión de sangre de ratones jóvenes o viejos en ratones transgénicos</t>
  </si>
  <si>
    <t xml:space="preserve">Heterocronía en animales</t>
  </si>
  <si>
    <t xml:space="preserve">Pizarro M, et al. 2025, Aging</t>
  </si>
  <si>
    <t xml:space="preserve">Infusión de sangre de donantes jóvenes y viejos</t>
  </si>
  <si>
    <t xml:space="preserve">Ratones transgénicos de amiloidosis</t>
  </si>
  <si>
    <t xml:space="preserve">Infusión de sangre de ratones WT jóvenes o viejos</t>
  </si>
  <si>
    <t xml:space="preserve">Memoria, acumulación de Aβ, proteómica</t>
  </si>
  <si>
    <t xml:space="preserve">Memoria alterada y más Aβ con sangre de donantes viejos; α2δ2 señalada como posible mediadora.</t>
  </si>
  <si>
    <t xml:space="preserve">Becas NIA y NIEHS.</t>
  </si>
  <si>
    <t xml:space="preserve">cita encontrada; cifra no comprobable en el resumen (PMID 40952372)</t>
  </si>
  <si>
    <t xml:space="preserve">PMID 40952372; DOI 10.18632/aging.206319</t>
  </si>
  <si>
    <t xml:space="preserve">https://europepmc.org/article/MED/40952372</t>
  </si>
  <si>
    <t xml:space="preserve">Recambio de plasma con albumina en ratones APP/PS1 avanzados</t>
  </si>
  <si>
    <t xml:space="preserve">Preclínico (Soto)</t>
  </si>
  <si>
    <t xml:space="preserve">Koerich S, Ramirez S, Astudillo N, Colpo G, Soto C. 2025, Alzheimers Dement (resumen de congreso)</t>
  </si>
  <si>
    <t xml:space="preserve">Resumen de congreso</t>
  </si>
  <si>
    <t xml:space="preserve">Ratones APP/PS1 en estadio avanzado</t>
  </si>
  <si>
    <t xml:space="preserve">Recambio de plasma con albumina</t>
  </si>
  <si>
    <t xml:space="preserve">Placas amiloides, neuroinflamación</t>
  </si>
  <si>
    <t xml:space="preserve">El título declara reducción de placas amiloides y modulación de neuroinflamación; el resumen no estaba disponible y no se transcriben cifras.</t>
  </si>
  <si>
    <t xml:space="preserve">No consta.</t>
  </si>
  <si>
    <t xml:space="preserve">cita encontrada; cifra no comprobable en el resumen (PMCID PMC12740588; sin resumen)</t>
  </si>
  <si>
    <t xml:space="preserve">PMCID PMC12740588</t>
  </si>
  <si>
    <t xml:space="preserve">https://europepmc.org/article/PMC/PMC12740588</t>
  </si>
  <si>
    <t xml:space="preserve">Dilución de plasma viejo</t>
  </si>
  <si>
    <t xml:space="preserve">Longevidad (Conboy, Kiprov)</t>
  </si>
  <si>
    <t xml:space="preserve">Kim D, Kiprov DD, Luellen C, et al. 2022, GeroScience</t>
  </si>
  <si>
    <t xml:space="preserve">Estudio clínico de recambio plasmático y edad biológica</t>
  </si>
  <si>
    <t xml:space="preserve">Adultos (no Alzheimer)</t>
  </si>
  <si>
    <t xml:space="preserve">Rondas de recambio plasmático terapéutico</t>
  </si>
  <si>
    <t xml:space="preserve">Edad biológica con 10 biomarcadores proteicos, proteoma</t>
  </si>
  <si>
    <t xml:space="preserve">Los autores reportan desplazamiento a un proteoma más joven, menor senescencia celular y daño de ADN, y normalización de TLR4.</t>
  </si>
  <si>
    <t xml:space="preserve">Becas NIH, NHLBI, NIA.</t>
  </si>
  <si>
    <t xml:space="preserve">cita encontrada; cifra no comprobable en el resumen (PMID 35999337)</t>
  </si>
  <si>
    <t xml:space="preserve">PMID 35999337; DOI 10.1007/s11357-022-00645-w</t>
  </si>
  <si>
    <t xml:space="preserve">https://europepmc.org/article/MED/35999337</t>
  </si>
  <si>
    <t xml:space="preserve">Recambio de plasma +/- IgIV quincenal o mensual vs placebo</t>
  </si>
  <si>
    <t xml:space="preserve">Longevidad (Kiprov)</t>
  </si>
  <si>
    <t xml:space="preserve">Fuentealba M, Kiprov D, et al. 2025, Aging Cell</t>
  </si>
  <si>
    <t xml:space="preserve">Aleatorizado ciego sencillo, placebo</t>
  </si>
  <si>
    <t xml:space="preserve">Adultos sanos mayores de 50</t>
  </si>
  <si>
    <t xml:space="preserve">Larga duración (no consta cifra)</t>
  </si>
  <si>
    <t xml:space="preserve">TPE quincenal con/sin IgIV, TPE mensual, placebo</t>
  </si>
  <si>
    <t xml:space="preserve">Relojes epigenéticos, proteoma, citocinas, seguridad</t>
  </si>
  <si>
    <t xml:space="preserve">15 relojes epigenéticos mostraron rejuvenecimiento frente a placebo (FDR&lt;0,05); mejor con TPE quincenal + IgIV.</t>
  </si>
  <si>
    <t xml:space="preserve">2 eventos adversos con interrupción, uno por IgIV</t>
  </si>
  <si>
    <t xml:space="preserve">No consta; registro NCT06534450.</t>
  </si>
  <si>
    <t xml:space="preserve">cita encontrada; cifra coincide (PMID 40424097; NCT06534450 encontrado)</t>
  </si>
  <si>
    <t xml:space="preserve">PMID 40424097; DOI 10.1111/acel.70103; NCT06534450</t>
  </si>
  <si>
    <t xml:space="preserve">https://europepmc.org/article/MED/40424097</t>
  </si>
  <si>
    <t xml:space="preserve">Deferoxamina (quelación)</t>
  </si>
  <si>
    <t xml:space="preserve">Deferoxamina intramuscular (quelante de aluminio)</t>
  </si>
  <si>
    <t xml:space="preserve">Quelación; hipótesis del aluminio</t>
  </si>
  <si>
    <t xml:space="preserve">McLachlan DR, Smith WL, Kruck TP. 1993, Ther Drug Monit (el original de 1991 en Lancet no se abrió)</t>
  </si>
  <si>
    <t xml:space="preserve">Aleatorizado, ciego sencillo, controlado con lecitina oral/placebo</t>
  </si>
  <si>
    <t xml:space="preserve">Desferrioxamina 125 mg i.m. dos veces al día, 5 días a la semana</t>
  </si>
  <si>
    <t xml:space="preserve">Escala de conducta por vídeo domiciliario (VHB); aluminio cerebral en autopsia</t>
  </si>
  <si>
    <t xml:space="preserve">El ritmo de deterioro fue el doble en el grupo sin tratamiento que en el tratado con DFO; el tratamiento prolongado bajó el aluminio neocortical casi a valores control. Los autores indican que la quelación puede ser un paliativo útil.</t>
  </si>
  <si>
    <t xml:space="preserve">cita encontrada; cifra coincide (PMID 8122302; n=48)</t>
  </si>
  <si>
    <t xml:space="preserve">PMID 8122302; DOI 10.1097/00007691-199312000-00027</t>
  </si>
  <si>
    <t xml:space="preserve">https://europepmc.org/article/MED/8122302</t>
  </si>
  <si>
    <t xml:space="preserve">Deferiprona (quelación)</t>
  </si>
  <si>
    <t xml:space="preserve">Deferiprona oral (quelante de hierro)</t>
  </si>
  <si>
    <t xml:space="preserve">Ayton S, Barton D, Brew B, et al. 2025, JAMA Neurology</t>
  </si>
  <si>
    <t xml:space="preserve">Fase 2 doble ciego, 2:1 con placebo, 9 centros de Australia</t>
  </si>
  <si>
    <t xml:space="preserve">81 (53 deferiprona; 28 placebo)</t>
  </si>
  <si>
    <t xml:space="preserve">DCL/Alzheimer temprano confirmado por amiloide, MMSE&gt;=20</t>
  </si>
  <si>
    <t xml:space="preserve">Deferiprona 15 mg/kg dos veces al día por vía oral</t>
  </si>
  <si>
    <t xml:space="preserve">Compuesto cognitivo NTB, hierro cerebral QSM, volumen cerebral</t>
  </si>
  <si>
    <t xml:space="preserve">Declive acelerado con deferiprona: z-score NTB -0,80 (IC95% -0,98 a -0,62) vs -0,30 (-0,54 a -0,06) en placebo (interacción β -0,50; IC -0,80 a -0,20). QSM hipocampal -0,36 ppb vs +0,32 ppb. Los autores concluyen que bajar el hierro con deferiprona fue perjudicial.</t>
  </si>
  <si>
    <t xml:space="preserve">Neutropenia en 4 participantes (7,5%) con deferiprona</t>
  </si>
  <si>
    <t xml:space="preserve">No leído en el resumen.</t>
  </si>
  <si>
    <t xml:space="preserve">cita encontrada; cifra coincide (PMID 39495531; NCT03234686 encontrado)</t>
  </si>
  <si>
    <t xml:space="preserve">EDTA disódico (quelación)</t>
  </si>
  <si>
    <t xml:space="preserve">Quelación con EDTA disódico (TACT2), no es Alzheimer</t>
  </si>
  <si>
    <t xml:space="preserve">Quelación; ensayo de referencia (TACT)</t>
  </si>
  <si>
    <t xml:space="preserve">Lamas GA, Anstrom KJ, Navas-Acien A, et al. 2024, JAMA</t>
  </si>
  <si>
    <t xml:space="preserve">Doble ciego con placebo, 2x2 factorial, 88 centros</t>
  </si>
  <si>
    <t xml:space="preserve">959 (483 quelación; 476 placebo)</t>
  </si>
  <si>
    <t xml:space="preserve">Diabetes con infarto previo, 50 años o más (no demencia)</t>
  </si>
  <si>
    <t xml:space="preserve">40 infusiones semanales; seguimiento mediano 48 meses</t>
  </si>
  <si>
    <t xml:space="preserve">EDTA disódico semanal x40 vs placebo</t>
  </si>
  <si>
    <t xml:space="preserve">Evento cardiovascular compuesto</t>
  </si>
  <si>
    <t xml:space="preserve">Evento primario en 35,6% (quelación) vs 35,7% (placebo); HR 0,93 (IC95% 0,76-1,16; P=0,53). Plomo en sangre de 9,03 a 3,46 ug/L. No se midió Alzheimer.</t>
  </si>
  <si>
    <t xml:space="preserve">No detallados en la parte leída</t>
  </si>
  <si>
    <t xml:space="preserve">Becas NIEHS, NCCIH, NCI (NIH).</t>
  </si>
  <si>
    <t xml:space="preserve">cita encontrada; cifra coincide (PMID 39141382; NCT02733185 encontrado)</t>
  </si>
  <si>
    <t xml:space="preserve">PMID 39141382; DOI 10.1001/jama.2024.11463; NCT02733185</t>
  </si>
  <si>
    <t xml:space="preserve">https://europepmc.org/article/MED/39141382</t>
  </si>
  <si>
    <t xml:space="preserve">Autohemoterapia con ozono</t>
  </si>
  <si>
    <t xml:space="preserve">Micarelli A, Mrakic-Sposta S, Malacrida S, et al. 2026, Neurology International</t>
  </si>
  <si>
    <t xml:space="preserve">Cohorte retrospectiva con controles sanos</t>
  </si>
  <si>
    <t xml:space="preserve">81 DCL + 93 controles</t>
  </si>
  <si>
    <t xml:space="preserve">10 sesiones (2 por semana) de autohemoterapia mayor O2-O3</t>
  </si>
  <si>
    <t xml:space="preserve">Olfato (Sniffin' Sticks TDI), MMSE, MoCA</t>
  </si>
  <si>
    <t xml:space="preserve">Normósmicos de 32,1% a 50,6%; TDI mejoró pero siguió bajo controles; MMSE sin cambio; MoCA total aumentó con mejora en repetición del lenguaje. Los autores indican que no se puede atribuir causalidad sin ensayos aleatorizados y ciegos.</t>
  </si>
  <si>
    <t xml:space="preserve">https://europepmc.org/article/MED/41893043</t>
  </si>
  <si>
    <t xml:space="preserve">Ozono en solución salina</t>
  </si>
  <si>
    <t xml:space="preserve">Solución salina ozonizada en células</t>
  </si>
  <si>
    <t xml:space="preserve">Ozonoterapia; célula</t>
  </si>
  <si>
    <t xml:space="preserve">Armeli F, Mengoni B, Menin M, et al. 2025, Molecules</t>
  </si>
  <si>
    <t xml:space="preserve">In vitro con microglía BV2 y células endoteliales HUVEC</t>
  </si>
  <si>
    <t xml:space="preserve">Ozono disuelto en salino a 1, 5 y 10 ug/NmL</t>
  </si>
  <si>
    <t xml:space="preserve">Viabilidad, Nrf2, SOD1, ROS, iNOS, IL-1b, Arg-1, IL-10</t>
  </si>
  <si>
    <t xml:space="preserve">Dosis 1 y 5 aumentaron proliferación; 10 redujo viabilidad. Subieron Nrf2 y SOD1; bajaron ROS, iNOS e IL-1b y subieron Arg-1 e IL-10 en microglía con LPS.</t>
  </si>
  <si>
    <t xml:space="preserve">La dosis más alta redujo viabilidad celular</t>
  </si>
  <si>
    <t xml:space="preserve">Becas Sapienza.</t>
  </si>
  <si>
    <t xml:space="preserve">cita encontrada; cifra no comprobable en el resumen (PMID 41097352)</t>
  </si>
  <si>
    <t xml:space="preserve">PMID 41097352; DOI 10.3390/molecules30193932</t>
  </si>
  <si>
    <t xml:space="preserve">https://europepmc.org/article/MED/41097352</t>
  </si>
  <si>
    <t xml:space="preserve">Autohemoterapia con ozono perioperatoria</t>
  </si>
  <si>
    <t xml:space="preserve">Ozonoterapia; China</t>
  </si>
  <si>
    <t xml:space="preserve">Peng W, Du Y, Lu W, et al. 2025, Braz J Cardiovasc Surg</t>
  </si>
  <si>
    <t xml:space="preserve">Grupo ozono vs transfusión de sangre de banco</t>
  </si>
  <si>
    <t xml:space="preserve">130</t>
  </si>
  <si>
    <t xml:space="preserve">Cirugía de válvula con circulación extracorpórea (no Alzheimer)</t>
  </si>
  <si>
    <t xml:space="preserve">Perioperatorio</t>
  </si>
  <si>
    <t xml:space="preserve">Citocinas, S100b, NSE, MMSE, MoCA</t>
  </si>
  <si>
    <t xml:space="preserve">Menores IL-6, TNF-a, IL-1b, S100b y NSE a las 24 h; mejor oxigenación cerebral intraoperatoria y menos disfunción cognitiva en el grupo ozono; sin diferencia en complicaciones transfusionales.</t>
  </si>
  <si>
    <t xml:space="preserve">Mayores tiempos de coagulación y menor fibrinógeno tras la cirugía en el grupo ozono</t>
  </si>
  <si>
    <t xml:space="preserve">cita encontrada; cifra coincide (PMID 40961278)</t>
  </si>
  <si>
    <t xml:space="preserve">PMID 40961278; DOI 10.21470/1678-9741-2024-0313</t>
  </si>
  <si>
    <t xml:space="preserve">https://europepmc.org/article/MED/40961278</t>
  </si>
  <si>
    <t xml:space="preserve">Hidrógeno molecular inhalado</t>
  </si>
  <si>
    <t xml:space="preserve">Hidrógeno molecular inhalado 3% (60 días)</t>
  </si>
  <si>
    <t xml:space="preserve">Hidrógeno molecular; Corea</t>
  </si>
  <si>
    <t xml:space="preserve">Abdul-Nasir S, Chau CT, Nguyen TT, et al. 2025, Int J Mol Sci</t>
  </si>
  <si>
    <t xml:space="preserve">Aleatorizado en ratones 5xFAD y WT, 4 grupos</t>
  </si>
  <si>
    <t xml:space="preserve">29 (14 5xFAD; 15 WT)</t>
  </si>
  <si>
    <t xml:space="preserve">Ratones 5xFAD</t>
  </si>
  <si>
    <t xml:space="preserve">H2 al 3% inhalado</t>
  </si>
  <si>
    <t xml:space="preserve">Morris, Y-maze, amoníaco, H2O2, Aβ, inflamación</t>
  </si>
  <si>
    <t xml:space="preserve">Previno déficits cognitivos, estrés oxidativo, acumulación de metabolitos tóxicos y marcadores inflamatorios.</t>
  </si>
  <si>
    <t xml:space="preserve">NRF Corea y Yonsei University Wonju.</t>
  </si>
  <si>
    <t xml:space="preserve">cita encontrada; cifra coincide (PMID 40725167)</t>
  </si>
  <si>
    <t xml:space="preserve">PMID 40725167; DOI 10.3390/ijms26146922</t>
  </si>
  <si>
    <t xml:space="preserve">https://europepmc.org/article/MED/40725167</t>
  </si>
  <si>
    <t xml:space="preserve">Hidrógeno molecular inhalado 2% (1 h/día)</t>
  </si>
  <si>
    <t xml:space="preserve">Mo C, Bajgai J, Rahman MH, et al. 2026, Antioxidants</t>
  </si>
  <si>
    <t xml:space="preserve">Ratones 5xFAD vs WT</t>
  </si>
  <si>
    <t xml:space="preserve">H2 2% por inhalación 1 h/día</t>
  </si>
  <si>
    <t xml:space="preserve">ROS, citocinas, NRF2, Aβ42</t>
  </si>
  <si>
    <t xml:space="preserve">Redujo ROS hipocampal, TNF-a e IL-1b; subió NRF2, ATP y catalasa; menor carga de Aβ42.</t>
  </si>
  <si>
    <t xml:space="preserve">NRF Corea.</t>
  </si>
  <si>
    <t xml:space="preserve">cita encontrada; cifra coincide (PMID 41897548)</t>
  </si>
  <si>
    <t xml:space="preserve">PMID 41897548; DOI 10.3390/antiox15030404</t>
  </si>
  <si>
    <t xml:space="preserve">https://europepmc.org/article/MED/41897548</t>
  </si>
  <si>
    <t xml:space="preserve">Hidrógeno molecular (oral)</t>
  </si>
  <si>
    <t xml:space="preserve">Mezcla oral de dihidrógeno + PQQ</t>
  </si>
  <si>
    <t xml:space="preserve">Hidrógeno molecular; Serbia</t>
  </si>
  <si>
    <t xml:space="preserve">Baltic S, Nedeljkovic D, Todorovic N, et al. 2024, J Nutr Health Aging</t>
  </si>
  <si>
    <t xml:space="preserve">Doble ciego con placebo, paralelo 1:1</t>
  </si>
  <si>
    <t xml:space="preserve">34</t>
  </si>
  <si>
    <t xml:space="preserve">Deterioro cognitivo leve, edad 71,9</t>
  </si>
  <si>
    <t xml:space="preserve">Alpha Hope (minerales productores de dihidrógeno + PQQ) dos veces al día</t>
  </si>
  <si>
    <t xml:space="preserve">BDNF sérico (primario), cognición, metabolitos, oxigenación</t>
  </si>
  <si>
    <t xml:space="preserve">BDNF sérico aumentó (P=0,01) en tratados; placebo sin cambio (P=0,27). El resumen leído se trunca antes del resto.</t>
  </si>
  <si>
    <t xml:space="preserve">No leídos (resumen truncado)</t>
  </si>
  <si>
    <t xml:space="preserve">Becas de Vojvodina; producto de CalerieLife; conflictos no leídos.</t>
  </si>
  <si>
    <t xml:space="preserve">Producto comercial; dosis exacta no consta en el resumen</t>
  </si>
  <si>
    <t xml:space="preserve">cita encontrada; cifra coincide (PMID 38908296; 'Thirty-four' en el resumen = 34)</t>
  </si>
  <si>
    <t xml:space="preserve">PMID 38908296; DOI 10.1016/j.jnha.2024.100287</t>
  </si>
  <si>
    <t xml:space="preserve">https://europepmc.org/article/MED/38908296</t>
  </si>
  <si>
    <t xml:space="preserve">SVCT2 (sobreexpresión génica)</t>
  </si>
  <si>
    <t xml:space="preserve">Sobreexpresión de transportador de ascorbato SVCT2 en microglía</t>
  </si>
  <si>
    <t xml:space="preserve">Vitamina C; animal</t>
  </si>
  <si>
    <t xml:space="preserve">Portugal CC, Santos ECS, et al. 2025, Redox Biology</t>
  </si>
  <si>
    <t xml:space="preserve">Sobreexpresión génica de SVCT2 en ratones 5xFAD</t>
  </si>
  <si>
    <t xml:space="preserve">Sobreexpresión génica (no vitamina C administrada)</t>
  </si>
  <si>
    <t xml:space="preserve">Placa amiloide, plasticidad sináptica, memoria</t>
  </si>
  <si>
    <t xml:space="preserve">Menor carga amiloide si se hace antes de la enfermedad; tras establecerse, rescató plasticidad sináptica y memoria sin afectar el amiloide. Los autores señalan que la suplementación dietética ha fallado en ensayos clínicos.</t>
  </si>
  <si>
    <t xml:space="preserve">Becas Fundação para a Ciência e a Tecnologia.</t>
  </si>
  <si>
    <t xml:space="preserve">cita encontrada; cifra no comprobable en el resumen (PMID 40907096)</t>
  </si>
  <si>
    <t xml:space="preserve">PMID 40907096; DOI 10.1016/j.redox.2025.103851</t>
  </si>
  <si>
    <t xml:space="preserve">https://europepmc.org/article/MED/40907096</t>
  </si>
  <si>
    <t xml:space="preserve">Vitamina C (infusión i.v.)</t>
  </si>
  <si>
    <t xml:space="preserve">Infusión de ácido ascórbico supraplasmático</t>
  </si>
  <si>
    <t xml:space="preserve">Vitamina C intravenosa</t>
  </si>
  <si>
    <t xml:space="preserve">DeConne TM, Sanjana F, et al. 2026, Physiol Rep</t>
  </si>
  <si>
    <t xml:space="preserve">Infusión de ascórbico vs salino</t>
  </si>
  <si>
    <t xml:space="preserve">28 (9 jóvenes; 19 de 65±6 años)</t>
  </si>
  <si>
    <t xml:space="preserve">Sanos de mediana edad y mayores (no Alzheimer)</t>
  </si>
  <si>
    <t xml:space="preserve">Aguda</t>
  </si>
  <si>
    <t xml:space="preserve">Infusión i.v. de ácido ascórbico (dosis no consta en el resumen)</t>
  </si>
  <si>
    <t xml:space="preserve">Reactividad cerebrovascular de carótida interna y cerebral media</t>
  </si>
  <si>
    <t xml:space="preserve">Mejoró la reactividad cerebrovascular en mayores y no en jóvenes.</t>
  </si>
  <si>
    <t xml:space="preserve">Becas NIA y NIGMS.</t>
  </si>
  <si>
    <t xml:space="preserve">cita encontrada; cifra no comprobable en el resumen (PMID 42830680; el n=28 queda fuera del fragmento leído)</t>
  </si>
  <si>
    <t xml:space="preserve">PMID 42830680; DOI 10.14814/phy2.71120</t>
  </si>
  <si>
    <t xml:space="preserve">https://europepmc.org/article/MED/42830680</t>
  </si>
  <si>
    <t xml:space="preserve">Lomecel-B (células mesenquimales)</t>
  </si>
  <si>
    <t xml:space="preserve">Lomecel-B (células mesenquimales alogénicas) i.v. - registro</t>
  </si>
  <si>
    <t xml:space="preserve">Terapia celular; industria</t>
  </si>
  <si>
    <t xml:space="preserve">Longeveron, NCT02600130</t>
  </si>
  <si>
    <t xml:space="preserve">Fase I aleatorizada doble ciego con placebo</t>
  </si>
  <si>
    <t xml:space="preserve">2016-10 a 2021-09</t>
  </si>
  <si>
    <t xml:space="preserve">20 millones o 100 millones de células por vía i.v. vs placebo</t>
  </si>
  <si>
    <t xml:space="preserve">Seguridad</t>
  </si>
  <si>
    <t xml:space="preserve">Completado; sin resultados publicados en el registro.</t>
  </si>
  <si>
    <t xml:space="preserve">Promotor Longeveron (industria).</t>
  </si>
  <si>
    <t xml:space="preserve">cita encontrada; cifra no comprobable en el resumen (NCT02600130; estado y fechas coinciden)</t>
  </si>
  <si>
    <t xml:space="preserve">NCT02600130</t>
  </si>
  <si>
    <t xml:space="preserve">https://clinicaltrials.gov/study/NCT02600130</t>
  </si>
  <si>
    <t xml:space="preserve">NEUROSTEM (células de cordón)</t>
  </si>
  <si>
    <t xml:space="preserve">NEUROSTEM (células de sangre de cordón) intraventricular - registro</t>
  </si>
  <si>
    <t xml:space="preserve">Terapia celular; Corea</t>
  </si>
  <si>
    <t xml:space="preserve">Medipost, NCT02054208; Myeong SH et al. 2026, Stem Cell Res Ther</t>
  </si>
  <si>
    <t xml:space="preserve">Fase 1/2a doble ciego con placebo</t>
  </si>
  <si>
    <t xml:space="preserve">2014-03 a 2019-12</t>
  </si>
  <si>
    <t xml:space="preserve">1x10^7 o 3x10^7 células en 2 mL, 3 dosis cada 4 semanas por reservorio Ommaya, o salino</t>
  </si>
  <si>
    <t xml:space="preserve">Completado; sin resultados publicados en el registro. El artículo de Myeong 2026 describe fiebre transitoria y aumento de MMP9 en LCR tras las células.</t>
  </si>
  <si>
    <t xml:space="preserve">Fiebre transitoria (Myeong 2026)</t>
  </si>
  <si>
    <t xml:space="preserve">Promotor Medipost (industria).</t>
  </si>
  <si>
    <t xml:space="preserve">cita encontrada; cifra no comprobable en el resumen (NCT02054208; estado y fechas coinciden; PMID 41814444 no consultado)</t>
  </si>
  <si>
    <t xml:space="preserve">NCT02054208; PMID 41814444</t>
  </si>
  <si>
    <t xml:space="preserve">https://clinicaltrials.gov/study/NCT02054208</t>
  </si>
  <si>
    <t xml:space="preserve">Células mesenquimales</t>
  </si>
  <si>
    <t xml:space="preserve">Células mesenquimales de cordón umbilical (UC-MSC), China - registros</t>
  </si>
  <si>
    <t xml:space="preserve">Terapia celular; China</t>
  </si>
  <si>
    <t xml:space="preserve">South China Research Center for Stem Cell NCT02672306; Affiliated Hospital Academy of Military Medical Sciences NCT01547689</t>
  </si>
  <si>
    <t xml:space="preserve">Registros fase I/II</t>
  </si>
  <si>
    <t xml:space="preserve">16 (NCT02672306) y 30 (NCT01547689), estimados</t>
  </si>
  <si>
    <t xml:space="preserve">NCT02672306: 2017-10 a 2019-10; NCT01547689: 2012-03 a 2016-12</t>
  </si>
  <si>
    <t xml:space="preserve">UC-MSC inyectadas</t>
  </si>
  <si>
    <t xml:space="preserve">ADAS-Cog; eventos adversos</t>
  </si>
  <si>
    <t xml:space="preserve">Estado UNKNOWN y sin resultados publicados en ambos.</t>
  </si>
  <si>
    <t xml:space="preserve">Promotores públicos/centros de investigación chinos.</t>
  </si>
  <si>
    <t xml:space="preserve">cita encontrada; cifra no comprobable en el resumen (NCT02672306 y NCT01547689; estado y fechas coinciden)</t>
  </si>
  <si>
    <t xml:space="preserve">NCT02672306; NCT01547689</t>
  </si>
  <si>
    <t xml:space="preserve">https://clinicaltrials.gov/study/NCT02672306</t>
  </si>
  <si>
    <t xml:space="preserve">Células mesenquimales (metaanálisis 2026)</t>
  </si>
  <si>
    <t xml:space="preserve">Terapia celular</t>
  </si>
  <si>
    <t xml:space="preserve">Wen Y, Zhan S, et al. 2026, Stem Cells Dev</t>
  </si>
  <si>
    <t xml:space="preserve">196 (6 estudios)</t>
  </si>
  <si>
    <t xml:space="preserve">12-26 semanas</t>
  </si>
  <si>
    <t xml:space="preserve">Global sin mejora significativa en ADAS-Cog o MMSE. Dosis baja: ADAS-Cog DME -1,33 (IC -2,35 a -0,31); MMSE DME 2,59 (0,52-4,66). ADCS-ADL DME 3,27 (1,79-4,75); NPI y QOL-AD sin cambio.</t>
  </si>
  <si>
    <t xml:space="preserve">Seguridad analizada; cifras no leídas</t>
  </si>
  <si>
    <t xml:space="preserve">Beca Qinghai Scholar.</t>
  </si>
  <si>
    <t xml:space="preserve">cita encontrada; cifra coincide (PMID 42483783)</t>
  </si>
  <si>
    <t xml:space="preserve">PMID 42483783; DOI 10.1177/15473287261468404</t>
  </si>
  <si>
    <t xml:space="preserve">https://europepmc.org/article/MED/42483783</t>
  </si>
  <si>
    <t xml:space="preserve">Terapias celulares (revisión sistemática 2024)</t>
  </si>
  <si>
    <t xml:space="preserve">Feizi H, et al. 2024, Dement Neuropsychol</t>
  </si>
  <si>
    <t xml:space="preserve">Revisión sistemática, 5 estudios</t>
  </si>
  <si>
    <t xml:space="preserve">70 (59 con células; 11 placebo)</t>
  </si>
  <si>
    <t xml:space="preserve">Células mesenquimales por varias vías</t>
  </si>
  <si>
    <t xml:space="preserve">Objetivos de seguridad alcanzados; mejoras de biomarcadores y resultados clínicos como secundarios; tres estudios sin control y riesgo de sesgo considerable.</t>
  </si>
  <si>
    <t xml:space="preserve">Sin problemas de seguridad significativos</t>
  </si>
  <si>
    <t xml:space="preserve">Beca Student Research Committee Tabriz.</t>
  </si>
  <si>
    <t xml:space="preserve">cita encontrada; cifra coincide (PMID 39258164)</t>
  </si>
  <si>
    <t xml:space="preserve">PMID 39258164; DOI 10.1590/1980-5764-dn-2024-0147</t>
  </si>
  <si>
    <t xml:space="preserve">https://europepmc.org/article/MED/39258164</t>
  </si>
  <si>
    <t xml:space="preserve">Vesículas extracelulares (intranasal)</t>
  </si>
  <si>
    <t xml:space="preserve">Vesículas extracelulares de ADMSC por vía intranasal</t>
  </si>
  <si>
    <t xml:space="preserve">Exosomas; China</t>
  </si>
  <si>
    <t xml:space="preserve">Tian M, Feng R, Gong C, et al. 2026, Biomolecules</t>
  </si>
  <si>
    <t xml:space="preserve">Ratones APP/PS1 hembra con control WT y vehículo</t>
  </si>
  <si>
    <t xml:space="preserve">Vesículas extracelulares intranasales a varias dosis</t>
  </si>
  <si>
    <t xml:space="preserve">Morris, Y-maze, reconocimiento de objeto, Aβ42</t>
  </si>
  <si>
    <t xml:space="preserve">Mejor aprendizaje y memoria, menor Aβ42 y placas; efecto no lineal (menor eficacia con dosis baja y sin beneficio extra con dosis alta); beneficio parcial persistió tras suspender.</t>
  </si>
  <si>
    <t xml:space="preserve">Becas de Hainan y NSFC China.</t>
  </si>
  <si>
    <t xml:space="preserve">cita encontrada; cifra no comprobable en el resumen (PMID 42352265)</t>
  </si>
  <si>
    <t xml:space="preserve">PMID 42352265; DOI 10.3390/biom16060798</t>
  </si>
  <si>
    <t xml:space="preserve">https://europepmc.org/article/MED/42352265</t>
  </si>
  <si>
    <t xml:space="preserve">Exosomas MuSE (intranasal)</t>
  </si>
  <si>
    <t xml:space="preserve">Exosomas y células MuSE intranasales - registro</t>
  </si>
  <si>
    <t xml:space="preserve">Exosomas; clínicas internacionales</t>
  </si>
  <si>
    <t xml:space="preserve">Healing Hope International, NCT07521384</t>
  </si>
  <si>
    <t xml:space="preserve">Observacional prospectivo multicohorte</t>
  </si>
  <si>
    <t xml:space="preserve">36 (estimado)</t>
  </si>
  <si>
    <t xml:space="preserve">Pacientes neurológicos que reciben terapia regenerativa en el extranjero</t>
  </si>
  <si>
    <t xml:space="preserve">2026-06 a 2029-01 (estimado)</t>
  </si>
  <si>
    <t xml:space="preserve">Exosomas MuSE, células MuSE o combinación con dispositivo ViaNase</t>
  </si>
  <si>
    <t xml:space="preserve">TNF-a sérico a 1 mes y eventos adversos</t>
  </si>
  <si>
    <t xml:space="preserve">Sin resultados; inscripción por invitación.</t>
  </si>
  <si>
    <t xml:space="preserve">Promotor Healing Hope International.</t>
  </si>
  <si>
    <t xml:space="preserve">cita encontrada; cifra no comprobable en el resumen (NCT07521384; fechas y estado coinciden)</t>
  </si>
  <si>
    <t xml:space="preserve">NCT07521384</t>
  </si>
  <si>
    <t xml:space="preserve">https://clinicaltrials.gov/study/NCT07521384</t>
  </si>
  <si>
    <t xml:space="preserve">Sanguijuela medicinal (Hirudo)</t>
  </si>
  <si>
    <t xml:space="preserve">Sanguijuela medicinal (Hirudo) en demencia vascular</t>
  </si>
  <si>
    <t xml:space="preserve">Medicina tradicional china</t>
  </si>
  <si>
    <t xml:space="preserve">Li Y, Xue X, Luo H, et al. 2026, Brain Res Bull</t>
  </si>
  <si>
    <t xml:space="preserve">Ratas con oclusión de dos vasos, farmacología de redes y validación</t>
  </si>
  <si>
    <t xml:space="preserve">Ratas con demencia vascular</t>
  </si>
  <si>
    <t xml:space="preserve">Extracto de sanguijuela medicinal</t>
  </si>
  <si>
    <t xml:space="preserve">Morris, Y-maze, reconocimiento de objetos, TLR4/NF-kB</t>
  </si>
  <si>
    <t xml:space="preserve">Los autores reportan que mejoró déficits cognitivos y lesión neuronal en ratas, con implicación de la vía TLR4/NF-kB.</t>
  </si>
  <si>
    <t xml:space="preserve">cita encontrada; cifra no comprobable en el resumen (PMID 42778072)</t>
  </si>
  <si>
    <t xml:space="preserve">PMID 42778072; DOI 10.1016/j.brainresbull.2026.112131</t>
  </si>
  <si>
    <t xml:space="preserve">https://europepmc.org/article/MED/42778072</t>
  </si>
  <si>
    <t xml:space="preserve">Transfusiones comerciales de plasma joven (Ambrosia)</t>
  </si>
  <si>
    <t xml:space="preserve">Clínica privada; EE. UU.</t>
  </si>
  <si>
    <t xml:space="preserve">Prensa: TechCrunch, Scientific American, 2019 (aviso FDA 19-02-2019)</t>
  </si>
  <si>
    <t xml:space="preserve">Noticias</t>
  </si>
  <si>
    <t xml:space="preserve">Público general mayor</t>
  </si>
  <si>
    <t xml:space="preserve">Plasma de donantes de 16-25 años, 1 litro o 2 litros, según la búsqueda web</t>
  </si>
  <si>
    <t xml:space="preserve">La FDA advirtió el 19-02-2019 de que no hay beneficio clínico probado y de riesgos infecciosos, alérgicos, respiratorios y cardiovasculares; la empresa dijo haber cesado tratamientos.</t>
  </si>
  <si>
    <t xml:space="preserve">Riesgos citados por la FDA</t>
  </si>
  <si>
    <t xml:space="preserve">Empresa fundada en 2016 por Jesse Karmazin.</t>
  </si>
  <si>
    <t xml:space="preserve">8000 USD (1 L); 12000 USD (2 L), según prensa</t>
  </si>
  <si>
    <t xml:space="preserve">página existe (HTTP 200 en techcrunch.com; contenido no leído)</t>
  </si>
  <si>
    <t xml:space="preserve">https://techcrunch.com/2019/02/19/fda-warning-blood-transfusions-ambrosia-medical/</t>
  </si>
  <si>
    <t xml:space="preserve">Registro AMBAR en ClinicalTrials.gov</t>
  </si>
  <si>
    <t xml:space="preserve">Registro de ensayo con resultados</t>
  </si>
  <si>
    <t xml:space="preserve">Instituto Grifols, NCT01561053</t>
  </si>
  <si>
    <t xml:space="preserve">Registro con resultados; 4 brazos</t>
  </si>
  <si>
    <t xml:space="preserve">2012-04 a 2018-03</t>
  </si>
  <si>
    <t xml:space="preserve">Albumina alta+IgIV, albumina baja+IgIV, albumina baja, control simulado</t>
  </si>
  <si>
    <t xml:space="preserve">ADAS-Cog y ADCS-ADL (cambio a 14 meses)</t>
  </si>
  <si>
    <t xml:space="preserve">Cinco valores devueltos por la API en este orden (el mapeo a los brazos no se verificó): ADAS-Cog 0,8; 0,8; 1,5; 3,2; 1,0. ADCS-ADL -3,5; -2,0; -3,9; -6,7; -3,2. En MMSE 22-26, ADAS-Cog: -0,9; -0,3; -0,6; 0,6; -0,6.</t>
  </si>
  <si>
    <t xml:space="preserve">Ver registro</t>
  </si>
  <si>
    <t xml:space="preserve">Promotor Instituto Grifols (industria).</t>
  </si>
  <si>
    <t xml:space="preserve">cita encontrada; cifra no comprobable en el resumen (NCT01561053; estado, fechas y promotor coinciden)</t>
  </si>
  <si>
    <t xml:space="preserve">NCT01561053</t>
  </si>
  <si>
    <t xml:space="preserve">https://clinicaltrials.gov/study/NCT01561053</t>
  </si>
  <si>
    <t xml:space="preserve">Recambio de plasma con albumina 5% (piloto) - registro</t>
  </si>
  <si>
    <t xml:space="preserve">Instituto Grifols, NCT00742417</t>
  </si>
  <si>
    <t xml:space="preserve">Registro con resultados</t>
  </si>
  <si>
    <t xml:space="preserve">2007-07 a 2011-03</t>
  </si>
  <si>
    <t xml:space="preserve">Albutein 5% frente a control</t>
  </si>
  <si>
    <t xml:space="preserve">Cambio de Aβ1-42 en LCR</t>
  </si>
  <si>
    <t xml:space="preserve">Aβ1-42 Innotest 75,3 (tratados) vs -45,5 (control); Aβ1-42 The Genetics Company -86,2 vs -283,0 (unidades no verificadas).</t>
  </si>
  <si>
    <t xml:space="preserve">Promotor Instituto Grifols.</t>
  </si>
  <si>
    <t xml:space="preserve">cita encontrada; cifra no comprobable en el resumen (NCT00742417; fechas coinciden)</t>
  </si>
  <si>
    <t xml:space="preserve">NCT00742417</t>
  </si>
  <si>
    <t xml:space="preserve">https://clinicaltrials.gov/study/NCT00742417</t>
  </si>
  <si>
    <t xml:space="preserve">cuerpo_mente</t>
  </si>
  <si>
    <t xml:space="preserve">Kirtan Kriya</t>
  </si>
  <si>
    <t xml:space="preserve">Kirtan Kriya (meditacion yogica 12 min) vs escucha de musica</t>
  </si>
  <si>
    <t xml:space="preserve">Yoga kundalini / Alzheimer's Research and Prevention Foundation (Khalsa)</t>
  </si>
  <si>
    <t xml:space="preserve">Innes KE, Selfe TK, Khalsa DS, Kandati S. 2016. Complement Ther Med</t>
  </si>
  <si>
    <t xml:space="preserve">Ensayo aleatorizado de viabilidad, 2 brazos</t>
  </si>
  <si>
    <t xml:space="preserve">60 aleatorizados; 53 (88%) completaron 6 meses</t>
  </si>
  <si>
    <t xml:space="preserve">Adultos con deterioro cognitivo subjetivo</t>
  </si>
  <si>
    <t xml:space="preserve">12 semanas de practica pautada + 3 meses opcionales (6 meses)</t>
  </si>
  <si>
    <t xml:space="preserve">12 min al dia, programa casero KK o musica</t>
  </si>
  <si>
    <t xml:space="preserve">Reclutamiento, retencion, adherencia, aceptabilidad</t>
  </si>
  <si>
    <t xml:space="preserve">Adherencia 93% (91% KK, 94% musica) de sesiones en las primeras 12 semanas; 71% (68% KK, 74% musica) en el seguimiento opcional; mas del 80% queria seguir practicando</t>
  </si>
  <si>
    <t xml:space="preserve">no consta en el resumen (Europe PMC)</t>
  </si>
  <si>
    <t xml:space="preserve">12 min diarios durante 12 semanas (descrito en el estudio)</t>
  </si>
  <si>
    <t xml:space="preserve">gratis</t>
  </si>
  <si>
    <t xml:space="preserve">cita encontrada; cifra coincide (PMID 27261989; DOI 10.1016/j.ctim.2016.03.002; 2016)</t>
  </si>
  <si>
    <t xml:space="preserve">PMID 27261989; DOI 10.1016/j.ctim.2016.03.002</t>
  </si>
  <si>
    <t xml:space="preserve">https://pubmed.ncbi.nlm.nih.gov/27261989/</t>
  </si>
  <si>
    <t xml:space="preserve">Kirtan Kriya vs escucha de musica (cognicion)</t>
  </si>
  <si>
    <t xml:space="preserve">Yoga kundalini / ARPF</t>
  </si>
  <si>
    <t xml:space="preserve">Innes KE, Selfe TK, Khalsa DS, Kandati S. 2017. J Alzheimers Dis</t>
  </si>
  <si>
    <t xml:space="preserve">Ensayo piloto aleatorizado, 2 brazos</t>
  </si>
  <si>
    <t xml:space="preserve">60; 53 completaron</t>
  </si>
  <si>
    <t xml:space="preserve">Deterioro cognitivo subjetivo</t>
  </si>
  <si>
    <t xml:space="preserve">3 meses + 3 meses opcionales</t>
  </si>
  <si>
    <t xml:space="preserve">12 min/dia</t>
  </si>
  <si>
    <t xml:space="preserve">MFQ, Trail Making A/B, Digit-Symbol Substitution</t>
  </si>
  <si>
    <t xml:space="preserve">Ambos grupos mejoraron a 3 meses en memoria y cognicion (MFQ, DSST, TMT-A/B; p&lt;=0.04); a 6 meses las ganancias se mantuvieron o mejoraron (p&lt;=0.006); tamanos de efecto de medio a grande (DSST grupo KK; TMT-A/B, MFQ); sin brazo de control pasivo</t>
  </si>
  <si>
    <t xml:space="preserve">12 min/dia 3 meses</t>
  </si>
  <si>
    <t xml:space="preserve">cita encontrada; cifra coincide (PMID 28106552; DOI 10.3233/jad-160867; 2017)</t>
  </si>
  <si>
    <t xml:space="preserve">PMID 28106552</t>
  </si>
  <si>
    <t xml:space="preserve">https://pubmed.ncbi.nlm.nih.gov/28106552/</t>
  </si>
  <si>
    <t xml:space="preserve">Kirtan Kriya en cuidadores familiares</t>
  </si>
  <si>
    <t xml:space="preserve">Yoga kundalini</t>
  </si>
  <si>
    <t xml:space="preserve">Lavretsky H et al. 2013. Int J Geriatr Psychiatry</t>
  </si>
  <si>
    <t xml:space="preserve">Piloto aleatorizado vs musica relajante</t>
  </si>
  <si>
    <t xml:space="preserve">Cuidadores familiares de personas con demencia con sintomas depresivos leves</t>
  </si>
  <si>
    <t xml:space="preserve">Depresion (Hamilton), salud mental SF-36, cognicion, actividad telomerasa en PBMC</t>
  </si>
  <si>
    <t xml:space="preserve">65.2% del grupo KK con mejora del 50% en Hamilton vs 31.2% relajacion; 52% con mejora del 50% en SF-36 salud mental vs 19%; aumento de actividad telomerasa en el grupo meditacion</t>
  </si>
  <si>
    <t xml:space="preserve">Subvenciones NIH (NIA, NCCIH, NIMH, NCI, NHLBI, NCATS, NCRR)</t>
  </si>
  <si>
    <t xml:space="preserve">12 min/dia 8 semanas</t>
  </si>
  <si>
    <t xml:space="preserve">cita encontrada; cifra coincide (PMID 22407663; DOI 10.1002/gps.3790; 2013)</t>
  </si>
  <si>
    <t xml:space="preserve">PMID 22407663</t>
  </si>
  <si>
    <t xml:space="preserve">https://pubmed.ncbi.nlm.nih.gov/22407663/</t>
  </si>
  <si>
    <t xml:space="preserve">Kirtan Kriya y transcriptoma inflamatorio</t>
  </si>
  <si>
    <t xml:space="preserve">Black DS et al. 2013. Psychoneuroendocrinology</t>
  </si>
  <si>
    <t xml:space="preserve">Aleatorizado vs musica relajante, perfil genico</t>
  </si>
  <si>
    <t xml:space="preserve">45 aleatorizados; 39 completaron</t>
  </si>
  <si>
    <t xml:space="preserve">Cuidadores familiares de personas con demencia</t>
  </si>
  <si>
    <t xml:space="preserve">Expresion genica en leucocitos (NF-kB, IRF)</t>
  </si>
  <si>
    <t xml:space="preserve">68 genes diferencialmente expresados (19 sube, 49 baja) con KK; bajan citocinas proinflamatorias</t>
  </si>
  <si>
    <t xml:space="preserve">Subvenciones NIH</t>
  </si>
  <si>
    <t xml:space="preserve">cita encontrada; cifra coincide (PMID 22795617; DOI 10.1016/j.psyneuen.2012.06.011; 2013)</t>
  </si>
  <si>
    <t xml:space="preserve">PMID 22795617</t>
  </si>
  <si>
    <t xml:space="preserve">https://pubmed.ncbi.nlm.nih.gov/22795617/</t>
  </si>
  <si>
    <t xml:space="preserve">Yoga kundalini vs entrenamiento de memoria</t>
  </si>
  <si>
    <t xml:space="preserve">Eyre HA et al. 2017. Int Psychogeriatr</t>
  </si>
  <si>
    <t xml:space="preserve">Aleatorizado, control activo (MET)</t>
  </si>
  <si>
    <t xml:space="preserve">81</t>
  </si>
  <si>
    <t xml:space="preserve">Deterioro cognitivo leve, &gt;=55 anos</t>
  </si>
  <si>
    <t xml:space="preserve">12 semanas, seguimiento a 24</t>
  </si>
  <si>
    <t xml:space="preserve">Clase semanal + practica diaria</t>
  </si>
  <si>
    <t xml:space="preserve">Memoria, funcion ejecutiva, depresion, apatia, resiliencia</t>
  </si>
  <si>
    <t xml:space="preserve">Ambos grupos mejoraron memoria a 12 y 24 semanas; solo yoga mejoro funcion ejecutiva; solo yoga mejoro depresion y resiliencia a 12 semanas</t>
  </si>
  <si>
    <t xml:space="preserve">cita encontrada; cifra no comprobable en el resumen (PMID 28088925; 2017); NCT01983930 con titulo que coincide</t>
  </si>
  <si>
    <t xml:space="preserve">PMID 28088925; NCT01983930</t>
  </si>
  <si>
    <t xml:space="preserve">https://pubmed.ncbi.nlm.nih.gov/28088925/</t>
  </si>
  <si>
    <t xml:space="preserve">Yoga kundalini vs entrenamiento de memoria en mujeres con riesgo</t>
  </si>
  <si>
    <t xml:space="preserve">Grzenda A et al. 2024. Transl Psychiatry</t>
  </si>
  <si>
    <t xml:space="preserve">Aleatorizado, control activo</t>
  </si>
  <si>
    <t xml:space="preserve">79 (40 yoga, 39 MET); 63 completaron a 24 sem (yoga 65%, MET 95%)</t>
  </si>
  <si>
    <t xml:space="preserve">Mujeres mayores con deterioro cognitivo subjetivo y factores de riesgo cerebrovascular</t>
  </si>
  <si>
    <t xml:space="preserve">12 sem + seguimiento a 24</t>
  </si>
  <si>
    <t xml:space="preserve">Clase de 60 min semanal + grabacion de 12 min diaria</t>
  </si>
  <si>
    <t xml:space="preserve">Memoria objetiva y subjetiva; RNA-seq y citocinas</t>
  </si>
  <si>
    <t xml:space="preserve">A 24 semanas el yoga dio mejora de gran tamano en medidas de deterioro cognitivo subjetivo frente a MET; alteraciones de firmas de envejecimiento (interferon gamma); eotaxina-1 aumento en MET pero no en yoga</t>
  </si>
  <si>
    <t xml:space="preserve">Alzheimer's Research Foundation; Alzheimer's Research and Prevention Foundation; NCCIH/NIH</t>
  </si>
  <si>
    <t xml:space="preserve">cita encontrada; cifra coincide (PMID 38355715; DOI 10.1038/s41398-024-02807-0; 2024)</t>
  </si>
  <si>
    <t xml:space="preserve">PMID 38355715; NCT03503669</t>
  </si>
  <si>
    <t xml:space="preserve">https://pubmed.ncbi.nlm.nih.gov/38355715/</t>
  </si>
  <si>
    <t xml:space="preserve">Yoga kundalini y volumen del hipocampo</t>
  </si>
  <si>
    <t xml:space="preserve">Ibrahim M et al. 2022. Int J Yoga</t>
  </si>
  <si>
    <t xml:space="preserve">Piloto aleatorizado con resonancia</t>
  </si>
  <si>
    <t xml:space="preserve">Volumen hipocampal (MRI)</t>
  </si>
  <si>
    <t xml:space="preserve">Aumento significativo del volumen del hipocampo derecho especifico del grupo yoga (P=0.034, eta2p=0.408)</t>
  </si>
  <si>
    <t xml:space="preserve">cita encontrada; cifra coincide (PMID 36329774; DOI 10.4103/ijoy.ijoy_25_22; 2022)</t>
  </si>
  <si>
    <t xml:space="preserve">PMID 36329774</t>
  </si>
  <si>
    <t xml:space="preserve">https://pubmed.ncbi.nlm.nih.gov/36329774/</t>
  </si>
  <si>
    <t xml:space="preserve">Musicoterapia grupal y coro</t>
  </si>
  <si>
    <t xml:space="preserve">Musica en grupo y coro vs cuidado habitual (MIDDEL)</t>
  </si>
  <si>
    <t xml:space="preserve">Musicoterapia</t>
  </si>
  <si>
    <t xml:space="preserve">Sveinsdottir V et al. 2025. Lancet Healthy Longev</t>
  </si>
  <si>
    <t xml:space="preserve">Aleatorizado por conglomerados 2x2 multinacional</t>
  </si>
  <si>
    <t xml:space="preserve">1021 residentes, 86 unidades; 751 analizados a 6 meses</t>
  </si>
  <si>
    <t xml:space="preserve">Demencia con sintomas depresivos en residencias (6 paises)</t>
  </si>
  <si>
    <t xml:space="preserve">Musicoterapia grupal, coro recreativo, ambos, o cuidado habitual</t>
  </si>
  <si>
    <t xml:space="preserve">MADRS a 6 meses</t>
  </si>
  <si>
    <t xml:space="preserve">Coro: beta 0.4 (IC95% -1.3 a 2.1; p=0.68); musicoterapia: 0.8 (-1.0 a 2.6; p=0.37); interaccion -0.6 (-3.1 a 1.9; p=0.63); efectos variaron entre paises</t>
  </si>
  <si>
    <t xml:space="preserve">Sin eventos adversos relacionados; ingresos similares entre grupos</t>
  </si>
  <si>
    <t xml:space="preserve">BMFTR, EU JPND, NHMRC, Research Council of Norway, entre otros</t>
  </si>
  <si>
    <t xml:space="preserve">cita encontrada; cifra coincide (PMID 41380710; DOI 10.1016/j.lanhl.2025.100783; 2025)</t>
  </si>
  <si>
    <t xml:space="preserve">PMID 41380710; DOI 10.1016/j.lanhl.2025.100783</t>
  </si>
  <si>
    <t xml:space="preserve">https://pubmed.ncbi.nlm.nih.gov/41380710/</t>
  </si>
  <si>
    <t xml:space="preserve">Musica individualizada</t>
  </si>
  <si>
    <t xml:space="preserve">Musica individualizada escuchada 20 min</t>
  </si>
  <si>
    <t xml:space="preserve">Musica personalizada</t>
  </si>
  <si>
    <t xml:space="preserve">Hillebrand MC et al. 2025. Clin Gerontol</t>
  </si>
  <si>
    <t xml:space="preserve">Aleatorizado vs cuidado habitual</t>
  </si>
  <si>
    <t xml:space="preserve">118</t>
  </si>
  <si>
    <t xml:space="preserve">Demencia en residencias, edad media 84</t>
  </si>
  <si>
    <t xml:space="preserve">Listas individualizadas 20 min en dias alternos</t>
  </si>
  <si>
    <t xml:space="preserve">Goal Attainment Scaling por personal; cuestionarios de calidad de vida</t>
  </si>
  <si>
    <t xml:space="preserve">Mas consecucion de objetivos en el grupo musica (d=.57); sin efectos en cuestionarios de calidad de vida</t>
  </si>
  <si>
    <t xml:space="preserve">National Association of Statutory Health Insurance Funds (Alemania)</t>
  </si>
  <si>
    <t xml:space="preserve">cita encontrada; cifra coincide (PMID 39580646; d=.57 en resumen; 2025)</t>
  </si>
  <si>
    <t xml:space="preserve">PMID 39580646; DRKS00013793; ISRCTN59052178</t>
  </si>
  <si>
    <t xml:space="preserve">https://pubmed.ncbi.nlm.nih.gov/39580646/</t>
  </si>
  <si>
    <t xml:space="preserve">Musicoterapia individual</t>
  </si>
  <si>
    <t xml:space="preserve">Musicoterapia individual vs escucha musical individual</t>
  </si>
  <si>
    <t xml:space="preserve">Prick AJC et al. 2024. Front Med</t>
  </si>
  <si>
    <t xml:space="preserve">Aleatorizado simple ciego, 3 grupos</t>
  </si>
  <si>
    <t xml:space="preserve">158 (49 terapia, 56 escucha, 53 control)</t>
  </si>
  <si>
    <t xml:space="preserve">Demencia en residencias</t>
  </si>
  <si>
    <t xml:space="preserve">3 semanas, 9 sesiones; seguimiento 6 sem</t>
  </si>
  <si>
    <t xml:space="preserve">30-45 min, 3 veces por semana</t>
  </si>
  <si>
    <t xml:space="preserve">NPI-NH, Qualidem</t>
  </si>
  <si>
    <t xml:space="preserve">Conducta hiperactiva (NPI-NH) mas reducida en escucha musical en el seguimiento; inquietud (Qualidem) mas reducida en musicoterapia en post y seguimiento; sin otros efectos significativos</t>
  </si>
  <si>
    <t xml:space="preserve">ZonMw</t>
  </si>
  <si>
    <t xml:space="preserve">cita encontrada; cifra coincide (PMID 38379562; n=158; 2024)</t>
  </si>
  <si>
    <t xml:space="preserve">PMID 38379562</t>
  </si>
  <si>
    <t xml:space="preserve">https://pubmed.ncbi.nlm.nih.gov/38379562/</t>
  </si>
  <si>
    <t xml:space="preserve">Playlist individual con principio iso para agitacion</t>
  </si>
  <si>
    <t xml:space="preserve">Cheung DSK et al. 2025. Int J Geriatr Psychiatry</t>
  </si>
  <si>
    <t xml:space="preserve">Viabilidad aleatorizado vs audio de lectura</t>
  </si>
  <si>
    <t xml:space="preserve">24 (10 con episodios de agitacion)</t>
  </si>
  <si>
    <t xml:space="preserve">30 min dos veces por semana y ante agitacion</t>
  </si>
  <si>
    <t xml:space="preserve">Trayectoria de agitacion, frecuencia de sintomas conductuales</t>
  </si>
  <si>
    <t xml:space="preserve">Reclutamiento 85.7%, retencion 83.3%; no fue mas eficaz que el control para desescalar agitacion; la agitacion bajo en los primeros 10 min en ambos</t>
  </si>
  <si>
    <t xml:space="preserve">Hong Kong Polytechnic University</t>
  </si>
  <si>
    <t xml:space="preserve">cita encontrada; cifra coincide (PMID 40148224; 85.7% y 83.3%; 2025)</t>
  </si>
  <si>
    <t xml:space="preserve">PMID 40148224</t>
  </si>
  <si>
    <t xml:space="preserve">https://pubmed.ncbi.nlm.nih.gov/40148224/</t>
  </si>
  <si>
    <t xml:space="preserve">Musica digital (video)</t>
  </si>
  <si>
    <t xml:space="preserve">Musica digital en video y musicoterapia convencional</t>
  </si>
  <si>
    <t xml:space="preserve">Musicoterapia / digital</t>
  </si>
  <si>
    <t xml:space="preserve">Kaila LM et al. 2026. Alzheimers Dement (N Y)</t>
  </si>
  <si>
    <t xml:space="preserve">Exploratorio aleatorizado, 3 grupos</t>
  </si>
  <si>
    <t xml:space="preserve">166 (91 domicilio, 75 residencia)</t>
  </si>
  <si>
    <t xml:space="preserve">10 semanas, 2x60 min/semana; seguimiento a 6 meses</t>
  </si>
  <si>
    <t xml:space="preserve">Receptivo y expresivo (cantar, movimiento)</t>
  </si>
  <si>
    <t xml:space="preserve">MoCA y CERAD (primarios), humor, calidad de vida</t>
  </si>
  <si>
    <t xml:space="preserve">Sin efecto significativo en cognicion global; musicoterapia mejoro denominacion (T1-T2) y aprendizaje verbal (T1-T3); memoria autobiografica se mantuvo con ambas frente a descenso en cuidado habitual</t>
  </si>
  <si>
    <t xml:space="preserve">European Research Council</t>
  </si>
  <si>
    <t xml:space="preserve">cita encontrada; cifra no comprobable en el resumen (PMID 42682700; DOI 10.1002/trc2.70317; 2026)</t>
  </si>
  <si>
    <t xml:space="preserve">PMID 42682700; DOI 10.1002/trc2.70317</t>
  </si>
  <si>
    <t xml:space="preserve">https://pubmed.ncbi.nlm.nih.gov/42682700/</t>
  </si>
  <si>
    <t xml:space="preserve">Musica personalizada por IA con variabilidad cardiaca (app Rubato)</t>
  </si>
  <si>
    <t xml:space="preserve">Musica personalizada / tecnologia</t>
  </si>
  <si>
    <t xml:space="preserve">Sangam M et al. 2026. J Alzheimers Dis</t>
  </si>
  <si>
    <t xml:space="preserve">Aleatorizado, 10 vs 10</t>
  </si>
  <si>
    <t xml:space="preserve">Demencia leve incl. Alzheimer</t>
  </si>
  <si>
    <t xml:space="preserve">30 min/dia con app</t>
  </si>
  <si>
    <t xml:space="preserve">MMSE, STAI, DEMQOL, GDS, memoria</t>
  </si>
  <si>
    <t xml:space="preserve">Bajaron ansiedad y depresion vs control (p=0.037 y p=0.028); 80% vs 30% con menos ansiedad, 70% vs 20% con menos depresion; sin diferencias en cognicion, calidad de vida ni memoria</t>
  </si>
  <si>
    <t xml:space="preserve">cita encontrada; cifra coincide (PMID 42744796; DOI 10.1177/13872877261487385; 2026)</t>
  </si>
  <si>
    <t xml:space="preserve">PMID 42744796</t>
  </si>
  <si>
    <t xml:space="preserve">https://pubmed.ncbi.nlm.nih.gov/42744796/</t>
  </si>
  <si>
    <t xml:space="preserve">Programa Music &amp; Memory (playlists personalizadas) en residencias de California</t>
  </si>
  <si>
    <t xml:space="preserve">Musica personalizada (programa comercial/ONG)</t>
  </si>
  <si>
    <t xml:space="preserve">Estudio UC Davis, JAMDA 2020, segun resumen web de Music &amp; Memory y prensa</t>
  </si>
  <si>
    <t xml:space="preserve">Observacional, 3 anos</t>
  </si>
  <si>
    <t xml:space="preserve">4107 residentes, 265 residencias</t>
  </si>
  <si>
    <t xml:space="preserve">Residentes de residencias, con demencia entre ellos</t>
  </si>
  <si>
    <t xml:space="preserve">3 anos</t>
  </si>
  <si>
    <t xml:space="preserve">Playlists personalizadas con auriculares</t>
  </si>
  <si>
    <t xml:space="preserve">Uso de antipsicoticos y ansioliticos; conductas agresivas</t>
  </si>
  <si>
    <t xml:space="preserve">Segun la web de Music &amp; Memory: en demencia, antipsicoticos -13% por trimestre, ansioliticos -17%; conductas agresivas -20%</t>
  </si>
  <si>
    <t xml:space="preserve">no consta; registro NCT03821844 citado por la busqueda</t>
  </si>
  <si>
    <t xml:space="preserve">página existe (musicandmemory.org; NCT03821844 no aparece en la página); cifras -13%, -17%, -20% y n=4107 en 265 residencias coinciden con la página</t>
  </si>
  <si>
    <t xml:space="preserve">NCT03821844</t>
  </si>
  <si>
    <t xml:space="preserve">https://musicandmemory.org/2020/08/06/new-study-music-memory-reduces-dementia-medications-and-aggressive-behavior/</t>
  </si>
  <si>
    <t xml:space="preserve">Estimulacion multisensorial</t>
  </si>
  <si>
    <t xml:space="preserve">Estimulacion multisensorial vs sesiones de musica individualizada</t>
  </si>
  <si>
    <t xml:space="preserve">Snoezelen</t>
  </si>
  <si>
    <t xml:space="preserve">Sanchez A et al. 2016. J Alzheimers Dis</t>
  </si>
  <si>
    <t xml:space="preserve">Aleatorizado, 2 brazos</t>
  </si>
  <si>
    <t xml:space="preserve">22</t>
  </si>
  <si>
    <t xml:space="preserve">Demencia severa en institucion</t>
  </si>
  <si>
    <t xml:space="preserve">16 semanas, 2x30 min/semana</t>
  </si>
  <si>
    <t xml:space="preserve">MSSE vs musica individualizada</t>
  </si>
  <si>
    <t xml:space="preserve">CMAI, CSDD, RAID, SMMSE, BANS-S</t>
  </si>
  <si>
    <t xml:space="preserve">MSSE mejoro RAID y BANS-S frente a musica; CMAI total mejoro en ambos sin diferencia entre grupos</t>
  </si>
  <si>
    <t xml:space="preserve">cita encontrada; cifra no comprobable en el resumen (PMID 27060958; DOI 10.3233/jad-151150; 2016)</t>
  </si>
  <si>
    <t xml:space="preserve">PMID 27060958</t>
  </si>
  <si>
    <t xml:space="preserve">https://pubmed.ncbi.nlm.nih.gov/27060958/</t>
  </si>
  <si>
    <t xml:space="preserve">Acupuntura</t>
  </si>
  <si>
    <t xml:space="preserve">Acupuntura anadida a donepezilo</t>
  </si>
  <si>
    <t xml:space="preserve">Kong X et al. 2026. J Alzheimers Dis</t>
  </si>
  <si>
    <t xml:space="preserve">Aleatorizado simple ciego con acupuntura simulada y lavado de 14 sem</t>
  </si>
  <si>
    <t xml:space="preserve">160 (157 analizados: 78 activa, 79 simulada)</t>
  </si>
  <si>
    <t xml:space="preserve">Alzheimer leve con donepezilo</t>
  </si>
  <si>
    <t xml:space="preserve">14 semanas + 14 de lavado</t>
  </si>
  <si>
    <t xml:space="preserve">3 veces por semana</t>
  </si>
  <si>
    <t xml:space="preserve">ADAS-cog12</t>
  </si>
  <si>
    <t xml:space="preserve">Cambio -1.20 activa vs 0.36 simulada; diferencia -1.50 (p&lt;0.001) a semana 14; tras lavado diferencia -0.31 (p=0.54)</t>
  </si>
  <si>
    <t xml:space="preserve">Eventos adversos 37.2% activa vs 45.6% simulada; relacionados con donepezilo 6.4% vs 16.5% (p&lt;0.05)</t>
  </si>
  <si>
    <t xml:space="preserve">Shanghai Municipal Health Commission</t>
  </si>
  <si>
    <t xml:space="preserve">cita encontrada; cifra coincide (PMID 41910461; DOI 10.1177/13872877261435880; 2026)</t>
  </si>
  <si>
    <t xml:space="preserve">PMID 41910461; NCT05078944</t>
  </si>
  <si>
    <t xml:space="preserve">https://pubmed.ncbi.nlm.nih.gov/41910461/</t>
  </si>
  <si>
    <t xml:space="preserve">Electroacupuntura</t>
  </si>
  <si>
    <t xml:space="preserve">Electroacupuntura vs acupuntura simulada</t>
  </si>
  <si>
    <t xml:space="preserve">Huang L et al. 2021. J Alzheimers Dis</t>
  </si>
  <si>
    <t xml:space="preserve">Deterioro cognitivo vascular sin demencia</t>
  </si>
  <si>
    <t xml:space="preserve">MoCA</t>
  </si>
  <si>
    <t xml:space="preserve">MoCA 23.85+-4.18 (EA) vs 21.48+-4.44 (simulada) en semana 8 (IC95% 0.80-3.92; p=0.04)</t>
  </si>
  <si>
    <t xml:space="preserve">cita encontrada; cifra coincide (PMID 33935074; DOI 10.3233/jad-201353; 2021)</t>
  </si>
  <si>
    <t xml:space="preserve">PMID 33935074</t>
  </si>
  <si>
    <t xml:space="preserve">https://pubmed.ncbi.nlm.nih.gov/33935074/</t>
  </si>
  <si>
    <t xml:space="preserve">Acupuntura en espectro Alzheimer/DCL (metaanalisis)</t>
  </si>
  <si>
    <t xml:space="preserve">Chen Y et al. 2026. metaanalisis</t>
  </si>
  <si>
    <t xml:space="preserve">Metaanalisis de 52 ECA</t>
  </si>
  <si>
    <t xml:space="preserve">3362</t>
  </si>
  <si>
    <t xml:space="preserve">Alzheimer y DCL</t>
  </si>
  <si>
    <t xml:space="preserve">Cognicion global</t>
  </si>
  <si>
    <t xml:space="preserve">Acupuntura sola vs blanco/placebo SMD=1.09 (IC95% 0.60-1.58; I2=91.39%); sola vs medicacion SMD=0.45 (0.22-0.67); combinada con medicacion SMD=1.18 (0.92-1.44)</t>
  </si>
  <si>
    <t xml:space="preserve">cita encontrada; cifra coincide (PMID 41949488; SMD 1.09/0.45/1.18; 2026)</t>
  </si>
  <si>
    <t xml:space="preserve">PMID 41949488</t>
  </si>
  <si>
    <t xml:space="preserve">https://pubmed.ncbi.nlm.nih.gov/41949488/</t>
  </si>
  <si>
    <t xml:space="preserve">Electroacupuntura en BL23 y GV20</t>
  </si>
  <si>
    <t xml:space="preserve">Medicina tradicional china / modelo animal</t>
  </si>
  <si>
    <t xml:space="preserve">Yu CC et al. 2024. Curr Med Sci</t>
  </si>
  <si>
    <t xml:space="preserve">Raton APP/PS1 con quimiogenetica</t>
  </si>
  <si>
    <t xml:space="preserve">EA en Shenshu (BL23) y Baihui (GV20)</t>
  </si>
  <si>
    <t xml:space="preserve">Aprendizaje, espinas dendriticas, PSD95, sinaptofisina, BDNF</t>
  </si>
  <si>
    <t xml:space="preserve">Mejoro aprendizaje y memoria; atenuo perdida de espinas; aumento PSD95, sinaptofisina y BDNF; inhibir neuronas serotoninergicas del rafe dorsal revirtio el efecto</t>
  </si>
  <si>
    <t xml:space="preserve">cita encontrada; cifra no comprobable en el resumen (PMID 38990450; BL23 y GV20 presentes; 2024)</t>
  </si>
  <si>
    <t xml:space="preserve">PMID 38990450</t>
  </si>
  <si>
    <t xml:space="preserve">https://pubmed.ncbi.nlm.nih.gov/38990450/</t>
  </si>
  <si>
    <t xml:space="preserve">Electroacupuntura en ST36/ST37</t>
  </si>
  <si>
    <t xml:space="preserve">Yu C et al. 2025. Chin Med</t>
  </si>
  <si>
    <t xml:space="preserve">Raton APP/PS1</t>
  </si>
  <si>
    <t xml:space="preserve">EA ST36 y ST37</t>
  </si>
  <si>
    <t xml:space="preserve">Sinapsis, citocinas, microglia</t>
  </si>
  <si>
    <t xml:space="preserve">Atenuo degeneracion sinaptica y bajo IL-6, IL-1beta, TNF-alfa y activacion microglial via circuito nervio vago-NTS-locus coeruleus; la ablacion de aferentes vagales revirtio el efecto</t>
  </si>
  <si>
    <t xml:space="preserve">Proyectos de medicina china de Hubei y Fundacion de Ciencias Naturales</t>
  </si>
  <si>
    <t xml:space="preserve">cita encontrada; cifra no comprobable en el resumen (PMID 41233833; ST36/ST37 presentes; 2025)</t>
  </si>
  <si>
    <t xml:space="preserve">PMID 41233833</t>
  </si>
  <si>
    <t xml:space="preserve">https://pubmed.ncbi.nlm.nih.gov/41233833/</t>
  </si>
  <si>
    <t xml:space="preserve">Qigong (baston Taiji)</t>
  </si>
  <si>
    <t xml:space="preserve">Qigong de 11 semanas con baston Taiji</t>
  </si>
  <si>
    <t xml:space="preserve">Qigong</t>
  </si>
  <si>
    <t xml:space="preserve">Cao L et al. 2026. Front Public Health</t>
  </si>
  <si>
    <t xml:space="preserve">Aleatorizado, control sin intervencion</t>
  </si>
  <si>
    <t xml:space="preserve">35 (17 vs 18)</t>
  </si>
  <si>
    <t xml:space="preserve">Mayores en centro de cuidados</t>
  </si>
  <si>
    <t xml:space="preserve">11 semanas</t>
  </si>
  <si>
    <t xml:space="preserve">45 min, 3 veces por semana</t>
  </si>
  <si>
    <t xml:space="preserve">GDS-15, C-MMSE</t>
  </si>
  <si>
    <t xml:space="preserve">Mejora de orientacion y memoria inmediata; menor depresion; la subescala de recuerdo diferido disminuyo significativamente</t>
  </si>
  <si>
    <t xml:space="preserve">cita encontrada; cifra coincide (PMID 42483049; n=35, 17 vs 18; 2026)</t>
  </si>
  <si>
    <t xml:space="preserve">PMID 42483049; ChiCTR2400083424</t>
  </si>
  <si>
    <t xml:space="preserve">https://pubmed.ncbi.nlm.nih.gov/42483049/</t>
  </si>
  <si>
    <t xml:space="preserve">Tai chi</t>
  </si>
  <si>
    <t xml:space="preserve">Tai chi de 8 formas con estimulacion olfativa</t>
  </si>
  <si>
    <t xml:space="preserve">Huang J et al. 2025. Front Public Health</t>
  </si>
  <si>
    <t xml:space="preserve">Aleatorizado, 3 grupos</t>
  </si>
  <si>
    <t xml:space="preserve">Tai chi con y sin estimulo olfativo</t>
  </si>
  <si>
    <t xml:space="preserve">Memoria de trabajo 0-back, cognicion global, GDS, PSQI</t>
  </si>
  <si>
    <t xml:space="preserve">Ambos grupos de tai chi superaron al control en 0-back (TCG +0.118, IC95% 0.048-0.188); la combinacion mostro mejor efecto en depresion (GDS -1.46) y sueno (PSQI -2.04)</t>
  </si>
  <si>
    <t xml:space="preserve">cita encontrada; cifra coincide (PMID 41567790; 0.118, GDS -1.46, PSQI -2.04; 2025)</t>
  </si>
  <si>
    <t xml:space="preserve">PMID 41567790; ChiCTR2400083424</t>
  </si>
  <si>
    <t xml:space="preserve">https://pubmed.ncbi.nlm.nih.gov/41567790/</t>
  </si>
  <si>
    <t xml:space="preserve">Toque terapeutico</t>
  </si>
  <si>
    <t xml:space="preserve">Terapias energeticas</t>
  </si>
  <si>
    <t xml:space="preserve">Woods DL, Beck C, Sinha K. 2009. Forsch Komplementmed</t>
  </si>
  <si>
    <t xml:space="preserve">Aleatorizado</t>
  </si>
  <si>
    <t xml:space="preserve">64 completaron</t>
  </si>
  <si>
    <t xml:space="preserve">Demencia en residencias, 67-93 anos</t>
  </si>
  <si>
    <t xml:space="preserve">Conductas, cortisol</t>
  </si>
  <si>
    <t xml:space="preserve">Inquietud reducida en el grupo experimental (p=0.03); variabilidad del cortisol matutino distinta entre grupos (&lt;0.0001)</t>
  </si>
  <si>
    <t xml:space="preserve">cita encontrada; cifra coincide (PMID 19657203; n=64; 2009)</t>
  </si>
  <si>
    <t xml:space="preserve">PMID 19657203</t>
  </si>
  <si>
    <t xml:space="preserve">https://pubmed.ncbi.nlm.nih.gov/19657203/</t>
  </si>
  <si>
    <t xml:space="preserve">Reiki</t>
  </si>
  <si>
    <t xml:space="preserve">Reiki en dolor y ansiedad</t>
  </si>
  <si>
    <t xml:space="preserve">Meland B. 2009. Altern Ther Health Med</t>
  </si>
  <si>
    <t xml:space="preserve">Serie de casos</t>
  </si>
  <si>
    <t xml:space="preserve">Demencia en ancianos</t>
  </si>
  <si>
    <t xml:space="preserve">Dolor y ansiedad</t>
  </si>
  <si>
    <t xml:space="preserve">El resumen disponible en Europe PMC no incluye resultados; revisar el original</t>
  </si>
  <si>
    <t xml:space="preserve">cita encontrada; cifra no comprobable en el resumen (PMID 19623833; sin resumen en Europe PMC; 2009)</t>
  </si>
  <si>
    <t xml:space="preserve">PMID 19623833</t>
  </si>
  <si>
    <t xml:space="preserve">https://pubmed.ncbi.nlm.nih.gov/19623833/</t>
  </si>
  <si>
    <t xml:space="preserve">Aromaterapia</t>
  </si>
  <si>
    <t xml:space="preserve">Aromaterapia domiciliaria</t>
  </si>
  <si>
    <t xml:space="preserve">Li BSY et al. 2025. Integr Med Res</t>
  </si>
  <si>
    <t xml:space="preserve">Aleatorizado con evaluacion de proceso</t>
  </si>
  <si>
    <t xml:space="preserve">Demencia en domicilio, China</t>
  </si>
  <si>
    <t xml:space="preserve">Inhalacion</t>
  </si>
  <si>
    <t xml:space="preserve">BPSD, calidad de vida, carga del cuidador</t>
  </si>
  <si>
    <t xml:space="preserve">Bajaron desinhibicion e irritabilidad; mejoraron salud y relaciones sociales; el estres y la carga del cuidador bajaron sin significacion</t>
  </si>
  <si>
    <t xml:space="preserve">cita encontrada; cifra no comprobable en el resumen (PMID 40496446; 2025)</t>
  </si>
  <si>
    <t xml:space="preserve">PMID 40496446; NCT05032664; ChiCTR2100050869</t>
  </si>
  <si>
    <t xml:space="preserve">https://pubmed.ncbi.nlm.nih.gov/40496446/</t>
  </si>
  <si>
    <t xml:space="preserve">Aromaterapia con realidad aumentada</t>
  </si>
  <si>
    <t xml:space="preserve">Aromaterapia / tecnologia</t>
  </si>
  <si>
    <t xml:space="preserve">Cheng VY et al. 2026. Healthcare</t>
  </si>
  <si>
    <t xml:space="preserve">160 (80 vs 80)</t>
  </si>
  <si>
    <t xml:space="preserve">Demencia temprana, Taiwan</t>
  </si>
  <si>
    <t xml:space="preserve">6 semanas, 12 sesiones</t>
  </si>
  <si>
    <t xml:space="preserve">2 por semana</t>
  </si>
  <si>
    <t xml:space="preserve">BPSD y bienestar psicosocial</t>
  </si>
  <si>
    <t xml:space="preserve">Interaccion grupo x tiempo significativa en todas las medidas (p&lt;0.001)</t>
  </si>
  <si>
    <t xml:space="preserve">National Science and Technology Council</t>
  </si>
  <si>
    <t xml:space="preserve">cita encontrada; cifra no comprobable en el resumen (PMID 42278734; n=160 coincide; p cortado en el resumen; 2026)</t>
  </si>
  <si>
    <t xml:space="preserve">PMID 42278734</t>
  </si>
  <si>
    <t xml:space="preserve">https://pubmed.ncbi.nlm.nih.gov/42278734/</t>
  </si>
  <si>
    <t xml:space="preserve">Masaje aromatico</t>
  </si>
  <si>
    <t xml:space="preserve">Masaje aromatico con acupresion</t>
  </si>
  <si>
    <t xml:space="preserve">Aromaterapia / acupresion</t>
  </si>
  <si>
    <t xml:space="preserve">Fung JKK, Tsang HW. 2018. J Clin Nurs</t>
  </si>
  <si>
    <t xml:space="preserve">Aleatorizado comparado con entrenamiento cognitivo</t>
  </si>
  <si>
    <t xml:space="preserve">Protocolo aroma-masaje con acupresion, apto para cuidadores</t>
  </si>
  <si>
    <t xml:space="preserve">Gravedad y malestar por BPSD</t>
  </si>
  <si>
    <t xml:space="preserve">Reduccion significativa en los grupos aroma-masaje y combinado; no en entrenamiento cognitivo solo</t>
  </si>
  <si>
    <t xml:space="preserve">cita encontrada; cifra no comprobable en el resumen (PMID 28986942; 2018)</t>
  </si>
  <si>
    <t xml:space="preserve">PMID 28986942</t>
  </si>
  <si>
    <t xml:space="preserve">https://pubmed.ncbi.nlm.nih.gov/28986942/</t>
  </si>
  <si>
    <t xml:space="preserve">Masaje manual (cuidadores)</t>
  </si>
  <si>
    <t xml:space="preserve">Masaje manual por cuidadores familiares</t>
  </si>
  <si>
    <t xml:space="preserve">Masaje</t>
  </si>
  <si>
    <t xml:space="preserve">Liu YC et al. 2023. Geriatr Nurs</t>
  </si>
  <si>
    <t xml:space="preserve">38 parejas</t>
  </si>
  <si>
    <t xml:space="preserve">Demencia en domicilio y cuidadores</t>
  </si>
  <si>
    <t xml:space="preserve">Cuidadores entrenados</t>
  </si>
  <si>
    <t xml:space="preserve">CSDD, CMAI, estres del cuidador</t>
  </si>
  <si>
    <t xml:space="preserve">Mejora significativa en CSDD y CMAI frente a control</t>
  </si>
  <si>
    <t xml:space="preserve">Cardinal Tien Hospital</t>
  </si>
  <si>
    <t xml:space="preserve">Masaje manual por el cuidador tras entrenamiento</t>
  </si>
  <si>
    <t xml:space="preserve">cita encontrada; cifra no comprobable en el resumen (PMID 37540911; 2023)</t>
  </si>
  <si>
    <t xml:space="preserve">PMID 37540911</t>
  </si>
  <si>
    <t xml:space="preserve">https://pubmed.ncbi.nlm.nih.gov/37540911/</t>
  </si>
  <si>
    <t xml:space="preserve">Terapia con munecos</t>
  </si>
  <si>
    <t xml:space="preserve">Terapia con munecos por personal</t>
  </si>
  <si>
    <t xml:space="preserve">Muñecos</t>
  </si>
  <si>
    <t xml:space="preserve">Cui Z et al. 2026. Front Public Health</t>
  </si>
  <si>
    <t xml:space="preserve">Piloto aleatorizado por conglomerados, mixto</t>
  </si>
  <si>
    <t xml:space="preserve">142 inscritos; 130 completaron</t>
  </si>
  <si>
    <t xml:space="preserve">Demencia en residencias de China</t>
  </si>
  <si>
    <t xml:space="preserve">12 semanas, 8 sesiones</t>
  </si>
  <si>
    <t xml:space="preserve">Mediada por personal</t>
  </si>
  <si>
    <t xml:space="preserve">NPI-12, Barthel, medicacion</t>
  </si>
  <si>
    <t xml:space="preserve">Diferencia en NPI-12 -3.61 (IC95% -5.86 a -1.36) a 6 sem y -4.40 (-6.50 a -2.30) a 12 sem; Barthel 3.96 a 6 sem pero no sostenido; sin diferencia en dosis de farmacos</t>
  </si>
  <si>
    <t xml:space="preserve">Seis eventos posibles/probables leves o moderados; ninguno grave</t>
  </si>
  <si>
    <t xml:space="preserve">cita encontrada; cifra coincide (PMID 42755894; 3.61/4.40/3.96; 2026)</t>
  </si>
  <si>
    <t xml:space="preserve">PMID 42755894; NCT06506487</t>
  </si>
  <si>
    <t xml:space="preserve">https://pubmed.ncbi.nlm.nih.gov/42755894/</t>
  </si>
  <si>
    <t xml:space="preserve">Robots sociales</t>
  </si>
  <si>
    <t xml:space="preserve">Foca robot PARO</t>
  </si>
  <si>
    <t xml:space="preserve">Robots</t>
  </si>
  <si>
    <t xml:space="preserve">Inoue K et al. 2026. Alzheimers Dement</t>
  </si>
  <si>
    <t xml:space="preserve">Aleatorizado por conglomerados</t>
  </si>
  <si>
    <t xml:space="preserve">85</t>
  </si>
  <si>
    <t xml:space="preserve">Uso con minima implicacion del cuidador; tres veces por semana en el grupo de mayor frecuencia</t>
  </si>
  <si>
    <t xml:space="preserve">Carga del cuidador, BPSD</t>
  </si>
  <si>
    <t xml:space="preserve">Carga del cuidador -3.29 (IC95% -6.26 a -0.32; p=0.030); BPSD -1.98 (-4.10 a 0.15; p=0.068)</t>
  </si>
  <si>
    <t xml:space="preserve">Grant in Aid for Scientific Research (B)</t>
  </si>
  <si>
    <t xml:space="preserve">cita encontrada; cifra coincide (PMID 41700094; 3.29, 1.98, p=0.030/0.068; 2026)</t>
  </si>
  <si>
    <t xml:space="preserve">PMID 41700094</t>
  </si>
  <si>
    <t xml:space="preserve">https://pubmed.ncbi.nlm.nih.gov/41700094/</t>
  </si>
  <si>
    <t xml:space="preserve">Robot social PIO</t>
  </si>
  <si>
    <t xml:space="preserve">Lim JS, Oh HK. 2025. PLoS One</t>
  </si>
  <si>
    <t xml:space="preserve">Demencia leve-moderada en centros de dia</t>
  </si>
  <si>
    <t xml:space="preserve">Programa robot PIO</t>
  </si>
  <si>
    <t xml:space="preserve">Cognicion y depresion</t>
  </si>
  <si>
    <t xml:space="preserve">Cognicion experimental 18.1+-4.54 a 21.9+-5.17 (+3.9); control 18.2 a 18.2 (t=3.94; p&lt;.001); depresion diferencia no significativa (p=.557)</t>
  </si>
  <si>
    <t xml:space="preserve">cita encontrada; cifra coincide (PMID 40261884; 18.1 a 21.9, p=.557; 2025)</t>
  </si>
  <si>
    <t xml:space="preserve">PMID 40261884; KCT0007936</t>
  </si>
  <si>
    <t xml:space="preserve">https://pubmed.ncbi.nlm.nih.gov/40261884/</t>
  </si>
  <si>
    <t xml:space="preserve">Luz brillante</t>
  </si>
  <si>
    <t xml:space="preserve">Luz brillante exterior o caja de luz</t>
  </si>
  <si>
    <t xml:space="preserve">Luz</t>
  </si>
  <si>
    <t xml:space="preserve">Cheng W et al. 2024. J Gerontol Soc Work</t>
  </si>
  <si>
    <t xml:space="preserve">Piloto aleatorizado, 3 grupos</t>
  </si>
  <si>
    <t xml:space="preserve">31 (10 exterior, 11 caja de luz, 10 control)</t>
  </si>
  <si>
    <t xml:space="preserve">Demencia, Macao</t>
  </si>
  <si>
    <t xml:space="preserve">Luz exterior vs caja interior</t>
  </si>
  <si>
    <t xml:space="preserve">Agitacion, cognicion</t>
  </si>
  <si>
    <t xml:space="preserve">Reduccion significativa de agitacion en ambos grupos de luz; sin diferencia en cognicion</t>
  </si>
  <si>
    <t xml:space="preserve">Sin financiacion</t>
  </si>
  <si>
    <t xml:space="preserve">cita encontrada; cifra coincide (PMID 38701196; n=31, 10/11/10; 2024)</t>
  </si>
  <si>
    <t xml:space="preserve">PMID 38701196</t>
  </si>
  <si>
    <t xml:space="preserve">https://pubmed.ncbi.nlm.nih.gov/38701196/</t>
  </si>
  <si>
    <t xml:space="preserve">Entrenamiento de fuerza</t>
  </si>
  <si>
    <t xml:space="preserve">Entrenamiento de fuerza 24 semanas</t>
  </si>
  <si>
    <t xml:space="preserve">Ejercicio de fuerza</t>
  </si>
  <si>
    <t xml:space="preserve">Ribeiro IC et al. 2025. Geroscience</t>
  </si>
  <si>
    <t xml:space="preserve">Aleatorizado con resonancia</t>
  </si>
  <si>
    <t xml:space="preserve">44 (22 vs 22)</t>
  </si>
  <si>
    <t xml:space="preserve">Entrenamiento de resistencia</t>
  </si>
  <si>
    <t xml:space="preserve">Neuropsicologia, volumen y sustancia blanca</t>
  </si>
  <si>
    <t xml:space="preserve">Mejor memoria episodica verbal; controles perdieron sustancia gris en hipocampo y precuneo; entrenados sin perdida en hipocampo derecho pero con disminucion en lado izquierdo; fraccion anisotropica sube en entrenados</t>
  </si>
  <si>
    <t xml:space="preserve">FAPESP</t>
  </si>
  <si>
    <t xml:space="preserve">cita encontrada; cifra coincide (PMID 39745618; 44 (22 vs 22); 2025)</t>
  </si>
  <si>
    <t xml:space="preserve">PMID 39745618</t>
  </si>
  <si>
    <t xml:space="preserve">https://pubmed.ncbi.nlm.nih.gov/39745618/</t>
  </si>
  <si>
    <t xml:space="preserve">Ejercicio aerobico y de fuerza</t>
  </si>
  <si>
    <t xml:space="preserve">Ejercicio aerobico y fuerza, baja y alta intensidad</t>
  </si>
  <si>
    <t xml:space="preserve">Sanders LMJ et al. 2020. Alzheimers Res Ther</t>
  </si>
  <si>
    <t xml:space="preserve">69</t>
  </si>
  <si>
    <t xml:space="preserve">Aerobico y fuerza con fases de baja y alta intensidad</t>
  </si>
  <si>
    <t xml:space="preserve">Funcion fisica y cognitiva</t>
  </si>
  <si>
    <t xml:space="preserve">Sin efectos en resistencia, movilidad, equilibrio ni fuerza (d=0.13-0.18); velocidad de marcha +0.05 m/s tras fase intensa (d=0.41) con perdida al seguimiento; cognicion d~-0.04</t>
  </si>
  <si>
    <t xml:space="preserve">cita encontrada; cifra difiere: el resumen indica 91 personas con demencia reclutadas; la fila pone n=69 (PMID 32192537; 2020)</t>
  </si>
  <si>
    <t xml:space="preserve">PMID 32192537; NTR5035</t>
  </si>
  <si>
    <t xml:space="preserve">https://pubmed.ncbi.nlm.nih.gov/32192537/</t>
  </si>
  <si>
    <t xml:space="preserve">HIIT</t>
  </si>
  <si>
    <t xml:space="preserve">HIIT en ratas con demencia vascular</t>
  </si>
  <si>
    <t xml:space="preserve">Ejercicio de intervalos</t>
  </si>
  <si>
    <t xml:space="preserve">Guo C et al. 2023. Neuroreport</t>
  </si>
  <si>
    <t xml:space="preserve">Modelo animal BCCAO</t>
  </si>
  <si>
    <t xml:space="preserve">HIIT vs entrenamiento continuo moderado</t>
  </si>
  <si>
    <t xml:space="preserve">Laberinto de Morris, histologia, BDNF</t>
  </si>
  <si>
    <t xml:space="preserve">HIIT redujo latencia y distancia; mejoro dano hipocampal; BDNF mas alto que sedentarias y MICT</t>
  </si>
  <si>
    <t xml:space="preserve">cita encontrada; cifra no comprobable en el resumen (PMID 37104097; 2023)</t>
  </si>
  <si>
    <t xml:space="preserve">PMID 37104097</t>
  </si>
  <si>
    <t xml:space="preserve">https://pubmed.ncbi.nlm.nih.gov/37104097/</t>
  </si>
  <si>
    <t xml:space="preserve">Aprendizaje de idiomas</t>
  </si>
  <si>
    <t xml:space="preserve">Aprendizaje de segundo idioma</t>
  </si>
  <si>
    <t xml:space="preserve">Bilinguismo</t>
  </si>
  <si>
    <t xml:space="preserve">Bubbico G et al. 2019. Front Neurosci</t>
  </si>
  <si>
    <t xml:space="preserve">Grupo intervencion y control</t>
  </si>
  <si>
    <t xml:space="preserve">Mayores sanos 59-79 anos</t>
  </si>
  <si>
    <t xml:space="preserve">4 meses, 16 sesiones de 2 h</t>
  </si>
  <si>
    <t xml:space="preserve">Curso de idioma</t>
  </si>
  <si>
    <t xml:space="preserve">Neuropsicologia y conectividad funcional</t>
  </si>
  <si>
    <t xml:space="preserve">Mejora de cognicion global y mayor conectividad en giro frontal inferior derecho, frontal superior derecho y lobulo parietal superior izquierdo</t>
  </si>
  <si>
    <t xml:space="preserve">Universita G. d'Annunzio Chieti-Pescara</t>
  </si>
  <si>
    <t xml:space="preserve">cita encontrada; cifra coincide (PMID 31156360; 16 sesiones de 2 h; 2019)</t>
  </si>
  <si>
    <t xml:space="preserve">PMID 31156360</t>
  </si>
  <si>
    <t xml:space="preserve">https://pubmed.ncbi.nlm.nih.gov/31156360/</t>
  </si>
  <si>
    <t xml:space="preserve">Cursos de idiomas para personas con demencia y cuidadores</t>
  </si>
  <si>
    <t xml:space="preserve">Vega-Mendoza M et al. 2024. Healthcare</t>
  </si>
  <si>
    <t xml:space="preserve">Viabilidad cualitativa</t>
  </si>
  <si>
    <t xml:space="preserve">Demencia y cuidadores</t>
  </si>
  <si>
    <t xml:space="preserve">Cursos de idioma</t>
  </si>
  <si>
    <t xml:space="preserve">Experiencia y viabilidad</t>
  </si>
  <si>
    <t xml:space="preserve">12 temas; percibido positivo; mas autoestima y sentido de logro; sin efectos adversos como confusion o frustracion</t>
  </si>
  <si>
    <t xml:space="preserve">AHRC OWRI, ESRC, Univ. Edinburgh</t>
  </si>
  <si>
    <t xml:space="preserve">cita encontrada; cifra coincide (PMID 38610141; 12 temas; 2024)</t>
  </si>
  <si>
    <t xml:space="preserve">PMID 38610141</t>
  </si>
  <si>
    <t xml:space="preserve">https://pubmed.ncbi.nlm.nih.gov/38610141/</t>
  </si>
  <si>
    <t xml:space="preserve">Realidad virtual</t>
  </si>
  <si>
    <t xml:space="preserve">Gafas de realidad virtual</t>
  </si>
  <si>
    <t xml:space="preserve">Dastan B, Unal H. 2026. J Gerontol Nurs</t>
  </si>
  <si>
    <t xml:space="preserve">24 (12 vs 12)</t>
  </si>
  <si>
    <t xml:space="preserve">Gafas VR</t>
  </si>
  <si>
    <t xml:space="preserve">Escala de DCL</t>
  </si>
  <si>
    <t xml:space="preserve">Mejoria en el grupo VR; sin cambio significativo en control</t>
  </si>
  <si>
    <t xml:space="preserve">cita encontrada; cifra coincide (PMID 42411863; n=24, 12 vs 12; 2026)</t>
  </si>
  <si>
    <t xml:space="preserve">PMID 42411863</t>
  </si>
  <si>
    <t xml:space="preserve">https://pubmed.ncbi.nlm.nih.gov/42411863/</t>
  </si>
  <si>
    <t xml:space="preserve">Baile folclorico</t>
  </si>
  <si>
    <t xml:space="preserve">Baile folclorico portugues adaptado</t>
  </si>
  <si>
    <t xml:space="preserve">Baile</t>
  </si>
  <si>
    <t xml:space="preserve">Almeida A et al. 2026. Front Aging Neurosci</t>
  </si>
  <si>
    <t xml:space="preserve">Piloto de metodos mixtos</t>
  </si>
  <si>
    <t xml:space="preserve">10 reclutados; 8 completaron</t>
  </si>
  <si>
    <t xml:space="preserve">Demencia moderada-grave con alteracion del equilibrio</t>
  </si>
  <si>
    <t xml:space="preserve">4 semanas, 2 veces por semana</t>
  </si>
  <si>
    <t xml:space="preserve">Programa de baile adaptado</t>
  </si>
  <si>
    <t xml:space="preserve">Mini-BESTest, MoCA, aceptabilidad</t>
  </si>
  <si>
    <t xml:space="preserve">Mini-BESTest +1.38+-0.32 (p=0.004; d=1.50); MoCA estable (p=1.00); asistencia 85.9%</t>
  </si>
  <si>
    <t xml:space="preserve">Sin eventos adversos</t>
  </si>
  <si>
    <t xml:space="preserve">cita encontrada; cifra coincide (PMID 42694187; 1.38, p=0.004, asistencia 85.9%; 2026)</t>
  </si>
  <si>
    <t xml:space="preserve">PMID 42694187</t>
  </si>
  <si>
    <t xml:space="preserve">https://pubmed.ncbi.nlm.nih.gov/42694187/</t>
  </si>
  <si>
    <t xml:space="preserve">Jardineria comunitaria</t>
  </si>
  <si>
    <t xml:space="preserve">Jardineria</t>
  </si>
  <si>
    <t xml:space="preserve">Styck AC, George DR. 2022. J Alzheimers Dis Rep</t>
  </si>
  <si>
    <t xml:space="preserve">Piloto por conglomerados</t>
  </si>
  <si>
    <t xml:space="preserve">10 residentes</t>
  </si>
  <si>
    <t xml:space="preserve">Demencia en centro de cuidados</t>
  </si>
  <si>
    <t xml:space="preserve">Jardineria grupal con donaciones caritativas</t>
  </si>
  <si>
    <t xml:space="preserve">Sentido de proposito, cualitativo</t>
  </si>
  <si>
    <t xml:space="preserve">Cuatro temas: beneficios fisicos, estado de animo/comunidad, reminiscencia, proposito y orgullo</t>
  </si>
  <si>
    <t xml:space="preserve">cita encontrada; cifra coincide (PMID 36072363; 10 residentes; 2022)</t>
  </si>
  <si>
    <t xml:space="preserve">PMID 36072363</t>
  </si>
  <si>
    <t xml:space="preserve">https://pubmed.ncbi.nlm.nih.gov/36072363/</t>
  </si>
  <si>
    <t xml:space="preserve">Calming Touch</t>
  </si>
  <si>
    <t xml:space="preserve">Calming Touch (masaje de presion profunda)</t>
  </si>
  <si>
    <t xml:space="preserve">Registro de ensayo sin resultados publicados</t>
  </si>
  <si>
    <t xml:space="preserve">ClinicalTrials.gov NCT05272501</t>
  </si>
  <si>
    <t xml:space="preserve">Aleatorizado de viabilidad; primario CMAI a 4, 8, 12 sem</t>
  </si>
  <si>
    <t xml:space="preserve">Demencia con agitacion, Dinamarca (University College Copenhagen)</t>
  </si>
  <si>
    <t xml:space="preserve">Inicio 2021-10, fin 2022-12, completado</t>
  </si>
  <si>
    <t xml:space="preserve">ver registro</t>
  </si>
  <si>
    <t xml:space="preserve">hasResults=false en la API; no hay resultados publicados en el registro</t>
  </si>
  <si>
    <t xml:space="preserve">cita encontrada; cifra coincide (NCT05272501; COMPLETED, sin resultados, inicio 2021-10-04)</t>
  </si>
  <si>
    <t xml:space="preserve">NCT05272501</t>
  </si>
  <si>
    <t xml:space="preserve">https://clinicaltrials.gov/study/NCT05272501</t>
  </si>
  <si>
    <t xml:space="preserve">Aceite esencial ylang-ylang difundido</t>
  </si>
  <si>
    <t xml:space="preserve">ClinicalTrials.gov NCT05034107</t>
  </si>
  <si>
    <t xml:space="preserve">Pre-post cuasi-experimental; primarios CSDD, CMAI, NPI-Q</t>
  </si>
  <si>
    <t xml:space="preserve">28</t>
  </si>
  <si>
    <t xml:space="preserve">Demencia en residencias, Malasia (Universiti Teknologi MARA)</t>
  </si>
  <si>
    <t xml:space="preserve">2021-06 a 2022-06, completado</t>
  </si>
  <si>
    <t xml:space="preserve">cita encontrada; cifra coincide (NCT05034107; COMPLETED, sin resultados, inicio 2021-06-30)</t>
  </si>
  <si>
    <t xml:space="preserve">NCT05034107</t>
  </si>
  <si>
    <t xml:space="preserve">https://clinicaltrials.gov/study/NCT05034107</t>
  </si>
  <si>
    <t xml:space="preserve">Acupuntura para BPSD, seguridad y tolerancia</t>
  </si>
  <si>
    <t xml:space="preserve">ClinicalTrials.gov NCT01055561</t>
  </si>
  <si>
    <t xml:space="preserve">Abierto, no aleatorizado</t>
  </si>
  <si>
    <t xml:space="preserve">Demencia/Alzheimer y voluntarios sanos (Chengdu University of TCM)</t>
  </si>
  <si>
    <t xml:space="preserve">2010-01 a 2011-03, completado</t>
  </si>
  <si>
    <t xml:space="preserve">cita encontrada; cifra coincide (NCT01055561; COMPLETED, sin resultados, inicio 2010-01)</t>
  </si>
  <si>
    <t xml:space="preserve">NCT01055561</t>
  </si>
  <si>
    <t xml:space="preserve">https://clinicaltrials.gov/study/NCT01055561</t>
  </si>
  <si>
    <t xml:space="preserve">Electroacupuntura y acupresion en DCL amnesico</t>
  </si>
  <si>
    <t xml:space="preserve">ClinicalTrials.gov NCT06626828</t>
  </si>
  <si>
    <t xml:space="preserve">Piloto aleatorizado vs sin intervencion; primario HK-MoCA</t>
  </si>
  <si>
    <t xml:space="preserve">24</t>
  </si>
  <si>
    <t xml:space="preserve">aMCI (Hong Kong Baptist University)</t>
  </si>
  <si>
    <t xml:space="preserve">2024-04 a 2025-01, completado</t>
  </si>
  <si>
    <t xml:space="preserve">cita encontrada; cifra coincide (NCT06626828; COMPLETED, sin resultados, inicio 2024-04-04)</t>
  </si>
  <si>
    <t xml:space="preserve">NCT06626828</t>
  </si>
  <si>
    <t xml:space="preserve">https://clinicaltrials.gov/study/NCT06626828</t>
  </si>
  <si>
    <t xml:space="preserve">Robot socialmente asistente (humanoide y perro robot)</t>
  </si>
  <si>
    <t xml:space="preserve">ClinicalTrials.gov NCT05178992</t>
  </si>
  <si>
    <t xml:space="preserve">Aleatorizado; primario apatia semana 8</t>
  </si>
  <si>
    <t xml:space="preserve">DCL, Alzheimer y demencias (Vanderbilt University)</t>
  </si>
  <si>
    <t xml:space="preserve">2023-02 a 2026-01, completado</t>
  </si>
  <si>
    <t xml:space="preserve">cita encontrada; cifra coincide (NCT05178992; COMPLETED, sin resultados, inicio 2023-02-07)</t>
  </si>
  <si>
    <t xml:space="preserve">NCT05178992</t>
  </si>
  <si>
    <t xml:space="preserve">https://clinicaltrials.gov/study/NCT05178992</t>
  </si>
  <si>
    <t xml:space="preserve">Musica personalizada con auriculares para agitacion</t>
  </si>
  <si>
    <t xml:space="preserve">ClinicalTrials.gov NCT02147652</t>
  </si>
  <si>
    <t xml:space="preserve">Un solo brazo; primario agitacion a 2 semanas</t>
  </si>
  <si>
    <t xml:space="preserve">Alzheimer y demencia vascular (University Health Network, Toronto)</t>
  </si>
  <si>
    <t xml:space="preserve">2014-10 a 2020-06, estado desconocido</t>
  </si>
  <si>
    <t xml:space="preserve">cita encontrada; cifra coincide (NCT02147652; UNKNOWN, sin resultados, inicio 2014-10-14)</t>
  </si>
  <si>
    <t xml:space="preserve">NCT02147652</t>
  </si>
  <si>
    <t xml:space="preserve">https://clinicaltrials.gov/study/NCT02147652</t>
  </si>
  <si>
    <t xml:space="preserve">Aromaterapia de lavanda vs aceite de girasol</t>
  </si>
  <si>
    <t xml:space="preserve">ClinicalTrials.gov NCT03108781</t>
  </si>
  <si>
    <t xml:space="preserve">No aleatorizado</t>
  </si>
  <si>
    <t xml:space="preserve">Demencia con BPSD (Soroka University Medical Center)</t>
  </si>
  <si>
    <t xml:space="preserve">2017-07 a 2019-09, estado desconocido</t>
  </si>
  <si>
    <t xml:space="preserve">cita encontrada; cifra coincide (NCT03108781; UNKNOWN, sin resultados, inicio 2017-07-01)</t>
  </si>
  <si>
    <t xml:space="preserve">NCT03108781</t>
  </si>
  <si>
    <t xml:space="preserve">https://clinicaltrials.gov/study/NCT03108781</t>
  </si>
  <si>
    <t xml:space="preserve">Aromaterapia olor y contacto vs lista de espera para BPSD</t>
  </si>
  <si>
    <t xml:space="preserve">ClinicalTrials.gov NCT03576170</t>
  </si>
  <si>
    <t xml:space="preserve">Aleatorizado, 3 brazos</t>
  </si>
  <si>
    <t xml:space="preserve">112</t>
  </si>
  <si>
    <t xml:space="preserve">Demencia (Hong Kong Polytechnic University)</t>
  </si>
  <si>
    <t xml:space="preserve">2017-11 a 2018-10, completado</t>
  </si>
  <si>
    <t xml:space="preserve">cita encontrada; cifra coincide (NCT03576170; COMPLETED, sin resultados, inicio 2017-11-29)</t>
  </si>
  <si>
    <t xml:space="preserve">NCT03576170</t>
  </si>
  <si>
    <t xml:space="preserve">https://clinicaltrials.gov/study/NCT03576170</t>
  </si>
  <si>
    <t xml:space="preserve">ambiente_toxicos</t>
  </si>
  <si>
    <t xml:space="preserve">Moho en vivienda (exposición)</t>
  </si>
  <si>
    <t xml:space="preserve">Moho en vivienda (hongos ambientales)</t>
  </si>
  <si>
    <t xml:space="preserve">Moho / Bredesen tipo 3</t>
  </si>
  <si>
    <t xml:space="preserve">Rivera-Carvajal R, Tiga-Loza DC, Roncancio DJ et al., 2026, Front Public Health</t>
  </si>
  <si>
    <t xml:space="preserve">caso-control 1:1, regresion logistica condicional</t>
  </si>
  <si>
    <t xml:space="preserve">120 (60 casos, 60 controles)</t>
  </si>
  <si>
    <t xml:space="preserve">deterioro cognitivo leve amnesico (aMCI), edad mediana 69, Bucaramanga (Colombia)</t>
  </si>
  <si>
    <t xml:space="preserve">2024-2025</t>
  </si>
  <si>
    <t xml:space="preserve">Cuestionario DMAT, cultivos de aire en dormitorio/salon/cocina, CO2, humedad, IgE sericas frente a moho</t>
  </si>
  <si>
    <t xml:space="preserve">Asociacion entre moho domestico y aMCI</t>
  </si>
  <si>
    <t xml:space="preserve">aMCI asociado a irritacion nasal tipo sindrome del edificio enfermo: OR 5,84 (IC95% 1,20-28,37). Fusarium en cocina: OR 3,86 (0,85-17,30), no significativo. Diabetes: OR 7,68 (0,95-61,16), no significativo. Mayor temperatura interior y limpieza frecuente: tendencia inversa no significativa.</t>
  </si>
  <si>
    <t xml:space="preserve">no consta en el resumen consultado</t>
  </si>
  <si>
    <t xml:space="preserve">Observar si la irritacion nasal mejora al salir de casa (dato que la propia fuente asocia con aMCI).</t>
  </si>
  <si>
    <t xml:space="preserve">cita encontrada; cifra coincide</t>
  </si>
  <si>
    <t xml:space="preserve">PMID 42517109; DOI 10.3389/fpubh.2026.1877177</t>
  </si>
  <si>
    <t xml:space="preserve">https://pubmed.ncbi.nlm.nih.gov/42517109/</t>
  </si>
  <si>
    <t xml:space="preserve">Protocolo Shoemaker/CIRS</t>
  </si>
  <si>
    <t xml:space="preserve">Retirada de toxinas inhaladas (moho) + protocolo Shoemaker/CIRS</t>
  </si>
  <si>
    <t xml:space="preserve">Moho / Bredesen tipo 3 (Alzheimer inhalatorio)</t>
  </si>
  <si>
    <t xml:space="preserve">Bredesen DE, 2016, Aging 8(2):304-313</t>
  </si>
  <si>
    <t xml:space="preserve">serie de 7 casos descritos, un solo autor, sin control</t>
  </si>
  <si>
    <t xml:space="preserve">7 casos (el texto menciona tambien 8 perfiles HLA)</t>
  </si>
  <si>
    <t xml:space="preserve">deterioro cognitivo / Alzheimer tipo 3</t>
  </si>
  <si>
    <t xml:space="preserve">semanas a meses (p.ej. 5 semanas en el caso 1)</t>
  </si>
  <si>
    <t xml:space="preserve">Evitar la fuente de moho, colestiramina como captador, spray nasal BEG (Bactroban, EDTA, gentamicina) para MARCoNS, VIP intranasal, correccion hormonal y digestiva; en el caso 1 se anadio antes el programa MEND</t>
  </si>
  <si>
    <t xml:space="preserve">MoCA, C4a, TGF-b1, MMP9, HLA-DR/DQ, sensibilidad al contraste visual, micotoxinas en orina, ERMI</t>
  </si>
  <si>
    <t xml:space="preserve">Caso 1: MoCA 19/30 al inicio, mejoria subjetiva a las 5 semanas y C4a de 22.799 a 2.750 ng/ml. Caso 2: mejoria subjetiva tras varias semanas. Caso 3: orina positiva a micotoxinas sin valores. Sin cifras agregadas; el autor dice que la mejoria 'se observa de forma rutinaria'.</t>
  </si>
  <si>
    <t xml:space="preserve">Autor declara ausencia de conflicto; financiacion: NIH (AG16570, AG034427, AG036975), UCLA Easton Center, Fundaciones Rosenberg, Bechtel, Drown, Alzheimer's Association, Buck Institute, donantes privados</t>
  </si>
  <si>
    <t xml:space="preserve">Descrito por el autor: identificar y retirar la fuente de moho; pruebas ERMI de la vivienda; analisis de micotoxinas en orina.</t>
  </si>
  <si>
    <t xml:space="preserve">cita encontrada; cifra no comprobable en el resumen</t>
  </si>
  <si>
    <t xml:space="preserve">https://pmc.ncbi.nlm.nih.gov/articles/PMC4789584/</t>
  </si>
  <si>
    <t xml:space="preserve">Programa MEND personalizado (incluye retirada de toxinas, metales, dieta, sueno, suplementos)</t>
  </si>
  <si>
    <t xml:space="preserve">Bredesen / medicina funcional</t>
  </si>
  <si>
    <t xml:space="preserve">Bredesen DE, 2014, Aging 6(9):707-717</t>
  </si>
  <si>
    <t xml:space="preserve">serie de 10 casos, sin control</t>
  </si>
  <si>
    <t xml:space="preserve">Alzheimer, aMCI o deterioro subjetivo</t>
  </si>
  <si>
    <t xml:space="preserve">hasta 2,5 anos de seguimiento</t>
  </si>
  <si>
    <t xml:space="preserve">Programa de 36 puntos individualizado</t>
  </si>
  <si>
    <t xml:space="preserve">Cognicion subjetiva y objetiva, vuelta al trabajo</t>
  </si>
  <si>
    <t xml:space="preserve">9 de 10 mostraron mejoria subjetiva u objetiva en 3-6 meses; el fallo fue un paciente con Alzheimer muy avanzado. 6 que habian dejado el trabajo o tenian dificultades pudieron volver o mejorar.</t>
  </si>
  <si>
    <t xml:space="preserve">NIH/NIA entre las subvenciones listadas en Europe PMC; conflictos: no consta en el resumen</t>
  </si>
  <si>
    <t xml:space="preserve">Programa MEND con RM cuantitativa</t>
  </si>
  <si>
    <t xml:space="preserve">Bredesen DE, Amos EC, Canick J et al., 2016, Aging 8(6):1250-1258</t>
  </si>
  <si>
    <t xml:space="preserve">serie de 10 pacientes con volumetria RM y test neuropsicologicos</t>
  </si>
  <si>
    <t xml:space="preserve">10 (9 ApoE4+, 1 ApoE4-)</t>
  </si>
  <si>
    <t xml:space="preserve">deterioro cognitivo</t>
  </si>
  <si>
    <t xml:space="preserve">RM cuantitativa, test neuropsicologicos</t>
  </si>
  <si>
    <t xml:space="preserve">Los autores describen la magnitud de la mejoria como 'sin precedentes' (el resumen no da cifras).</t>
  </si>
  <si>
    <t xml:space="preserve">NIA NIH HHS entre las subvenciones; conflictos no consta en el resumen</t>
  </si>
  <si>
    <t xml:space="preserve">Medicina de precisión (Toups)</t>
  </si>
  <si>
    <t xml:space="preserve">Enfoque de medicina de precision (inflamacion, infeccion, toxinas, nutrientes, hormonas)</t>
  </si>
  <si>
    <t xml:space="preserve">Bredesen / ReCODE</t>
  </si>
  <si>
    <t xml:space="preserve">Toups K, Hathaway A, Gordon D et al., 2022, J Alzheimers Dis</t>
  </si>
  <si>
    <t xml:space="preserve">piloto de brazo unico</t>
  </si>
  <si>
    <t xml:space="preserve">demencia o MCI con MoCA &gt;=19</t>
  </si>
  <si>
    <t xml:space="preserve">Protocolo personalizado con evaluaciones a 0, 3, 6 y 9 meses</t>
  </si>
  <si>
    <t xml:space="preserve">MoCA, CNS Vital Signs, Alzheimer's Questionnaire, RM volumetrica</t>
  </si>
  <si>
    <t xml:space="preserve">Mejoria estadisticamente significativa en MoCA, Indice Neurocognitivo CNS Vital Signs y puntuacion de cambio del Alzheimer's Questionnaire; volumetria RM tambien mejoro; sin eventos adversos graves.</t>
  </si>
  <si>
    <t xml:space="preserve">sin eventos adversos graves</t>
  </si>
  <si>
    <t xml:space="preserve">no consta en el registro de Europe PMC (sin subvenciones listadas)</t>
  </si>
  <si>
    <t xml:space="preserve">https://pubmed.ncbi.nlm.nih.gov/35811518/</t>
  </si>
  <si>
    <t xml:space="preserve">Protocolo de medicina de precision con seguimiento largo</t>
  </si>
  <si>
    <t xml:space="preserve">Bredesen DE, Ross MK, Ross S, 2024, Biomedicines 12(8):1776</t>
  </si>
  <si>
    <t xml:space="preserve">serie de casos con seguimiento &gt;5 anos</t>
  </si>
  <si>
    <t xml:space="preserve">deterioro cognitivo / Alzheimer</t>
  </si>
  <si>
    <t xml:space="preserve">en algunos casos mas de 10 anos</t>
  </si>
  <si>
    <t xml:space="preserve">ReCODE</t>
  </si>
  <si>
    <t xml:space="preserve">Mejoria cognitiva sostenida</t>
  </si>
  <si>
    <t xml:space="preserve">Los autores informan mejoria sostenida, en algunos casos mas de una decada.</t>
  </si>
  <si>
    <t xml:space="preserve">Four Winds Foundation (apoyo declarado)</t>
  </si>
  <si>
    <t xml:space="preserve">https://pubmed.ncbi.nlm.nih.gov/39200239/</t>
  </si>
  <si>
    <t xml:space="preserve">Desensibilización (micotoxinas)</t>
  </si>
  <si>
    <t xml:space="preserve">Evitacion de moho, inyecciones de antigeno, sauna, oxigeno, nutrientes</t>
  </si>
  <si>
    <t xml:space="preserve">Moho / medicina ambiental (Rea)</t>
  </si>
  <si>
    <t xml:space="preserve">Rea WJ, 2018, Clin Ther</t>
  </si>
  <si>
    <t xml:space="preserve">serie de 100 pacientes expuestos a moho</t>
  </si>
  <si>
    <t xml:space="preserve">pacientes sensibles quimicos con exposicion cronica a moho (46 con neuropsicologia)</t>
  </si>
  <si>
    <t xml:space="preserve">3 grupos: evitacion + antigenos; desensibilizacion + antigenos de micotoxinas; ademas sauna, oxigeno y nutrientes</t>
  </si>
  <si>
    <t xml:space="preserve">IgG anti-moho, intradermicas, trichothecenos en orina, test neuropsicologicos y autonomicos</t>
  </si>
  <si>
    <t xml:space="preserve">Sintomas neurologicos en 70%; en 46 evaluados, anomalias de memoria a corto plazo, funcion ejecutiva y concentracion. Aproximadamente 85% se 'aclararon' por completo; 14% mejoria parcial.</t>
  </si>
  <si>
    <t xml:space="preserve">PMID 29861191; DOI 10.1016/j.clinthera.2018.05.003</t>
  </si>
  <si>
    <t xml:space="preserve">https://pubmed.ncbi.nlm.nih.gov/29861191/</t>
  </si>
  <si>
    <t xml:space="preserve">Ocratoxina A (exposición)</t>
  </si>
  <si>
    <t xml:space="preserve">Ocratoxina A (micotoxina alimentaria)</t>
  </si>
  <si>
    <t xml:space="preserve">Micotoxinas</t>
  </si>
  <si>
    <t xml:space="preserve">Penalva-Olcina R, Franco-Campos F et al., 2026, Toxics 14(7):549</t>
  </si>
  <si>
    <t xml:space="preserve">revision sistematica mecanistica (marco AOP)</t>
  </si>
  <si>
    <t xml:space="preserve">24 articulos (14 in vitro, 10 in vivo)</t>
  </si>
  <si>
    <t xml:space="preserve">celulas y animales</t>
  </si>
  <si>
    <t xml:space="preserve">Cascada toxicologica OTA y rutas relevantes en Alzheimer</t>
  </si>
  <si>
    <t xml:space="preserve">OTA desencadena desequilibrio redox, fallo bioenergetico mitocondrial, neuroinflamacion y activacion microglial; in vivo, dano estructural.</t>
  </si>
  <si>
    <t xml:space="preserve">PMID 42515114; DOI 10.3390/toxics14070549</t>
  </si>
  <si>
    <t xml:space="preserve">https://pubmed.ncbi.nlm.nih.gov/42515114/</t>
  </si>
  <si>
    <t xml:space="preserve">Aluminio en agua potable</t>
  </si>
  <si>
    <t xml:space="preserve">Aluminio y silice en agua potable</t>
  </si>
  <si>
    <t xml:space="preserve">Aluminio</t>
  </si>
  <si>
    <t xml:space="preserve">Rondeau V, Jacqmin-Gadda H, Commenges D et al., 2009, Am J Epidemiol (PAQUID)</t>
  </si>
  <si>
    <t xml:space="preserve">cohorte prospectiva 15 anos</t>
  </si>
  <si>
    <t xml:space="preserve">1.925 sin demencia al inicio, 91 zonas, sur de Francia</t>
  </si>
  <si>
    <t xml:space="preserve">mayores de 65 anos</t>
  </si>
  <si>
    <t xml:space="preserve">15 anos (1988-2003)</t>
  </si>
  <si>
    <t xml:space="preserve">Aluminio &gt;=0,1 mg/dia por agua; silice por 10 mg/dia</t>
  </si>
  <si>
    <t xml:space="preserve">Deterioro cognitivo, demencia, Alzheimer</t>
  </si>
  <si>
    <t xml:space="preserve">Mayor deterioro con ingesta de aluminio &gt;=0,1 mg/dia (P=0,005). Ingesta alta de aluminio asociada a mas demencia. 10 mg/dia mas de silice: RR ajustado 0,89 (P=0,036). La exposicion geografica no se asocio con demencia.</t>
  </si>
  <si>
    <t xml:space="preserve">https://pubmed.ncbi.nlm.nih.gov/19064650/</t>
  </si>
  <si>
    <t xml:space="preserve">Aluminio en agua potable e incidencia de Alzheimer</t>
  </si>
  <si>
    <t xml:space="preserve">Van Dyke N, Yenugadhati N, Birkett NJ et al., 2021, Neurotoxicology (CSHA)</t>
  </si>
  <si>
    <t xml:space="preserve">cohorte prospectiva, modelos de Cox</t>
  </si>
  <si>
    <t xml:space="preserve">3.638 con datos completos; 240 casos incidentes de Alzheimer; 35 municipios canadienses</t>
  </si>
  <si>
    <t xml:space="preserve">mayores</t>
  </si>
  <si>
    <t xml:space="preserve">1991-2002</t>
  </si>
  <si>
    <t xml:space="preserve">Aluminio municipal en agua</t>
  </si>
  <si>
    <t xml:space="preserve">Alzheimer incidente</t>
  </si>
  <si>
    <t xml:space="preserve">Categoria mas alta: HR 1,34 (IC95% 0,88-2,04; p tendencia 0,13). Continua: HR 1,21 (0,97-1,52) por rango intercuartilico de 333,8 ug/L. En subgrupo genotipado ApoE-e4: p tendencia 0,03.</t>
  </si>
  <si>
    <t xml:space="preserve">PMID 32360354; DOI 10.1016/j.neuro.2020.04.002</t>
  </si>
  <si>
    <t xml:space="preserve">https://pubmed.ncbi.nlm.nih.gov/32360354/</t>
  </si>
  <si>
    <t xml:space="preserve">Silicio (agua mineral)</t>
  </si>
  <si>
    <t xml:space="preserve">Aluminio / Exley (Keele)</t>
  </si>
  <si>
    <t xml:space="preserve">Davenward S, Bentham P, Wright J et al., 2013, J Alzheimers Dis</t>
  </si>
  <si>
    <t xml:space="preserve">estudio de intervencion con linea base</t>
  </si>
  <si>
    <t xml:space="preserve">15 pacientes con Alzheimer mas controles (cuidadores)</t>
  </si>
  <si>
    <t xml:space="preserve">Alzheimer y cuidadores</t>
  </si>
  <si>
    <t xml:space="preserve">Hasta 1 L al dia de agua mineral rica en silicio</t>
  </si>
  <si>
    <t xml:space="preserve">Aluminio urinario, hierro y cobre urinarios, cognicion</t>
  </si>
  <si>
    <t xml:space="preserve">Aumento de excrecion urinaria de aluminio sin alterar hierro y cobre. Aluminio corporal descendio y la cognicion mostro mejoras clinicamente relevantes en al menos 3 de 15 pacientes.</t>
  </si>
  <si>
    <t xml:space="preserve">no consta (la web de Keele que lo alberga devolvio 403)</t>
  </si>
  <si>
    <t xml:space="preserve">Descrito por los autores: hasta 1 L diario de agua mineral rica en silicio durante 12 semanas.</t>
  </si>
  <si>
    <t xml:space="preserve">agua mineral comercial, precio no consta</t>
  </si>
  <si>
    <t xml:space="preserve">https://pubmed.ncbi.nlm.nih.gov/22976072/</t>
  </si>
  <si>
    <t xml:space="preserve">Aluminio en tejido cerebral</t>
  </si>
  <si>
    <t xml:space="preserve">Contenido de aluminio en cerebro humano</t>
  </si>
  <si>
    <t xml:space="preserve">Aluminio / Exley</t>
  </si>
  <si>
    <t xml:space="preserve">Exley C, Clarkson E, 2020, Sci Rep</t>
  </si>
  <si>
    <t xml:space="preserve">medicion en tejido post mortem (AAS de horno de grafito)</t>
  </si>
  <si>
    <t xml:space="preserve">20 cerebros control, 191 muestras, comparados con Alzheimer esporadico y familiar, autismo, esclerosis multiple</t>
  </si>
  <si>
    <t xml:space="preserve">donantes</t>
  </si>
  <si>
    <t xml:space="preserve">Digestion acida por microondas</t>
  </si>
  <si>
    <t xml:space="preserve">Aluminio en ug/g peso seco</t>
  </si>
  <si>
    <t xml:space="preserve">Mas del 80% de tejidos control con menos de 1,0 ug/g; aluminio significativamente mayor en Alzheimer esporadico, familiar, autismo y esclerosis multiple.</t>
  </si>
  <si>
    <t xml:space="preserve">no consta en el texto abierto consultado</t>
  </si>
  <si>
    <t xml:space="preserve">PMID 32385326; DOI 10.1038/s41598-020-64734-6</t>
  </si>
  <si>
    <t xml:space="preserve">https://pubmed.ncbi.nlm.nih.gov/32385326/</t>
  </si>
  <si>
    <t xml:space="preserve">Aluminio (exposición general)</t>
  </si>
  <si>
    <t xml:space="preserve">Aluminio y amiloide-b en Alzheimer familiar</t>
  </si>
  <si>
    <t xml:space="preserve">Mold M, Linhart C, Gomez-Ramirez J et al., 2020, J Alzheimers Dis</t>
  </si>
  <si>
    <t xml:space="preserve">tejido post mortem, microscopia de fluorescencia</t>
  </si>
  <si>
    <t xml:space="preserve">cohorte colombiana de donantes con Alzheimer familiar vs controles</t>
  </si>
  <si>
    <t xml:space="preserve">Alzheimer familiar</t>
  </si>
  <si>
    <t xml:space="preserve">Aluminio y colocalizacion con amiloide-b</t>
  </si>
  <si>
    <t xml:space="preserve">Aluminio significativamente mayor en Alzheimer familiar que en controles; alto grado de colocalizacion con amiloide-b en placas.</t>
  </si>
  <si>
    <t xml:space="preserve">PMID 31958088; DOI 10.3233/jad-191140</t>
  </si>
  <si>
    <t xml:space="preserve">https://pubmed.ncbi.nlm.nih.gov/31958088/</t>
  </si>
  <si>
    <t xml:space="preserve">Aluminio (antitranspirantes/antiácidos)</t>
  </si>
  <si>
    <t xml:space="preserve">Antitranspirantes y antiacidos con aluminio</t>
  </si>
  <si>
    <t xml:space="preserve">Aluminio / antitranspirantes</t>
  </si>
  <si>
    <t xml:space="preserve">Graves AB, White E, Koepsell TD et al., 1990, J Clin Epidemiol</t>
  </si>
  <si>
    <t xml:space="preserve">caso-control</t>
  </si>
  <si>
    <t xml:space="preserve">130 pares</t>
  </si>
  <si>
    <t xml:space="preserve">Alzheimer y allegados controles, Seattle</t>
  </si>
  <si>
    <t xml:space="preserve">consumo a lo largo de la vida</t>
  </si>
  <si>
    <t xml:space="preserve">Antitranspirantes y antiacidos</t>
  </si>
  <si>
    <t xml:space="preserve">Odds de Alzheimer</t>
  </si>
  <si>
    <t xml:space="preserve">Antitranspirantes con aluminio: OR ajustado 1,6 (IC95% 1,04-2,4), tercil mas alto 3,2, p tendencia 0,03. Cualquier antitranspirante: OR 1,2 (0,6-2,4). Antiacidos en general OR 3,1 (1,2-7,9); solo con aluminio OR 0,7 (0,3-2,0). Los autores lo califican de provocador pero no concluyente.</t>
  </si>
  <si>
    <t xml:space="preserve">PMID 2319278; DOI 10.1016/0895-4356(90)90053-r</t>
  </si>
  <si>
    <t xml:space="preserve">https://pubmed.ncbi.nlm.nih.gov/2319278/</t>
  </si>
  <si>
    <t xml:space="preserve">Agua potable (composición)</t>
  </si>
  <si>
    <t xml:space="preserve">Composicion del agua potable y cognicion</t>
  </si>
  <si>
    <t xml:space="preserve">Aluminio / silice / fluoruro</t>
  </si>
  <si>
    <t xml:space="preserve">Wasick A, Kim Y, 2024, Int J Environ Res Public Health</t>
  </si>
  <si>
    <t xml:space="preserve">revision sistematica</t>
  </si>
  <si>
    <t xml:space="preserve">10 estudios</t>
  </si>
  <si>
    <t xml:space="preserve">Aluminio, silice, calcio y fluoruro vs cognicion</t>
  </si>
  <si>
    <t xml:space="preserve">Aluminio: mayor riesgo de deterioro en 4 estudios, sin asociacion en los demas. Silice y pH altos: protectores. Calcio: efecto protector en 2 estudios.</t>
  </si>
  <si>
    <t xml:space="preserve">PMID 38541362; DOI 10.3390/ijerph21030362</t>
  </si>
  <si>
    <t xml:space="preserve">https://pubmed.ncbi.nlm.nih.gov/38541362/</t>
  </si>
  <si>
    <t xml:space="preserve">Fluoruro en agua potable</t>
  </si>
  <si>
    <t xml:space="preserve">Fluoruro y aluminio en agua de bebida (rata)</t>
  </si>
  <si>
    <t xml:space="preserve">Fluor / aluminio</t>
  </si>
  <si>
    <t xml:space="preserve">Varner JA, Jensen KF, Horvath W, Isaacson RL, 1998, Brain Res</t>
  </si>
  <si>
    <t xml:space="preserve">rata Long-Evans, 3 grupos</t>
  </si>
  <si>
    <t xml:space="preserve">27 ratas</t>
  </si>
  <si>
    <t xml:space="preserve">ratas macho adultas</t>
  </si>
  <si>
    <t xml:space="preserve">Agua destilada, 0,5 ppm AlF3 o 2,1 ppm NaF</t>
  </si>
  <si>
    <t xml:space="preserve">Aluminio tisular, histologia, amiloide-b, integridad cerebrovascular</t>
  </si>
  <si>
    <t xml:space="preserve">Aluminio mayor en cerebro y rinon en ambos grupos tratados; alteraciones neuronales y cerebrovasculares mayores en AlF3 que en NaF, y NaF mayor que control; mas muertes en el grupo AlF3.</t>
  </si>
  <si>
    <t xml:space="preserve">mas muertes en grupo AlF3</t>
  </si>
  <si>
    <t xml:space="preserve">PMID 9518651; DOI 10.1016/s0006-8993(97)01336-x</t>
  </si>
  <si>
    <t xml:space="preserve">https://pubmed.ncbi.nlm.nih.gov/9518651/</t>
  </si>
  <si>
    <t xml:space="preserve">Fluoruro en el agua en la infancia y cognicion en la vida adulta</t>
  </si>
  <si>
    <t xml:space="preserve">Fluor</t>
  </si>
  <si>
    <t xml:space="preserve">Warren JR, Rumore G, Kim S et al., 2025, Science Advances</t>
  </si>
  <si>
    <t xml:space="preserve">cohorte nacional High School and Beyond (EE. UU.)</t>
  </si>
  <si>
    <t xml:space="preserve">adolescentes y adultos de ~60 anos</t>
  </si>
  <si>
    <t xml:space="preserve">hasta ~60 anos de edad</t>
  </si>
  <si>
    <t xml:space="preserve">Nivel recomendado de fluoruro en agua</t>
  </si>
  <si>
    <t xml:space="preserve">Test cognitivos en secundaria y a los ~60</t>
  </si>
  <si>
    <t xml:space="preserve">Ninos con fluoruro a nivel recomendado: cognicion algo mejor en secundaria, ventaja menor y no significativa a los ~60 anos.</t>
  </si>
  <si>
    <t xml:space="preserve">PMID 41259530; DOI 10.1126/sciadv.adz0757</t>
  </si>
  <si>
    <t xml:space="preserve">https://pubmed.ncbi.nlm.nih.gov/41259530/</t>
  </si>
  <si>
    <t xml:space="preserve">Amalgamas dentales y mercurio cerebral</t>
  </si>
  <si>
    <t xml:space="preserve">Mercurio / amalgamas</t>
  </si>
  <si>
    <t xml:space="preserve">Saxe SR, Wekstein MW, Kryscio RJ et al., 1999, J Am Dent Assoc (Nun Study)</t>
  </si>
  <si>
    <t xml:space="preserve">estudio con autopsias</t>
  </si>
  <si>
    <t xml:space="preserve">monjas con Alzheimer vs controles</t>
  </si>
  <si>
    <t xml:space="preserve">Numero y superficie de amalgamas</t>
  </si>
  <si>
    <t xml:space="preserve">Mercurio cerebral y Alzheimer</t>
  </si>
  <si>
    <t xml:space="preserve">Sin asociacion significativa de Alzheimer con numero, superficie o historia de amalgamas; sin diferencias de mercurio cerebral entre Alzheimer y controles.</t>
  </si>
  <si>
    <t xml:space="preserve">PMID 10036842; DOI 10.14219/jada.archive.1999.0168</t>
  </si>
  <si>
    <t xml:space="preserve">https://pubmed.ncbi.nlm.nih.gov/10036842/</t>
  </si>
  <si>
    <t xml:space="preserve">Mercurio (exposición)</t>
  </si>
  <si>
    <t xml:space="preserve">Mercurio inorganico y Alzheimer</t>
  </si>
  <si>
    <t xml:space="preserve">Mercurio / Mutter</t>
  </si>
  <si>
    <t xml:space="preserve">Mutter J, Curth A, Naumann J et al., 2010, J Alzheimers Dis</t>
  </si>
  <si>
    <t xml:space="preserve">106 estudios incluidos de 1.041 referencias</t>
  </si>
  <si>
    <t xml:space="preserve">humanos, animales, in vitro</t>
  </si>
  <si>
    <t xml:space="preserve">Memoria, mercurio tisular, modelos</t>
  </si>
  <si>
    <t xml:space="preserve">32 de 40 estudios sobre memoria con mercurio inorganico encontraron deficits; algunas autopsias con mas mercurio en cerebro con Alzheimer; mercurio en sangre, orina, pelo, unas y LCR inconsistente; in vitro reproduce cambios del Alzheimer.</t>
  </si>
  <si>
    <t xml:space="preserve">cita encontrada; cifra no comprobable en el resumen (40 aparece; 32 no)</t>
  </si>
  <si>
    <t xml:space="preserve">PMID 20847438; DOI 10.3233/jad-2010-100705</t>
  </si>
  <si>
    <t xml:space="preserve">https://pubmed.ncbi.nlm.nih.gov/20847438/</t>
  </si>
  <si>
    <t xml:space="preserve">Plomo (exposición)</t>
  </si>
  <si>
    <t xml:space="preserve">Plomo oseo y demencia</t>
  </si>
  <si>
    <t xml:space="preserve">Plomo</t>
  </si>
  <si>
    <t xml:space="preserve">Wang X, Bakulski KM, Walker E et al., 2026, Alzheimers Dement</t>
  </si>
  <si>
    <t xml:space="preserve">NHANES enlazado a Medicare</t>
  </si>
  <si>
    <t xml:space="preserve">adultos EE. UU.</t>
  </si>
  <si>
    <t xml:space="preserve">Plomo en patela estimado y plomo en sangre</t>
  </si>
  <si>
    <t xml:space="preserve">Alzheimer y demencia incidentes</t>
  </si>
  <si>
    <t xml:space="preserve">Plomo patelar cuartil 4 vs 1: Alzheimer HR 2,96 (1,37-6,39); demencia total HR 2,15 (1,33-3,46). Plomo en sangre sin asociacion. Reducir plomo al percentil 25 reduciria 18% los casos.</t>
  </si>
  <si>
    <t xml:space="preserve">PMID 41676992; DOI 10.1002/alz.71075</t>
  </si>
  <si>
    <t xml:space="preserve">https://pubmed.ncbi.nlm.nih.gov/41676992/</t>
  </si>
  <si>
    <t xml:space="preserve">Pesticidas (exposición)</t>
  </si>
  <si>
    <t xml:space="preserve">Exposicion ocupacional a pesticidas</t>
  </si>
  <si>
    <t xml:space="preserve">Pesticidas</t>
  </si>
  <si>
    <t xml:space="preserve">Hayden KM, Norton MC, Darcey D, Ostbye T, 2010, Neurology (Cache County)</t>
  </si>
  <si>
    <t xml:space="preserve">3.084 sin demencia al inicio</t>
  </si>
  <si>
    <t xml:space="preserve">mayores, Utah</t>
  </si>
  <si>
    <t xml:space="preserve">seguimiento longitudinal</t>
  </si>
  <si>
    <t xml:space="preserve">Los autores concluyen que la exposicion a pesticidas puede aumentar el riesgo de demencia y Alzheimer (cifras no incluidas en el texto visto).</t>
  </si>
  <si>
    <t xml:space="preserve">PMID 20458069; DOI 10.1212/wnl.0b013e3181dd4423</t>
  </si>
  <si>
    <t xml:space="preserve">https://pubmed.ncbi.nlm.nih.gov/20458069/</t>
  </si>
  <si>
    <t xml:space="preserve">Glifosato</t>
  </si>
  <si>
    <t xml:space="preserve">Pesticidas / glifosato</t>
  </si>
  <si>
    <t xml:space="preserve">Winstone JK, Pathak KV et al., 2022, J Neuroinflammation</t>
  </si>
  <si>
    <t xml:space="preserve">raton y neuronas corticales primarias APP/PS1</t>
  </si>
  <si>
    <t xml:space="preserve">raton y celulas</t>
  </si>
  <si>
    <t xml:space="preserve">Dosis crecientes de glifosato</t>
  </si>
  <si>
    <t xml:space="preserve">Glifosato en cerebro, TNFa, Abeta, transcriptoma</t>
  </si>
  <si>
    <t xml:space="preserve">Glifosato entra al cerebro de forma dosis-dependiente y sube TNFa en plasma y cerebro; en neuronas APP/PS1 sube Abeta40-42 soluble y la citotoxicidad; mas de 200 genes diferenciales.</t>
  </si>
  <si>
    <t xml:space="preserve">PMID 35897073; DOI 10.1186/s12974-022-02544-5</t>
  </si>
  <si>
    <t xml:space="preserve">https://pubmed.ncbi.nlm.nih.gov/35897073/</t>
  </si>
  <si>
    <t xml:space="preserve">Glifosato en C. elegans modelo de Alzheimer</t>
  </si>
  <si>
    <t xml:space="preserve">Rani N, Alam MM, Parvez S, 2025, Front Toxicol</t>
  </si>
  <si>
    <t xml:space="preserve">gusano CL4176</t>
  </si>
  <si>
    <t xml:space="preserve">C. elegans</t>
  </si>
  <si>
    <t xml:space="preserve">Concentraciones crecientes</t>
  </si>
  <si>
    <t xml:space="preserve">Locomocion, alimentacion, catalasa, Abeta1-42</t>
  </si>
  <si>
    <t xml:space="preserve">Descenso dependiente de concentracion de locomocion y alimentacion, catalasa reducida, aumento de Abeta1-42.</t>
  </si>
  <si>
    <t xml:space="preserve">PMID 40667448; DOI 10.3389/ftox.2025.1578230</t>
  </si>
  <si>
    <t xml:space="preserve">https://pubmed.ncbi.nlm.nih.gov/40667448/</t>
  </si>
  <si>
    <t xml:space="preserve">DDT/DDE (exposición)</t>
  </si>
  <si>
    <t xml:space="preserve">DDE prenatal (metabolito del DDT)</t>
  </si>
  <si>
    <t xml:space="preserve">Mhatre-Winters I, Cirillo PM et al., 2026, preprint medRxiv</t>
  </si>
  <si>
    <t xml:space="preserve">cohorte de nacimiento a 50 anos</t>
  </si>
  <si>
    <t xml:space="preserve">179</t>
  </si>
  <si>
    <t xml:space="preserve">adultos de mediana edad</t>
  </si>
  <si>
    <t xml:space="preserve">50 anos</t>
  </si>
  <si>
    <t xml:space="preserve">DDE materno prenatal</t>
  </si>
  <si>
    <t xml:space="preserve">DSST y Abeta42/40 plasmatico</t>
  </si>
  <si>
    <t xml:space="preserve">Por ng/mL de DDE: DSST beta -0,021 (-0,041 a -0,001; P=0,039); Abeta42/40 beta -0,079 (-0,133 a -0,024; P=0,005). Sin asociacion con pTau217, GFAP, NfL.</t>
  </si>
  <si>
    <t xml:space="preserve">no consta (preprint)</t>
  </si>
  <si>
    <t xml:space="preserve">DOI 10.64898/2026.05.13.26352896</t>
  </si>
  <si>
    <t xml:space="preserve">https://doi.org/10.64898/2026.05.13.26352896</t>
  </si>
  <si>
    <t xml:space="preserve">Contaminación del aire</t>
  </si>
  <si>
    <t xml:space="preserve">Contaminacion del aire y Alzheimer</t>
  </si>
  <si>
    <t xml:space="preserve">Contaminacion</t>
  </si>
  <si>
    <t xml:space="preserve">Baiamonte L, Tarantino D et al., 2026, J Clin Med</t>
  </si>
  <si>
    <t xml:space="preserve">revision sistematica con metaanalisis</t>
  </si>
  <si>
    <t xml:space="preserve">27 estudios</t>
  </si>
  <si>
    <t xml:space="preserve">adultos</t>
  </si>
  <si>
    <t xml:space="preserve">Riesgo de Alzheimer por contaminante</t>
  </si>
  <si>
    <t xml:space="preserve">PM2,5: HR 1,74 (1,36-2,23). PM10: HR 1,35 (0,86-2,11). Otros contaminantes sin relevancia en sus datos.</t>
  </si>
  <si>
    <t xml:space="preserve">No descrito.</t>
  </si>
  <si>
    <t xml:space="preserve">DOI 10.3390/jcm15114163</t>
  </si>
  <si>
    <t xml:space="preserve">https://pubmed.ncbi.nlm.nih.gov/42279024/</t>
  </si>
  <si>
    <t xml:space="preserve">Purificador HEPA</t>
  </si>
  <si>
    <t xml:space="preserve">Purificador HEPA domestico</t>
  </si>
  <si>
    <t xml:space="preserve">Contaminacion / filtros</t>
  </si>
  <si>
    <t xml:space="preserve">Pellegrino N, Eliasziw M et al., 2026, Sci Rep (HAFTRAP)</t>
  </si>
  <si>
    <t xml:space="preserve">cruzado pragmatico, HEPA vs simulado 1 mes cada uno</t>
  </si>
  <si>
    <t xml:space="preserve">119</t>
  </si>
  <si>
    <t xml:space="preserve">adultos (analisis por edad)</t>
  </si>
  <si>
    <t xml:space="preserve">1 mes por periodo</t>
  </si>
  <si>
    <t xml:space="preserve">Purificador HEPA vs unidad simulada</t>
  </si>
  <si>
    <t xml:space="preserve">Trail Making Test A y B</t>
  </si>
  <si>
    <t xml:space="preserve">Sin diferencia global. En &gt;=40 anos con HEPA, parte B 12% mas rapida (54,0 vs 61,4 s; razon de medias 0,88; p=0,02); sin cambio en &lt;40.</t>
  </si>
  <si>
    <t xml:space="preserve">Purificador HEPA en el dormitorio y salon durante un mes, comparando tiempos en un test de trazado.</t>
  </si>
  <si>
    <t xml:space="preserve">DOI 10.1038/s41598-026-48063-8</t>
  </si>
  <si>
    <t xml:space="preserve">https://pubmed.ncbi.nlm.nih.gov/41991562/</t>
  </si>
  <si>
    <t xml:space="preserve">Anticolinérgicos</t>
  </si>
  <si>
    <t xml:space="preserve">Anticolinergicos</t>
  </si>
  <si>
    <t xml:space="preserve">Farmacos que empeoran memoria</t>
  </si>
  <si>
    <t xml:space="preserve">Coupland CAC, Hill T, Dening T et al., 2019, JAMA Intern Med</t>
  </si>
  <si>
    <t xml:space="preserve">caso-control anidado, bases primarias del Reino Unido</t>
  </si>
  <si>
    <t xml:space="preserve">284.343 casos y controles emparejados</t>
  </si>
  <si>
    <t xml:space="preserve">mayores, edad media 82,2</t>
  </si>
  <si>
    <t xml:space="preserve">exposicion 1-11 anos antes</t>
  </si>
  <si>
    <t xml:space="preserve">TSDD acumulados</t>
  </si>
  <si>
    <t xml:space="preserve">OR ajustado 1,06 (1,03-1,09) en 1-90 TSDD hasta 1,49 (1,44-1,54) en &gt;1095 TSDD. Antidepresivos anticolinergicos 1,29; antiparkinsonianos 1,52; antipsicoticos 1,70; antimuscarinicos vesicales 1,65; antiepilepticos 1,39. Fraccion atribuible poblacional 10,3%.</t>
  </si>
  <si>
    <t xml:space="preserve">PMID 31233095; DOI 10.1001/jamainternmed.2019.0677</t>
  </si>
  <si>
    <t xml:space="preserve">https://pubmed.ncbi.nlm.nih.gov/31233095/</t>
  </si>
  <si>
    <t xml:space="preserve">Benzodiacepinas</t>
  </si>
  <si>
    <t xml:space="preserve">Billioti de Gage S, Moride Y, Ducruet T et al., 2014, BMJ</t>
  </si>
  <si>
    <t xml:space="preserve">mayores, Quebec</t>
  </si>
  <si>
    <t xml:space="preserve">Uso alguna vez de benzodiacepinas</t>
  </si>
  <si>
    <t xml:space="preserve">OR ajustado 1,51 (1,36-1,69); tras ajustar por ansiedad, depresion e insomnio 1,43 (1,28-1,60). Corta accion 1,43 (1,27-1,61); larga accion 1,70 (1,46-1,98). Los autores admiten que el uso podria ser marcador temprano.</t>
  </si>
  <si>
    <t xml:space="preserve">PMID 25208536; DOI 10.1136/bmj.g5205</t>
  </si>
  <si>
    <t xml:space="preserve">https://pubmed.ncbi.nlm.nih.gov/25208536/</t>
  </si>
  <si>
    <t xml:space="preserve">Hipnóticos sedantes</t>
  </si>
  <si>
    <t xml:space="preserve">Hipnoticos sedantes y Alzheimer</t>
  </si>
  <si>
    <t xml:space="preserve">da Silva AMP, Tudella GCN et al., 2026, Drugs</t>
  </si>
  <si>
    <t xml:space="preserve">metaanalisis y metarregresion</t>
  </si>
  <si>
    <t xml:space="preserve">13 estudios, 721.354 sujetos</t>
  </si>
  <si>
    <t xml:space="preserve">Global OR 1,29 (1,10-1,53; I2 86,5%); restringido a HR 1,17 (0,87-1,58) no significativo. BZD OR 1,21; farmacos Z OR 1,14; acciones amplias OR 1,01 (0,98-1,05).</t>
  </si>
  <si>
    <t xml:space="preserve">DOI 10.1007/s40265-026-02335-9</t>
  </si>
  <si>
    <t xml:space="preserve">https://pubmed.ncbi.nlm.nih.gov/42334823/</t>
  </si>
  <si>
    <t xml:space="preserve">Inhibidores de la bomba de protones</t>
  </si>
  <si>
    <t xml:space="preserve">Gomm W, von Holt K et al., 2016, JAMA Neurol</t>
  </si>
  <si>
    <t xml:space="preserve">datos de reclamaciones de aseguradora alemana</t>
  </si>
  <si>
    <t xml:space="preserve">73.679 (2.950 con IBP regular)</t>
  </si>
  <si>
    <t xml:space="preserve">mayores de 75 anos</t>
  </si>
  <si>
    <t xml:space="preserve">IBP regular</t>
  </si>
  <si>
    <t xml:space="preserve">Demencia incidente</t>
  </si>
  <si>
    <t xml:space="preserve">HR 1,44 (1,36-1,52).</t>
  </si>
  <si>
    <t xml:space="preserve">PMID 26882076; DOI 10.1001/jamaneurol.2015.4791</t>
  </si>
  <si>
    <t xml:space="preserve">https://pubmed.ncbi.nlm.nih.gov/26882076/</t>
  </si>
  <si>
    <t xml:space="preserve">Estatinas</t>
  </si>
  <si>
    <t xml:space="preserve">Estatinas y amnesia (farmacovigilancia)</t>
  </si>
  <si>
    <t xml:space="preserve">Wang L, Yang N, Ren Z, 2026, Front Pharmacol</t>
  </si>
  <si>
    <t xml:space="preserve">analisis de desproporcionalidad en base de eventos adversos</t>
  </si>
  <si>
    <t xml:space="preserve">56.401 informes, 1.108 de amnesia</t>
  </si>
  <si>
    <t xml:space="preserve">usuarios de estatinas</t>
  </si>
  <si>
    <t xml:space="preserve">Senal de amnesia</t>
  </si>
  <si>
    <t xml:space="preserve">Atorvastatina n=326, ROR 2,82 (2,53-3,15); senales positivas para ciertas estatinas.</t>
  </si>
  <si>
    <t xml:space="preserve">DOI 10.3389/fphar.2026.1858243</t>
  </si>
  <si>
    <t xml:space="preserve">https://pubmed.ncbi.nlm.nih.gov/42643439/</t>
  </si>
  <si>
    <t xml:space="preserve">CPAP</t>
  </si>
  <si>
    <t xml:space="preserve">CPAP sostenido en Alzheimer con apnea</t>
  </si>
  <si>
    <t xml:space="preserve">Apnea del sueno / oxigeno</t>
  </si>
  <si>
    <t xml:space="preserve">Cooke JR, Ayalon L, Palmer BW, Loredo JS, 2009, J Clin Sleep Med</t>
  </si>
  <si>
    <t xml:space="preserve">estudio preliminar de seguimiento de ensayo</t>
  </si>
  <si>
    <t xml:space="preserve">muestra pequena (no consta cifra)</t>
  </si>
  <si>
    <t xml:space="preserve">Alzheimer leve-moderado con apnea</t>
  </si>
  <si>
    <t xml:space="preserve">seguimiento tras ensayo de 3 semanas</t>
  </si>
  <si>
    <t xml:space="preserve">CPAP sostenido vs no</t>
  </si>
  <si>
    <t xml:space="preserve">Cognicion, sueno, animo, somnolencia</t>
  </si>
  <si>
    <t xml:space="preserve">Grupo CPAP+: menos deterioro cognitivo, estabilizacion de depresion y somnolencia, mejor sueno subjetivo; cuidadores refirieron mejor sueno y menos conducta psicopatologica.</t>
  </si>
  <si>
    <t xml:space="preserve">PMID 19968005; DOI 10.5664/jcsm.27538</t>
  </si>
  <si>
    <t xml:space="preserve">https://pubmed.ncbi.nlm.nih.gov/19968005/</t>
  </si>
  <si>
    <t xml:space="preserve">Apnea no tratada y declive cognitivo</t>
  </si>
  <si>
    <t xml:space="preserve">Apnea del sueno</t>
  </si>
  <si>
    <t xml:space="preserve">Kaufmann CN et al., 2026, Alzheimers Dement</t>
  </si>
  <si>
    <t xml:space="preserve">cohorte 10 anos</t>
  </si>
  <si>
    <t xml:space="preserve">mayores con apnea</t>
  </si>
  <si>
    <t xml:space="preserve">10 anos</t>
  </si>
  <si>
    <t xml:space="preserve">CPAP vs sin tratamiento</t>
  </si>
  <si>
    <t xml:space="preserve">Cognicion</t>
  </si>
  <si>
    <t xml:space="preserve">CPAP: -0,03 DE/ano (-0,04 a -0,02); sin tratar 69% mas rapido (interaccion -0,02; -0,04 a -0,001).</t>
  </si>
  <si>
    <t xml:space="preserve">DOI 10.1002/alz.71533</t>
  </si>
  <si>
    <t xml:space="preserve">https://pubmed.ncbi.nlm.nih.gov/42445979/</t>
  </si>
  <si>
    <t xml:space="preserve">Ensayo CPAP en demencia (registro sin resultados)</t>
  </si>
  <si>
    <t xml:space="preserve">NCT00477828, Univ. California San Diego</t>
  </si>
  <si>
    <t xml:space="preserve">aleatorizado cruzado</t>
  </si>
  <si>
    <t xml:space="preserve">61 reales</t>
  </si>
  <si>
    <t xml:space="preserve">3 semanas; 2000-2006</t>
  </si>
  <si>
    <t xml:space="preserve">Cognicion, somnolencia, calidad de sueno</t>
  </si>
  <si>
    <t xml:space="preserve">Registro sin resultados publicados en ClinicalTrials.gov (hasResults falso).</t>
  </si>
  <si>
    <t xml:space="preserve">Patrocinador: UCSD</t>
  </si>
  <si>
    <t xml:space="preserve">cita encontrada; cifra coincide (NCT00477828, n=61, sin resultados)</t>
  </si>
  <si>
    <t xml:space="preserve">NCT00477828</t>
  </si>
  <si>
    <t xml:space="preserve">https://clinicaltrials.gov/study/NCT00477828</t>
  </si>
  <si>
    <t xml:space="preserve">Oxígeno suplementario nocturno</t>
  </si>
  <si>
    <t xml:space="preserve">Oxigeno suplementario o CPAP nocturno y tau-PET</t>
  </si>
  <si>
    <t xml:space="preserve">Apnea del sueno / oxigeno nocturno</t>
  </si>
  <si>
    <t xml:space="preserve">NCT05094271, Univ. California San Diego</t>
  </si>
  <si>
    <t xml:space="preserve">182</t>
  </si>
  <si>
    <t xml:space="preserve">65-85 anos, MoCA&gt;26, con o sin apnea</t>
  </si>
  <si>
    <t xml:space="preserve">2021-2025</t>
  </si>
  <si>
    <t xml:space="preserve">Oxigeno 2 L/min, CPAP o aire</t>
  </si>
  <si>
    <t xml:space="preserve">AHI, ganancia de bucle, tau-PET Braak</t>
  </si>
  <si>
    <t xml:space="preserve">Con resultados: AHI medio 34,9 con oxigeno vs 39,6 con aire; ganancia de bucle 0,52 vs 0,60.</t>
  </si>
  <si>
    <t xml:space="preserve">cita encontrada; cifra coincide (NCT05094271, AHI y n en resultados)</t>
  </si>
  <si>
    <t xml:space="preserve">NCT05094271</t>
  </si>
  <si>
    <t xml:space="preserve">https://clinicaltrials.gov/study/NCT05094271</t>
  </si>
  <si>
    <t xml:space="preserve">Apnea del sueño (observación)</t>
  </si>
  <si>
    <t xml:space="preserve">Hipoxia y fragmentacion del sueno en Alzheimer (sin resultados)</t>
  </si>
  <si>
    <t xml:space="preserve">NCT02814045, SEPAR</t>
  </si>
  <si>
    <t xml:space="preserve">144</t>
  </si>
  <si>
    <t xml:space="preserve">Alzheimer leve MMSE&gt;20</t>
  </si>
  <si>
    <t xml:space="preserve">12 meses; 2015-2017</t>
  </si>
  <si>
    <t xml:space="preserve">Observacion de apnea</t>
  </si>
  <si>
    <t xml:space="preserve">ADAS-cog a 12 meses</t>
  </si>
  <si>
    <t xml:space="preserve">Sociedad Espanola de Neumologia y Cirugia Toracica</t>
  </si>
  <si>
    <t xml:space="preserve">NCT02814045</t>
  </si>
  <si>
    <t xml:space="preserve">https://clinicaltrials.gov/study/NCT02814045</t>
  </si>
  <si>
    <t xml:space="preserve">CPAP y aclaramiento de amiloide en LCR (sin resultados)</t>
  </si>
  <si>
    <t xml:space="preserve">Glinfatico / sueno</t>
  </si>
  <si>
    <t xml:space="preserve">NCT02474251, NYU Langone</t>
  </si>
  <si>
    <t xml:space="preserve">no aleatorizado</t>
  </si>
  <si>
    <t xml:space="preserve">38</t>
  </si>
  <si>
    <t xml:space="preserve">normales 55-75 y con apnea</t>
  </si>
  <si>
    <t xml:space="preserve">2015-2019</t>
  </si>
  <si>
    <t xml:space="preserve">CPAP y retirada de CPAP en sueno de ondas lentas</t>
  </si>
  <si>
    <t xml:space="preserve">Abeta42/40 en LCR</t>
  </si>
  <si>
    <t xml:space="preserve">Completado en 2019; sin resultados publicados.</t>
  </si>
  <si>
    <t xml:space="preserve">NYU Langone Health</t>
  </si>
  <si>
    <t xml:space="preserve">NCT02474251</t>
  </si>
  <si>
    <t xml:space="preserve">https://clinicaltrials.gov/study/NCT02474251</t>
  </si>
  <si>
    <t xml:space="preserve">Luz brillante diurna</t>
  </si>
  <si>
    <t xml:space="preserve">Luz brillante diurna y melatonina</t>
  </si>
  <si>
    <t xml:space="preserve">Luz / ritmo circadiano</t>
  </si>
  <si>
    <t xml:space="preserve">Riemersma-van der Lek RF, Swaab DF, Twisk J et al., 2008, JAMA</t>
  </si>
  <si>
    <t xml:space="preserve">doble ciego</t>
  </si>
  <si>
    <t xml:space="preserve">demencia, residencias</t>
  </si>
  <si>
    <t xml:space="preserve">hasta 3,5 anos</t>
  </si>
  <si>
    <t xml:space="preserve">Luz brillante, melatonina nocturna, ambas o placebo</t>
  </si>
  <si>
    <t xml:space="preserve">MMSE, Cornell, ADL, sueno</t>
  </si>
  <si>
    <t xml:space="preserve">Luz: -0,9 puntos de deterioro MMSE (0,04-1,71); depresion -1,5; ADL 1,8 por ano. Melatonina: latencia 8,2 min menor, 27 min mas de sueno, pero peor afecto y mas retraimiento.</t>
  </si>
  <si>
    <t xml:space="preserve">peor afecto con melatonina sola</t>
  </si>
  <si>
    <t xml:space="preserve">PMID 18544724; DOI 10.1001/jama.299.22.2642</t>
  </si>
  <si>
    <t xml:space="preserve">https://pubmed.ncbi.nlm.nih.gov/18544724/</t>
  </si>
  <si>
    <t xml:space="preserve">Sueño irregular (exposición)</t>
  </si>
  <si>
    <t xml:space="preserve">Sueno interrumpido cronico y amiloide</t>
  </si>
  <si>
    <t xml:space="preserve">Sueno</t>
  </si>
  <si>
    <t xml:space="preserve">Thomas J, Ooms SJ et al., 2020, Alzheimers Res Ther</t>
  </si>
  <si>
    <t xml:space="preserve">20 practicos maritimos y 20 controles</t>
  </si>
  <si>
    <t xml:space="preserve">adultos sanos</t>
  </si>
  <si>
    <t xml:space="preserve">15 anos</t>
  </si>
  <si>
    <t xml:space="preserve">Sueno irregular laboral</t>
  </si>
  <si>
    <t xml:space="preserve">Amiloide-b PET y cognicion</t>
  </si>
  <si>
    <t xml:space="preserve">Calidad de sueno peor (PSQI 8,8 vs 3,2). Sin diferencias cognitivas; flutemetamol 1,009 en rango normal.</t>
  </si>
  <si>
    <t xml:space="preserve">PMID 32847615; DOI 10.1186/s13195-020-00668-5</t>
  </si>
  <si>
    <t xml:space="preserve">https://pubmed.ncbi.nlm.nih.gov/32847615/</t>
  </si>
  <si>
    <t xml:space="preserve">Anestesia intravenosa (TIVA)</t>
  </si>
  <si>
    <t xml:space="preserve">Anestesia intravenosa vs inhalatoria en Alzheimer</t>
  </si>
  <si>
    <t xml:space="preserve">Anestesia</t>
  </si>
  <si>
    <t xml:space="preserve">Dong K, Lang J et al., 2026, Am J Transl Res</t>
  </si>
  <si>
    <t xml:space="preserve">tres metodos anestesicos</t>
  </si>
  <si>
    <t xml:space="preserve">123</t>
  </si>
  <si>
    <t xml:space="preserve">Alzheimer en cirugia</t>
  </si>
  <si>
    <t xml:space="preserve">180 dias</t>
  </si>
  <si>
    <t xml:space="preserve">TIVA vs inhalatoria</t>
  </si>
  <si>
    <t xml:space="preserve">MMSE, MoCA, CDR</t>
  </si>
  <si>
    <t xml:space="preserve">TIVA mejor MMSE en P7; no sostenido a P180; sin cambios en MoCA ni CDR.</t>
  </si>
  <si>
    <t xml:space="preserve">DOI 10.62347/pznz6295</t>
  </si>
  <si>
    <t xml:space="preserve">https://pubmed.ncbi.nlm.nih.gov/42769492/</t>
  </si>
  <si>
    <t xml:space="preserve">Anestesia general</t>
  </si>
  <si>
    <t xml:space="preserve">Anestesia y riesgo de demencia</t>
  </si>
  <si>
    <t xml:space="preserve">Alsalhi AA et al., 2026, Saudi J Anaesth</t>
  </si>
  <si>
    <t xml:space="preserve">metaanalisis de observacionales</t>
  </si>
  <si>
    <t xml:space="preserve">mayores de 60</t>
  </si>
  <si>
    <t xml:space="preserve">Sin asociacion estadisticamente significativa entre anestesia general y Alzheimer; heterogeneidad alta y sesgo de publicacion.</t>
  </si>
  <si>
    <t xml:space="preserve">DOI 10.4103/sja.sja_565_25</t>
  </si>
  <si>
    <t xml:space="preserve">https://pubmed.ncbi.nlm.nih.gov/41710622/</t>
  </si>
  <si>
    <t xml:space="preserve">Vacuna herpes zóster</t>
  </si>
  <si>
    <t xml:space="preserve">Vacuna del herpes zoster y demencia</t>
  </si>
  <si>
    <t xml:space="preserve">Vacunas</t>
  </si>
  <si>
    <t xml:space="preserve">Zhang Q, Hu Q et al., 2026, Vaccines</t>
  </si>
  <si>
    <t xml:space="preserve">metaanalisis</t>
  </si>
  <si>
    <t xml:space="preserve">13 estudios</t>
  </si>
  <si>
    <t xml:space="preserve">Vacuna zoster</t>
  </si>
  <si>
    <t xml:space="preserve">Ratio 0,72 (0,65-0,81; I2 97,1%); Shingrix vs Zostavax 0,83 (0,80-0,87).</t>
  </si>
  <si>
    <t xml:space="preserve">DOI 10.3390/vaccines14080685</t>
  </si>
  <si>
    <t xml:space="preserve">https://pubmed.ncbi.nlm.nih.gov/42646702/</t>
  </si>
  <si>
    <t xml:space="preserve">Campos electromagnéticos transcraneales</t>
  </si>
  <si>
    <t xml:space="preserve">Campos electromagneticos transcraneales (TEMT)</t>
  </si>
  <si>
    <t xml:space="preserve">Campos electromagneticos</t>
  </si>
  <si>
    <t xml:space="preserve">Arendash G, Cao C et al., 2019, J Alzheimers Dis</t>
  </si>
  <si>
    <t xml:space="preserve">abierto de brazo unico</t>
  </si>
  <si>
    <t xml:space="preserve">915 MHz, SAR 1,6 W/kg, dos sesiones de 1 h al dia</t>
  </si>
  <si>
    <t xml:space="preserve">ADAS-cog, AVLT, LCR</t>
  </si>
  <si>
    <t xml:space="preserve">ADAS-cog con 8: ES 0,71, p=0,09; sin el no respondedor, -4,1 puntos (p&lt;0,02). AVLT: ES 1,55, p&lt;0,005. Sin eventos adversos.</t>
  </si>
  <si>
    <t xml:space="preserve">sin eventos adversos</t>
  </si>
  <si>
    <t xml:space="preserve">NeuroEM Therapeutics financio; la Universidad de South Florida tiene interes financiero</t>
  </si>
  <si>
    <t xml:space="preserve">Foro: agua rica en silice y APOE4</t>
  </si>
  <si>
    <t xml:space="preserve">Foros</t>
  </si>
  <si>
    <t xml:space="preserve">Hilo apoe4.info</t>
  </si>
  <si>
    <t xml:space="preserve">hilo</t>
  </si>
  <si>
    <t xml:space="preserve">foro APOE4</t>
  </si>
  <si>
    <t xml:space="preserve">Opiniones</t>
  </si>
  <si>
    <t xml:space="preserve">Afirma que agua rica en acido ortosilicico baja el riesgo de Alzheimer en portadores de APOE4.</t>
  </si>
  <si>
    <t xml:space="preserve">página no accesible (HTTP 403 en WebFetch)</t>
  </si>
  <si>
    <t xml:space="preserve">https://www.apoe4.info/forums/viewtopic.php?p=62980</t>
  </si>
  <si>
    <t xml:space="preserve">nutricion_alimentos</t>
  </si>
  <si>
    <t xml:space="preserve">Dieta MIND</t>
  </si>
  <si>
    <t xml:space="preserve">Dieta híbrida mediterránea-DASH con bayas y verdura de hoja (Rush)</t>
  </si>
  <si>
    <t xml:space="preserve">Barnes LL et al., 2023, N Engl J Med</t>
  </si>
  <si>
    <t xml:space="preserve">Ensayo aleatorizado controlado, 2 centros, MIND con restricción calórica leve vs dieta control con restricción calórica leve</t>
  </si>
  <si>
    <t xml:space="preserve">604 (301 MIND, 303 control)</t>
  </si>
  <si>
    <t xml:space="preserve">Sin deterioro cognitivo, historia familiar de demencia, IMC&gt;25, dieta subóptima</t>
  </si>
  <si>
    <t xml:space="preserve">MIND + consejo de adherencia y apoyo para perder peso; control igual con otra dieta</t>
  </si>
  <si>
    <t xml:space="preserve">Cambio en cognición global (batería de 12 tests, puntuación z) y 4 dominios; RM cerebral como secundario</t>
  </si>
  <si>
    <t xml:space="preserve">Mejora de cognición global en ambos grupos: +0.205 (MIND) y +0.170 (control); diferencia 0.035 (IC95% -0.022 a 0.092; P=0.23). Cambios en hiperintensidades de sustancia blanca, hipocampo y volúmenes grises/blancos similares.</t>
  </si>
  <si>
    <t xml:space="preserve">no consta en la fuente leída</t>
  </si>
  <si>
    <t xml:space="preserve">Financiado por el National Institute on Aging (R01AG052583). Conflictos: no consta en lo leído.</t>
  </si>
  <si>
    <t xml:space="preserve">cita encontrada; cifra coincide (PMID 37466280 encontrado en Europe PMC (título y año 2023 coinciden con la fila); DOI 10.1056/nejmoa2302368 coincide; NCT02817074 existe en ClinicalTrials.gov v2 (n=604, COMPLETED))</t>
  </si>
  <si>
    <t xml:space="preserve">PMID 37466280; DOI 10.1056/nejmoa2302368; NCT02817074</t>
  </si>
  <si>
    <t xml:space="preserve">https://pubmed.ncbi.nlm.nih.gov/37466280/</t>
  </si>
  <si>
    <t xml:space="preserve">Dieta MIND, Mediterránea y DASH (observacional)</t>
  </si>
  <si>
    <t xml:space="preserve">Origen de la dieta MIND (Rush Memory and Aging Project)</t>
  </si>
  <si>
    <t xml:space="preserve">Morris MC et al., 2015, Alzheimer's &amp; Dementia</t>
  </si>
  <si>
    <t xml:space="preserve">Cohorte prospectiva, cuestionario de frecuencia alimentaria</t>
  </si>
  <si>
    <t xml:space="preserve">923</t>
  </si>
  <si>
    <t xml:space="preserve">Adultos 58-98 años</t>
  </si>
  <si>
    <t xml:space="preserve">Media 4.5 años</t>
  </si>
  <si>
    <t xml:space="preserve">Puntuación de adherencia por terciles</t>
  </si>
  <si>
    <t xml:space="preserve">Incidencia de enfermedad de Alzheimer</t>
  </si>
  <si>
    <t xml:space="preserve">MIND: 2º tercil HR 0.65 (IC95% 0.44-0.98); 3er tercil HR 0.47 (0.26-0.76). Mediterránea 3er tercil HR 0.46 (0.26-0.79); DASH 3er tercil HR 0.61 (0.38-0.97).</t>
  </si>
  <si>
    <t xml:space="preserve">Becas NIA (R01AG17917, R01AG031553). Conflictos: no consta en lo leído.</t>
  </si>
  <si>
    <t xml:space="preserve">cita encontrada; cifra coincide (PMID 25681666 encontrado en Europe PMC (título y año 2015 coinciden con la fila); DOI 10.1016/j.jalz.2014.11.009 coincide)</t>
  </si>
  <si>
    <t xml:space="preserve">PMID 25681666; DOI 10.1016/j.jalz.2014.11.009</t>
  </si>
  <si>
    <t xml:space="preserve">https://pubmed.ncbi.nlm.nih.gov/25681666/</t>
  </si>
  <si>
    <t xml:space="preserve">Dieta MIND, análisis post hoc por adherencia validada con biomarcadores</t>
  </si>
  <si>
    <t xml:space="preserve">Reanálisis del ensayo MIND que ignora la asignación y mira la adherencia</t>
  </si>
  <si>
    <t xml:space="preserve">Dhana K et al., 2026, Am J Clin Nutr</t>
  </si>
  <si>
    <t xml:space="preserve">Análisis post hoc del ensayo MIND</t>
  </si>
  <si>
    <t xml:space="preserve">590 analizados</t>
  </si>
  <si>
    <t xml:space="preserve">Mayores 65-84 años sin deterioro</t>
  </si>
  <si>
    <t xml:space="preserve">Mejora en puntuación MIND (0-14), validada con luteína-zeaxantina y beta-caroteno plasmáticos</t>
  </si>
  <si>
    <t xml:space="preserve">Cambio anual de cognición global</t>
  </si>
  <si>
    <t xml:space="preserve">Mejora sustancial (aumento medio absoluto de 4 puntos, 42.3%): β=0.035 anual (IC95% 0.006-0.064) en cognición global frente a sin mejora; mejora modesta (38.0%) sin asociación significativa. Sin interacción con el brazo asignado (P&gt;0.167).</t>
  </si>
  <si>
    <t xml:space="preserve">Financiado por NIA. Conflictos: no consta en lo leído.</t>
  </si>
  <si>
    <t xml:space="preserve">cita encontrada; cifra coincide (PMID 42457038 encontrado en Europe PMC (título y año 2026 coinciden con la fila); DOI 10.1016/j.ajcnut.2026.101433 coincide; NCT02817074 existe en ClinicalTrials.gov v2 (n=604, COMPLETED))</t>
  </si>
  <si>
    <t xml:space="preserve">PMID 42457038; DOI 10.1016/j.ajcnut.2026.101433; NCT02817074</t>
  </si>
  <si>
    <t xml:space="preserve">https://pubmed.ncbi.nlm.nih.gov/42457038/</t>
  </si>
  <si>
    <t xml:space="preserve">Arándano silvestre (zumo)</t>
  </si>
  <si>
    <t xml:space="preserve">Zumo de arándano silvestre</t>
  </si>
  <si>
    <t xml:space="preserve">Antocianinas y memoria (grupo Krikorian, Cincinnati)</t>
  </si>
  <si>
    <t xml:space="preserve">Krikorian R et al., 2010, J Agric Food Chem</t>
  </si>
  <si>
    <t xml:space="preserve">Pequeño estudio piloto con comparación con un ensayo compañero con placebo</t>
  </si>
  <si>
    <t xml:space="preserve">9 (más muestra comparada con placebo)</t>
  </si>
  <si>
    <t xml:space="preserve">Mayores con cambios tempranos de memoria</t>
  </si>
  <si>
    <t xml:space="preserve">Zumo de arándano silvestre diario (cantidad no consta en el resumen)</t>
  </si>
  <si>
    <t xml:space="preserve">Aprendizaje de pares asociados, recuerdo de lista de palabras, depresión, glucosa</t>
  </si>
  <si>
    <t xml:space="preserve">Pares asociados p=0.009; recuerdo de lista p=0.04; tendencia a menos síntomas depresivos (p=0.08) y menor glucosa (p=0.10). Resultados comparables al grupo placebo de bayas en pares asociados según el texto.</t>
  </si>
  <si>
    <t xml:space="preserve">Beca NIA R21AG024484. Conflictos: no consta.</t>
  </si>
  <si>
    <t xml:space="preserve">Zumo de arándano silvestre diario 12 semanas (dosis exacta no consta en el resumen)</t>
  </si>
  <si>
    <t xml:space="preserve">cita encontrada; cifra coincide (PMID 20047325 encontrado en Europe PMC (título y año 2010 coinciden con la fila); DOI 10.1021/jf9029332 coincide)</t>
  </si>
  <si>
    <t xml:space="preserve">PMID 20047325; DOI 10.1021/jf9029332</t>
  </si>
  <si>
    <t xml:space="preserve">https://pubmed.ncbi.nlm.nih.gov/20047325/</t>
  </si>
  <si>
    <t xml:space="preserve">Arándano silvestre (liofilizado)</t>
  </si>
  <si>
    <t xml:space="preserve">Arándano silvestre liofilizado 35 g/día</t>
  </si>
  <si>
    <t xml:space="preserve">Ensayo registrado en UNC (Chapel Hill)</t>
  </si>
  <si>
    <t xml:space="preserve">Cheatham CL et al., 2023, Nutritional Neuroscience</t>
  </si>
  <si>
    <t xml:space="preserve">Doble ciego, placebo, aleatorizado, con grupo de referencia sano</t>
  </si>
  <si>
    <t xml:space="preserve">131 (44 arándano, 42 placebo, 45 referencia)</t>
  </si>
  <si>
    <t xml:space="preserve">Quejas cognitivas por MoCA; 65-79 años</t>
  </si>
  <si>
    <t xml:space="preserve">Polvo liofilizado de arándano silvestre (35 g/día según el registro) vs polvo placebo de dextrosa</t>
  </si>
  <si>
    <t xml:space="preserve">CANTAB y potenciales evocados (ERP)</t>
  </si>
  <si>
    <t xml:space="preserve">La velocidad de procesamiento mejoró en el grupo arándano frente a placebo en CANTAB y restauró el nivel del grupo de referencia; el ERP mostró mejora, más marcada en 75-80 años. Cifras exactas no constan en el resumen.</t>
  </si>
  <si>
    <t xml:space="preserve">Beca NIH P30 DK056350 y fondos UNC-CH. Conflictos: no consta en el resumen.</t>
  </si>
  <si>
    <t xml:space="preserve">35 g/día de arándano silvestre liofilizado durante 6 meses (registro NCT01515098)</t>
  </si>
  <si>
    <t xml:space="preserve">cita encontrada; cifra no comprobable en el resumen (PMID 36066009 encontrado en Europe PMC (título y año 2023 coinciden con la fila); DOI 10.1080/1028415x.2022.2117475 coincide; NCT01515098 existe en ClinicalTrials.gov v2 (n=123, COMPLETED); resultado transcrito sin cifras (el propio campo lo indica); el sentido coincide con el resumen; n=131 es la suma 44+42+45 del resumen (el registro NCT01515098 indica 123 inscritos); '35 g/día' figura en el texto del registro (hipótesis 3) y la descripción de los brazos del registro indica 37 g)</t>
  </si>
  <si>
    <t xml:space="preserve">PMID 36066009; DOI 10.1080/1028415x.2022.2117475; NCT01515098</t>
  </si>
  <si>
    <t xml:space="preserve">https://pubmed.ncbi.nlm.nih.gov/36066009/</t>
  </si>
  <si>
    <t xml:space="preserve">Omega-3 (aceite de pescado)</t>
  </si>
  <si>
    <t xml:space="preserve">Aceite de pescado, arándano y combinación</t>
  </si>
  <si>
    <t xml:space="preserve">Antocianinas y omega-3</t>
  </si>
  <si>
    <t xml:space="preserve">McNamara RK et al., 2018, Neurobiol Aging</t>
  </si>
  <si>
    <t xml:space="preserve">Doble ciego, placebo, 4 brazos</t>
  </si>
  <si>
    <t xml:space="preserve">94 según registro</t>
  </si>
  <si>
    <t xml:space="preserve">Mayores con deterioro cognitivo subjetivo</t>
  </si>
  <si>
    <t xml:space="preserve">Omega-3 2.4 g/día (EPA 1.6 g, DHA 0.8 g) y/o polvo liofilizado de arándano (registro)</t>
  </si>
  <si>
    <t xml:space="preserve">Síntomas cognitivos, discriminación de memoria</t>
  </si>
  <si>
    <t xml:space="preserve">Menos síntomas cognitivos en aceite de pescado (p=0.03) y arándano (p=0.05); mejor discriminación de memoria con arándano (p=0.04); la combinación no se asoció con mejora.</t>
  </si>
  <si>
    <t xml:space="preserve">Beca NIA R01AG034617. Conflictos: no consta en el resumen.</t>
  </si>
  <si>
    <t xml:space="preserve">cita encontrada; cifra coincide (PMID 29458842 encontrado en Europe PMC (título y año 2018 coinciden con la fila); DOI 10.1016/j.neurobiolaging.2017.12.003 coincide; NCT01746303 existe en ClinicalTrials.gov v2 (n=94, COMPLETED); n=94 y dosis omega-3 2.4 g/día (EPA 1.6, DHA 0.8) coinciden con el registro NCT01746303)</t>
  </si>
  <si>
    <t xml:space="preserve">PMID 29458842; DOI 10.1016/j.neurobiolaging.2017.12.003; NCT01746303</t>
  </si>
  <si>
    <t xml:space="preserve">https://pubmed.ncbi.nlm.nih.gov/29458842/</t>
  </si>
  <si>
    <t xml:space="preserve">Uva Concord (zumo)</t>
  </si>
  <si>
    <t xml:space="preserve">Zumo de uva Concord</t>
  </si>
  <si>
    <t xml:space="preserve">Polifenoles de uva (Krikorian)</t>
  </si>
  <si>
    <t xml:space="preserve">Krikorian R et al., 2012, J Agric Food Chem</t>
  </si>
  <si>
    <t xml:space="preserve">Zumo de uva Concord diario (dosis no consta en el resumen)</t>
  </si>
  <si>
    <t xml:space="preserve">Memoria y activación cerebral por fMRI</t>
  </si>
  <si>
    <t xml:space="preserve">Menor interferencia semántica en tareas de memoria y mayor activación en regiones anteriores y posteriores del hemisferio derecho con zumo de uva.</t>
  </si>
  <si>
    <t xml:space="preserve">cita encontrada; cifra no comprobable en el resumen (PMID 22468945 encontrado en Europe PMC (título y año 2012 coinciden con la fila); DOI 10.1021/jf300277g coincide; resultado transcrito sin cifras; el sentido coincide con el resumen)</t>
  </si>
  <si>
    <t xml:space="preserve">PMID 22468945; DOI 10.1021/jf300277g</t>
  </si>
  <si>
    <t xml:space="preserve">https://pubmed.ncbi.nlm.nih.gov/22468945/</t>
  </si>
  <si>
    <t xml:space="preserve">Uva (fórmula liofilizada)</t>
  </si>
  <si>
    <t xml:space="preserve">Uvas (fórmula de uva liofilizada)</t>
  </si>
  <si>
    <t xml:space="preserve">Resveratrol y polifenoles de uva</t>
  </si>
  <si>
    <t xml:space="preserve">Lee J, Torosyan N, Silverman DH, 2017, Exp Gerontol</t>
  </si>
  <si>
    <t xml:space="preserve">Doble ciego, placebo, piloto, FDG-PET</t>
  </si>
  <si>
    <t xml:space="preserve">10 analizados</t>
  </si>
  <si>
    <t xml:space="preserve">Declive cognitivo leve, media 72.2 años</t>
  </si>
  <si>
    <t xml:space="preserve">Fórmula de uva activa vs placebo sin polifenoles</t>
  </si>
  <si>
    <t xml:space="preserve">Metabolismo cerebral por FDG-PET y tests neuropsicológicos</t>
  </si>
  <si>
    <t xml:space="preserve">Placebo: declive metabólico en corteza cingulada posterior derecha (p=0.01) y temporal superior izquierda (p=0.04); grupo uva sin declive significativo. Sin diferencias en tests entre grupos; correlación metabolismo-atención/memoria de trabajo r=-0.69, p=0.04 en brazo activo.</t>
  </si>
  <si>
    <t xml:space="preserve">California Table Grape Commission (beca 11-002966).</t>
  </si>
  <si>
    <t xml:space="preserve">cita encontrada; cifra coincide (PMID 27856335 encontrado en Europe PMC (título y año 2017 coinciden con la fila); DOI 10.1016/j.exger.2016.10.004 coincide; NCT03361410 existe en ClinicalTrials.gov v2 (n=32, COMPLETED); NCT01573611 existe en ClinicalTrials.gov v2 (n=12, COMPLETED); NCT03361410 y NCT01573611 existen en ClinicalTrials.gov (UCLA, polvo de uva, sin resultados en el registro))</t>
  </si>
  <si>
    <t xml:space="preserve">PMID 27856335; DOI 10.1016/j.exger.2016.10.004; relacionados NCT03361410, NCT01573611</t>
  </si>
  <si>
    <t xml:space="preserve">https://pubmed.ncbi.nlm.nih.gov/27856335/</t>
  </si>
  <si>
    <t xml:space="preserve">Dieta cetogénica muy baja en hidratos</t>
  </si>
  <si>
    <t xml:space="preserve">Cetosis y metabolismo cerebral (Krikorian)</t>
  </si>
  <si>
    <t xml:space="preserve">Krikorian R et al., 2012, Neurobiol Aging</t>
  </si>
  <si>
    <t xml:space="preserve">Aleatorizado alto vs muy bajo en hidratos</t>
  </si>
  <si>
    <t xml:space="preserve">Dieta muy baja en hidratos vs alta en hidratos</t>
  </si>
  <si>
    <t xml:space="preserve">Memoria verbal, peso, glucosa e insulina, cetonas</t>
  </si>
  <si>
    <t xml:space="preserve">Memoria verbal mejor en grupo bajo en hidratos (p=0.01); peso y cintura p&lt;0.0001; glucosa p=0.009; insulina p=0.005; cetonas correlacionadas con memoria (p=0.04). Depresión sin cambio.</t>
  </si>
  <si>
    <t xml:space="preserve">Robert C. and Veronica Atkins Foundation, NIA y Indiana Alzheimer's Disease Center.</t>
  </si>
  <si>
    <t xml:space="preserve">Dieta muy baja en hidratos 6 semanas (descrita en el estudio; cifras de hidratos no constan en el resumen)</t>
  </si>
  <si>
    <t xml:space="preserve">cita encontrada; cifra coincide (PMID 21130529 encontrado en Europe PMC (título y año 2012 coinciden con la fila); DOI 10.1016/j.neurobiolaging.2010.10.006 coincide)</t>
  </si>
  <si>
    <t xml:space="preserve">Cetosis en Alzheimer (Nueva Zelanda)</t>
  </si>
  <si>
    <t xml:space="preserve">Phillips MCL et al., 2021, Alzheimer's Res Ther</t>
  </si>
  <si>
    <t xml:space="preserve">Cruzado, evaluador ciego, 2 periodos de 12 semanas con 10 de lavado</t>
  </si>
  <si>
    <t xml:space="preserve">26 aleatorizados, 21 completaron la cetogénica</t>
  </si>
  <si>
    <t xml:space="preserve">Alzheimer clínicamente confirmado</t>
  </si>
  <si>
    <t xml:space="preserve">12 semanas por periodo</t>
  </si>
  <si>
    <t xml:space="preserve">Dieta cetogénica modificada vs dieta habitual con guías bajas en grasa; BHB medio 0.95 ± 0.34 mmol/L</t>
  </si>
  <si>
    <t xml:space="preserve">ACE-III, ADCS-ADL, QOL-AD</t>
  </si>
  <si>
    <t xml:space="preserve">ADCS-ADL +3.13 ± 5.01 (P=0.0067); QOL-AD +3.37 ± 6.86 (P=0.023); ACE-III +2.12 ± 8.70 (P=0.24, no significativo).</t>
  </si>
  <si>
    <t xml:space="preserve">Leves según los autores; una retirada atribuida a la dieta</t>
  </si>
  <si>
    <t xml:space="preserve">Waikato Medical Research Foundation sin papel en el diseño. Una autora gestiona un negocio de coaching de alimentación integral; sus recetas no se usaron.</t>
  </si>
  <si>
    <t xml:space="preserve">cita encontrada; cifra coincide (PMID 33622392 encontrado en Europe PMC (título y año 2021 coinciden con la fila); DOI 10.1186/s13195-021-00783-x coincide)</t>
  </si>
  <si>
    <t xml:space="preserve">Dieta cetogénica rica en verdura y aguacate (AD-KD)</t>
  </si>
  <si>
    <t xml:space="preserve">Cetosis en Alzheimer (Kansas)</t>
  </si>
  <si>
    <t xml:space="preserve">Taylor MK et al., 2019, Curr Dev Nutr</t>
  </si>
  <si>
    <t xml:space="preserve">Ensayo de un brazo de viabilidad; análisis de registros alimentarios</t>
  </si>
  <si>
    <t xml:space="preserve">15 (10 adherentes, 6 con registros completos)</t>
  </si>
  <si>
    <t xml:space="preserve">Dieta cetogénica con aceite MCT, verduras no feculentas, mantequilla, huevos, aceite de oliva, aguacate, frutos secos; sin patata, cereales, carne roja ni azúcar</t>
  </si>
  <si>
    <t xml:space="preserve">Alimentos y nutrientes, beta-hidroxibutirato</t>
  </si>
  <si>
    <t xml:space="preserve">Verduras no feculentas de 1.2 a 4.3 raciones/día (P&lt;0.01); micronutrientes similares; más colina y vitamina K; menos manganeso y fibra.</t>
  </si>
  <si>
    <t xml:space="preserve">NIA P30 AG035982, Stop Alzheimer's Now Foundation. Un autor recibió honorarios de Accera.</t>
  </si>
  <si>
    <t xml:space="preserve">cita encontrada; cifra coincide (PMID 30931426 encontrado en Europe PMC (título y año 2019 coinciden con la fila); NCT03690193 existe en ClinicalTrials.gov v2 (n=15, COMPLETED))</t>
  </si>
  <si>
    <t xml:space="preserve">PMID 30931426; NCT03690193</t>
  </si>
  <si>
    <t xml:space="preserve">https://pubmed.ncbi.nlm.nih.gov/30931426/</t>
  </si>
  <si>
    <t xml:space="preserve">Dieta cetogénica rica en plantas más ayuno intermitente</t>
  </si>
  <si>
    <t xml:space="preserve">Protocolo individualizado (Estambul)</t>
  </si>
  <si>
    <t xml:space="preserve">Tağraf B et al., 2026, J Nutr Health Aging</t>
  </si>
  <si>
    <t xml:space="preserve">Evaluador ciego, adjunto al tratamiento estándar</t>
  </si>
  <si>
    <t xml:space="preserve">60 (30/30)</t>
  </si>
  <si>
    <t xml:space="preserve">Alzheimer leve-moderado, CDR 1-2, 55-85 años</t>
  </si>
  <si>
    <t xml:space="preserve">Cetogénica rica en plantas + ayuno intermitente individualizados</t>
  </si>
  <si>
    <t xml:space="preserve">MMSE y cambio fiable (RCI), estructura cerebral</t>
  </si>
  <si>
    <t xml:space="preserve">MMSE +0.9 en intervención y -1.5 en control (p&lt;0.001); estable 93% vs 70%; mejora 7% vs 3.3%.</t>
  </si>
  <si>
    <t xml:space="preserve">Sin financiación específica; costes cubiertos por los autores; sin conflictos declarados.</t>
  </si>
  <si>
    <t xml:space="preserve">cita encontrada; cifra coincide (PMID 42497811 encontrado en Europe PMC (título y año 2026 coinciden con la fila); DOI 10.1016/j.jnha.2026.100930 coincide; NCT06898424 existe en ClinicalTrials.gov v2 (n=60, COMPLETED))</t>
  </si>
  <si>
    <t xml:space="preserve">https://pubmed.ncbi.nlm.nih.gov/42497811/</t>
  </si>
  <si>
    <t xml:space="preserve">Dieta mediterránea cetogénica modificada</t>
  </si>
  <si>
    <t xml:space="preserve">Lipidoma en Alzheimer (Wake Forest)</t>
  </si>
  <si>
    <t xml:space="preserve">Neth BJ et al., 2025, Commun Med</t>
  </si>
  <si>
    <t xml:space="preserve">Análisis post hoc de un cruzado</t>
  </si>
  <si>
    <t xml:space="preserve">Mayores</t>
  </si>
  <si>
    <t xml:space="preserve">784 lípidos plasmáticos y biomarcadores de EA</t>
  </si>
  <si>
    <t xml:space="preserve">Elevación global de lípidos éter (plasmanilo y plasmenilo) vinculada a marcadores de EA; la firma se asoció inversamente con la de EA prevalente e incidente (n=1912).</t>
  </si>
  <si>
    <t xml:space="preserve">Beca FNIH y NIA (P30 AG013319). Conflictos: no consta.</t>
  </si>
  <si>
    <t xml:space="preserve">cita encontrada; cifra coincide (PMID 39779882 encontrado en Europe PMC (título y año 2025 coinciden con la fila); DOI 10.1038/s43856-024-00682-w coincide)</t>
  </si>
  <si>
    <t xml:space="preserve">PMID 39779882; DOI 10.1038/s43856-024-00682-w</t>
  </si>
  <si>
    <t xml:space="preserve">https://pubmed.ncbi.nlm.nih.gov/39779882/</t>
  </si>
  <si>
    <t xml:space="preserve">AC-1202 (triglicéridos de cadena media, Axona)</t>
  </si>
  <si>
    <t xml:space="preserve">Henderson ST et al., 2009, Nutr Metab</t>
  </si>
  <si>
    <t xml:space="preserve">Doble ciego, placebo, multicéntrico</t>
  </si>
  <si>
    <t xml:space="preserve">AC-1202 diario</t>
  </si>
  <si>
    <t xml:space="preserve">ADAS-Cog, ADCS-CGIC, estratificado por APOE4</t>
  </si>
  <si>
    <t xml:space="preserve">ITT día 45: 1.9 puntos de diferencia ADAS-Cog (p=0.0235). APOE4 negativos (N=55): 4.77 puntos día 45 (p=0.0005) y 3.36 día 90 (p=0.0148).</t>
  </si>
  <si>
    <t xml:space="preserve">Más frecuentes con AC-1202 (detalle truncado en mi lectura)</t>
  </si>
  <si>
    <t xml:space="preserve">Accera financió, diseñó, analizó y redactó; cinco autores son o fueron empleados de Accera.</t>
  </si>
  <si>
    <t xml:space="preserve">cita encontrada; cifra coincide (PMID 19664276 encontrado en Europe PMC (título y año 2009 coinciden con la fila); NCT00142805 existe en ClinicalTrials.gov v2 (n=152, COMPLETED))</t>
  </si>
  <si>
    <t xml:space="preserve">PMID 19664276; NCT00142805</t>
  </si>
  <si>
    <t xml:space="preserve">Cetonas del coco (Valencia)</t>
  </si>
  <si>
    <t xml:space="preserve">de la Rubia Ortí JE et al., 2018, J Alzheimers Dis</t>
  </si>
  <si>
    <t xml:space="preserve">Piloto con dos grupos</t>
  </si>
  <si>
    <t xml:space="preserve">44 (22/22)</t>
  </si>
  <si>
    <t xml:space="preserve">Dieta mediterránea isocalórica con aceite de coco</t>
  </si>
  <si>
    <t xml:space="preserve">7 Minute Screen</t>
  </si>
  <si>
    <t xml:space="preserve">Mejoras en memoria episódica, orientación temporal y memoria semántica; más evidente en mujeres en estadio leve-moderado. Cifras no constan en el resumen.</t>
  </si>
  <si>
    <t xml:space="preserve">cita encontrada; cifra no comprobable en el resumen (PMID 30056419 encontrado en Europe PMC (título y año 2018 coinciden con la fila); DOI 10.3233/jad-180184 coincide; resultado transcrito sin cifras (el propio campo lo indica); el sentido coincide con el resumen; n=44 (22/22) y 21 días coinciden)</t>
  </si>
  <si>
    <t xml:space="preserve">PMID 30056419; DOI 10.3233/jad-180184</t>
  </si>
  <si>
    <t xml:space="preserve">Aceite MCT 42 g/día</t>
  </si>
  <si>
    <t xml:space="preserve">Cetonas en Alzheimer (Alberta)</t>
  </si>
  <si>
    <t xml:space="preserve">Juby AG et al., 2022, Alzheimer's Dement (N Y)</t>
  </si>
  <si>
    <t xml:space="preserve">Cruzado doble ciego 6 meses con extensión abierta de 6</t>
  </si>
  <si>
    <t xml:space="preserve">Alzheimer probable, MMSE basal 22.6/30</t>
  </si>
  <si>
    <t xml:space="preserve">MCT 42 g/día o máximo tolerado; media 25.2 g/día</t>
  </si>
  <si>
    <t xml:space="preserve">80% estables o mejor; MMSE final más alto con mayor exposición a MCT y edad &gt;73 (P&lt;.001).</t>
  </si>
  <si>
    <t xml:space="preserve">Glenrose Rehabilitation Hospital Foundation. Autor con honorarios ajenos al estudio.</t>
  </si>
  <si>
    <t xml:space="preserve">MCT 25-42 g/día repartido en cucharadas, subiendo gradualmente (según el estudio)</t>
  </si>
  <si>
    <t xml:space="preserve">cita encontrada; cifra coincide (PMID 35310527 encontrado en Europe PMC (título y año 2022 coinciden con la fila); DOI 10.1002/trc2.12259 coincide)</t>
  </si>
  <si>
    <t xml:space="preserve">Sales de cetonas (BHB)</t>
  </si>
  <si>
    <t xml:space="preserve">Sales de cetonas (BHB) más nicotinamida ribósido</t>
  </si>
  <si>
    <t xml:space="preserve">Energía cerebral (BREAK-AD, Sherbrooke)</t>
  </si>
  <si>
    <t xml:space="preserve">Roy M et al., 2026, Alzheimer's Dement (N Y)</t>
  </si>
  <si>
    <t xml:space="preserve">Placebo controlado, PET y RM</t>
  </si>
  <si>
    <t xml:space="preserve">30 (15/15)</t>
  </si>
  <si>
    <t xml:space="preserve">Captación cerebral de cetonas, mielina, velocidad de procesamiento</t>
  </si>
  <si>
    <t xml:space="preserve">Captación de cetonas gris x2.4 (p&lt;0.001), blanca x3.1-3.6; mielina en fornix cayó hasta 10% en placebo (p=0.027) sin cambio en activo.</t>
  </si>
  <si>
    <t xml:space="preserve">Nestlé Health Science y Alzheimer's Association; autores con vínculos con Nestlé.</t>
  </si>
  <si>
    <t xml:space="preserve">cita encontrada; cifra coincide (PMID 42344884 encontrado en Europe PMC (título y año 2026 coinciden con la fila); DOI 10.1002/trc2.70278 coincide)</t>
  </si>
  <si>
    <t xml:space="preserve">https://pubmed.ncbi.nlm.nih.gov/42344884/</t>
  </si>
  <si>
    <t xml:space="preserve">Nueces</t>
  </si>
  <si>
    <t xml:space="preserve">Nueces 30-60 g/día</t>
  </si>
  <si>
    <t xml:space="preserve">Dieta mediterránea (WAHA)</t>
  </si>
  <si>
    <t xml:space="preserve">Sala-Vila A et al., 2020, Am J Clin Nutr</t>
  </si>
  <si>
    <t xml:space="preserve">2 centros, dieta con nueces vs abstención</t>
  </si>
  <si>
    <t xml:space="preserve">708 (657 analizados)</t>
  </si>
  <si>
    <t xml:space="preserve">Mayores sanos 63-79 años</t>
  </si>
  <si>
    <t xml:space="preserve">Nueces ~15% de la energía (30-60 g/día)</t>
  </si>
  <si>
    <t xml:space="preserve">Cognición global compuesta, RM</t>
  </si>
  <si>
    <t xml:space="preserve">Global: -0.072 vs -0.086 (P=0.491). Barcelona post hoc: -0.037 vs -0.097 (P=0.040).</t>
  </si>
  <si>
    <t xml:space="preserve">California Walnut Commission e ISCIII.</t>
  </si>
  <si>
    <t xml:space="preserve">30-60 g/día de nueces dos años</t>
  </si>
  <si>
    <t xml:space="preserve">cita encontrada; cifra coincide (PMID 31912155 encontrado en Europe PMC (título y año 2020 coinciden con la fila); NCT01634841 existe en ClinicalTrials.gov v2 (n=708, COMPLETED))</t>
  </si>
  <si>
    <t xml:space="preserve">PMID 31912155; NCT01634841</t>
  </si>
  <si>
    <t xml:space="preserve">https://pubmed.ncbi.nlm.nih.gov/31912155/</t>
  </si>
  <si>
    <t xml:space="preserve">Probióticos</t>
  </si>
  <si>
    <t xml:space="preserve">Leche con probióticos (4 cepas)</t>
  </si>
  <si>
    <t xml:space="preserve">Eje intestino-cerebro (Irán)</t>
  </si>
  <si>
    <t xml:space="preserve">Akbari E et al., 2016, Front Aging Neurosci</t>
  </si>
  <si>
    <t xml:space="preserve">Doble ciego controlado con leche</t>
  </si>
  <si>
    <t xml:space="preserve">200 ml/día con L. acidophilus, L. casei, B. bifidum, L. fermentum (2x10^9 UFC/g c/u)</t>
  </si>
  <si>
    <t xml:space="preserve">MMSE y marcadores metabólicos</t>
  </si>
  <si>
    <t xml:space="preserve">MMSE +27.90% (±8.07) vs -5.03% (±3.00), P&lt;0.001; MDA -22.01% vs +2.67% (P&lt;0.001); hs-CRP -17.61% vs +45.26% (P&lt;0.001); triglicéridos -20.29% vs -0.16% (P=0.003).</t>
  </si>
  <si>
    <t xml:space="preserve">Beca 9497 de Kashan University of Medical Sciences; probióticos aportados por Tak Gen Zist; sin conflictos declarados.</t>
  </si>
  <si>
    <t xml:space="preserve">200 ml/día de leche con probióticos 12 semanas</t>
  </si>
  <si>
    <t xml:space="preserve">cita encontrada; cifra coincide (PMID 27891089 encontrado en Europe PMC (título y año 2016 coinciden con la fila))</t>
  </si>
  <si>
    <t xml:space="preserve">PMID 27891089; IRCT201511305623N60</t>
  </si>
  <si>
    <t xml:space="preserve">https://pubmed.ncbi.nlm.nih.gov/27891089/</t>
  </si>
  <si>
    <t xml:space="preserve">Kéfir</t>
  </si>
  <si>
    <t xml:space="preserve">Leche fermentada con gránulos de kéfir</t>
  </si>
  <si>
    <t xml:space="preserve">Kéfir (Brasil)</t>
  </si>
  <si>
    <t xml:space="preserve">Ton AMM et al., 2020, Oxid Med Cell Longev</t>
  </si>
  <si>
    <t xml:space="preserve">Investigación clínica sin control</t>
  </si>
  <si>
    <t xml:space="preserve">Leche con kéfir 2 mL/kg/día</t>
  </si>
  <si>
    <t xml:space="preserve">8 tests cognitivos, citoquinas, estrés oxidativo</t>
  </si>
  <si>
    <t xml:space="preserve">Mejora de memoria y funciones ejecutivas en la mayoría; marcadores de estrés oxidativo ~30% menos; biodisponibilidad de NO +100%.</t>
  </si>
  <si>
    <t xml:space="preserve">CNPq y FAPES; sin conflictos.</t>
  </si>
  <si>
    <t xml:space="preserve">2 mL/kg/día de leche fermentada con kéfir 90 días</t>
  </si>
  <si>
    <t xml:space="preserve">cita encontrada; cifra coincide (PMID 32411323 encontrado en Europe PMC (título y año 2020 coinciden con la fila); DOI 10.1155/2020/2638703 coincide)</t>
  </si>
  <si>
    <t xml:space="preserve">PMID 32411323; DOI 10.1155/2020/2638703</t>
  </si>
  <si>
    <t xml:space="preserve">https://pubmed.ncbi.nlm.nih.gov/32411323/</t>
  </si>
  <si>
    <t xml:space="preserve">Probióticos multicepa (5 cepas)</t>
  </si>
  <si>
    <t xml:space="preserve">Probióticos de Taiwán</t>
  </si>
  <si>
    <t xml:space="preserve">Hsu YC et al., 2023, Nutrients</t>
  </si>
  <si>
    <t xml:space="preserve">Doble ciego, control activo de baja dosis</t>
  </si>
  <si>
    <t xml:space="preserve">40 según registro</t>
  </si>
  <si>
    <t xml:space="preserve">B. longum infantis BLI-02, B. breve Bv-889, B. animalis CP-9, B. bifidum VDD088, L. plantarum PL-02: 1x10^10 vs 5x10^7 UFC/día</t>
  </si>
  <si>
    <t xml:space="preserve">BDNF, inflamación, estrés oxidativo, cognición</t>
  </si>
  <si>
    <t xml:space="preserve">BDNF +36% (p=0.005); IL-1β menor (p=0.041); SOD mayor (p=0.012); tendencia a menor deterioro cognitivo, no significativa.</t>
  </si>
  <si>
    <t xml:space="preserve">Glac Biotech (patrocinador y financiador).</t>
  </si>
  <si>
    <t xml:space="preserve">cita encontrada; cifra coincide (PMID 38201846 encontrado en Europe PMC (título y año 2023 coinciden con la fila); NCT05145881 existe en ClinicalTrials.gov v2 (n=40, COMPLETED); NCT05145881 existe en ClinicalTrials.gov (n=40, cepas coinciden con el resumen; el resumen no cita ese NCT))</t>
  </si>
  <si>
    <t xml:space="preserve">PMID 38201846; NCT05145881 (por coincidencia de cepas)</t>
  </si>
  <si>
    <t xml:space="preserve">https://pubmed.ncbi.nlm.nih.gov/38201846/</t>
  </si>
  <si>
    <t xml:space="preserve">Fracción peptídica de kéfir brasileño</t>
  </si>
  <si>
    <t xml:space="preserve">Malta SM et al., 2024, Sci Rep</t>
  </si>
  <si>
    <t xml:space="preserve">Drosophila con Aβ1-42</t>
  </si>
  <si>
    <t xml:space="preserve">Moscas</t>
  </si>
  <si>
    <t xml:space="preserve">Fracciones peptídica (&lt;10 kDa) y metabólica</t>
  </si>
  <si>
    <t xml:space="preserve">Vacuolas, grosor retiniano, agregación de Aβ</t>
  </si>
  <si>
    <t xml:space="preserve">Menos área de vacuolas y más grosor de retina; la fracción peptídica inhibió la formación de fibrillas de Aβ.</t>
  </si>
  <si>
    <t xml:space="preserve">FAPEMIG y CNPq; sin conflictos.</t>
  </si>
  <si>
    <t xml:space="preserve">cita encontrada; cifra no comprobable en el resumen (PMID 39461991 encontrado en Europe PMC (título y año 2024 coinciden con la fila); DOI 10.1038/s41598-024-76601-9 coincide; resultado transcrito sin cifras; el sentido coincide con el resumen)</t>
  </si>
  <si>
    <t xml:space="preserve">PMID 39461991; DOI 10.1038/s41598-024-76601-9</t>
  </si>
  <si>
    <t xml:space="preserve">https://pubmed.ncbi.nlm.nih.gov/39461991/</t>
  </si>
  <si>
    <t xml:space="preserve">Trasplante de microbiota fecal</t>
  </si>
  <si>
    <t xml:space="preserve">Casos tras tratamiento de C. difficile</t>
  </si>
  <si>
    <t xml:space="preserve">Hazan S, 2020, J Int Med Res</t>
  </si>
  <si>
    <t xml:space="preserve">FMT por infección por C. difficile</t>
  </si>
  <si>
    <t xml:space="preserve">Síntomas de Alzheimer</t>
  </si>
  <si>
    <t xml:space="preserve">Mejora rápida de los síntomas tras el FMT.</t>
  </si>
  <si>
    <t xml:space="preserve">Sin financiación específica.</t>
  </si>
  <si>
    <t xml:space="preserve">cita encontrada; cifra no comprobable en el resumen (PMID 32600151 encontrado en Europe PMC (título y año 2020 coinciden con la fila); informe de caso sin cifras; el sentido coincide con el resumen)</t>
  </si>
  <si>
    <t xml:space="preserve">PMID 32600151</t>
  </si>
  <si>
    <t xml:space="preserve">https://pubmed.ncbi.nlm.nih.gov/32600151/</t>
  </si>
  <si>
    <t xml:space="preserve">FMT de donante con APOE e2 en ratón 3xTgAD</t>
  </si>
  <si>
    <t xml:space="preserve">Microbiota (Ginebra)</t>
  </si>
  <si>
    <t xml:space="preserve">Chevalier C et al., 2025, Genes Brain Behav</t>
  </si>
  <si>
    <t xml:space="preserve">FMT semanal</t>
  </si>
  <si>
    <t xml:space="preserve">Ratones 3xTgAD hembras</t>
  </si>
  <si>
    <t xml:space="preserve">FMT de paciente, de portador APOEe2 de 73 años y de donante joven</t>
  </si>
  <si>
    <t xml:space="preserve">Reconocimiento, neuroinflamación, amiloide, tau</t>
  </si>
  <si>
    <t xml:space="preserve">El FMT APOEe2 mejoró la memoria a corto plazo (NOR) frente al FMT de paciente, con más neuroinflamación hipocampal; sin efecto sobre amiloide ni tau.</t>
  </si>
  <si>
    <t xml:space="preserve">Velux Stiftung.</t>
  </si>
  <si>
    <t xml:space="preserve">cita encontrada; cifra no comprobable en el resumen (PMID 39801363 encontrado en Europe PMC (título y año 2025 coinciden con la fila); resultado transcrito sin cifras; el sentido coincide con el resumen)</t>
  </si>
  <si>
    <t xml:space="preserve">PMID 39801363</t>
  </si>
  <si>
    <t xml:space="preserve">https://pubmed.ncbi.nlm.nih.gov/39801363/</t>
  </si>
  <si>
    <t xml:space="preserve">FMT oral en cápsulas</t>
  </si>
  <si>
    <t xml:space="preserve">Ensayo de viabilidad terminado</t>
  </si>
  <si>
    <t xml:space="preserve">Univ. Wisconsin-Madison</t>
  </si>
  <si>
    <t xml:space="preserve">Aleatorizado, sin enmascaramiento</t>
  </si>
  <si>
    <t xml:space="preserve">Terminado julio 2020</t>
  </si>
  <si>
    <t xml:space="preserve">Cápsulas de FMT doble encapsuladas</t>
  </si>
  <si>
    <t xml:space="preserve">Seguridad y viabilidad</t>
  </si>
  <si>
    <t xml:space="preserve">Sin resultados publicados en el registro.</t>
  </si>
  <si>
    <t xml:space="preserve">Wisconsin Partnership Program.</t>
  </si>
  <si>
    <t xml:space="preserve">cita encontrada; cifra coincide (NCT03998423: TERMINATED, n=5, finalizado 2020-07-14, hasResults=false (coincide con la fila); ClinicalTrials.gov API v2, registro encontrado)</t>
  </si>
  <si>
    <t xml:space="preserve">NCT03998423</t>
  </si>
  <si>
    <t xml:space="preserve">https://clinicaltrials.gov/study/NCT03998423</t>
  </si>
  <si>
    <t xml:space="preserve">Azafrán</t>
  </si>
  <si>
    <t xml:space="preserve">Azafrán (Crocus sativus) 30 mg/día</t>
  </si>
  <si>
    <t xml:space="preserve">Fitoterapia iraní</t>
  </si>
  <si>
    <t xml:space="preserve">Akhondzadeh S et al., 2010, Psychopharmacology</t>
  </si>
  <si>
    <t xml:space="preserve">Doble ciego frente a donepezilo</t>
  </si>
  <si>
    <t xml:space="preserve">54</t>
  </si>
  <si>
    <t xml:space="preserve">Azafrán 15 mg dos veces/día vs donepezilo 5 mg dos veces/día</t>
  </si>
  <si>
    <t xml:space="preserve">ADAS-Cog y CDR-SB</t>
  </si>
  <si>
    <t xml:space="preserve">Eficacia similar al donepezilo; los vómitos fueron más frecuentes con donepezilo.</t>
  </si>
  <si>
    <t xml:space="preserve">cita encontrada; cifra no comprobable en el resumen (PMID 19838862 encontrado en Europe PMC (título y año 2010 coinciden con la fila); resultado transcrito sin cifras; el sentido coincide con el resumen (n=54, 22 semanas, 30 mg/día y vómitos con donepezilo coinciden))</t>
  </si>
  <si>
    <t xml:space="preserve">PMID 19838862; IRCT138711051556N1</t>
  </si>
  <si>
    <t xml:space="preserve">https://pubmed.ncbi.nlm.nih.gov/19838862/</t>
  </si>
  <si>
    <t xml:space="preserve">Curcumina Theracurmin</t>
  </si>
  <si>
    <t xml:space="preserve">Cúrcuma biodisponible (UCLA)</t>
  </si>
  <si>
    <t xml:space="preserve">Doble ciego, placebo, PET FDDNP</t>
  </si>
  <si>
    <t xml:space="preserve">40 (21/19)</t>
  </si>
  <si>
    <t xml:space="preserve">90 mg dos veces/día</t>
  </si>
  <si>
    <t xml:space="preserve">Memoria, atención, PET de amiloide/tau</t>
  </si>
  <si>
    <t xml:space="preserve">Entre grupos: SRT ES=0.68 (p=0.05); atención ES=0.67 (p=0.04); amígdala ES=0.48 (p=0.07); hipotálamo ES=0.55 (p=0.02).</t>
  </si>
  <si>
    <t xml:space="preserve">Becas NIA, NIMH y otras; conflictos no leídos.</t>
  </si>
  <si>
    <t xml:space="preserve">Theracurmin 90 mg dos veces al día 18 meses</t>
  </si>
  <si>
    <t xml:space="preserve">cita encontrada; cifra coincide (PMID 29246725 encontrado en Europe PMC (título y año 2018 coinciden con la fila); NCT01383161 existe en ClinicalTrials.gov v2 (n=46, COMPLETED))</t>
  </si>
  <si>
    <t xml:space="preserve">PMID 29246725; NCT01383161</t>
  </si>
  <si>
    <t xml:space="preserve">Curcumina 1 g o 4 g más ginkgo 120 mg</t>
  </si>
  <si>
    <t xml:space="preserve">Ensayo piloto de Hong Kong</t>
  </si>
  <si>
    <t xml:space="preserve">Baum L et al., 2008, J Clin Psychopharmacol</t>
  </si>
  <si>
    <t xml:space="preserve">36 según registro</t>
  </si>
  <si>
    <t xml:space="preserve">Curcumina 1 g o 4 g/día + ginkgo</t>
  </si>
  <si>
    <t xml:space="preserve">Isoprostano plasmático y Aβ sérico</t>
  </si>
  <si>
    <t xml:space="preserve">PubMed no muestra resumen; no transcribo cifras. Registro sin resultados.</t>
  </si>
  <si>
    <t xml:space="preserve">Colaboradores Bupa Chile y Kwong Wah Hospital.</t>
  </si>
  <si>
    <t xml:space="preserve">cita encontrada; cifra no comprobable en el resumen (PMID 18204357 encontrado en Europe PMC (título y año 2008 coinciden con la fila); NCT00164749 existe en ClinicalTrials.gov v2 (n=36, COMPLETED); PMID sin resumen en Europe PMC, no hay cifras que contrastar; NCT00164749 en ClinicalTrials.gov: n=36, sin resultados en el registro (coincide con la fila))</t>
  </si>
  <si>
    <t xml:space="preserve">PMID 18204357; NCT00164749</t>
  </si>
  <si>
    <t xml:space="preserve">https://pubmed.ncbi.nlm.nih.gov/18204357/</t>
  </si>
  <si>
    <t xml:space="preserve">Curcumina Longvida 2-3 g/día</t>
  </si>
  <si>
    <t xml:space="preserve">Ensayo terminado en India</t>
  </si>
  <si>
    <t xml:space="preserve">Jaslok Hospital, 2009-2010</t>
  </si>
  <si>
    <t xml:space="preserve">Alzheimer 50-80 años</t>
  </si>
  <si>
    <t xml:space="preserve">2000 o 3000 mg/día</t>
  </si>
  <si>
    <t xml:space="preserve">Examen mental</t>
  </si>
  <si>
    <t xml:space="preserve">Terminado sin resultados publicados en el registro.</t>
  </si>
  <si>
    <t xml:space="preserve">Colaboradores Verdure Sciences y Pharmanza.</t>
  </si>
  <si>
    <t xml:space="preserve">cita encontrada; cifra coincide (NCT01001637: TERMINATED, n=26, 2000 o 3000 mg/día, hasResults=false (coincide con la fila); ClinicalTrials.gov API v2, registro encontrado)</t>
  </si>
  <si>
    <t xml:space="preserve">Café</t>
  </si>
  <si>
    <t xml:space="preserve">Café con cafeína, descafeinado y té</t>
  </si>
  <si>
    <t xml:space="preserve">Cohortes de profesionales</t>
  </si>
  <si>
    <t xml:space="preserve">Zhang Y et al., 2026, JAMA</t>
  </si>
  <si>
    <t xml:space="preserve">Cohortes NHS y HPFS</t>
  </si>
  <si>
    <t xml:space="preserve">131 821</t>
  </si>
  <si>
    <t xml:space="preserve">Adultos sin demencia</t>
  </si>
  <si>
    <t xml:space="preserve">Hasta 43 años</t>
  </si>
  <si>
    <t xml:space="preserve">Cuartil 4 vs 1 de café con cafeína</t>
  </si>
  <si>
    <t xml:space="preserve">Demencia incidente, cognición</t>
  </si>
  <si>
    <t xml:space="preserve">Demencia: 141 vs 330 casos por 100 000 persona-años; HR 0.82 (0.76-0.89). Declive subjetivo RP 0.85 (0.78-0.93). TICS +0.11 (0.01-0.21).</t>
  </si>
  <si>
    <t xml:space="preserve">Becas NIDDK y NINR.</t>
  </si>
  <si>
    <t xml:space="preserve">cita encontrada; cifra coincide (PMID 41661604 encontrado en Europe PMC (título y año 2026 coinciden con la fila); DOI 10.1001/jama.2025.27259 coincide)</t>
  </si>
  <si>
    <t xml:space="preserve">Huevos</t>
  </si>
  <si>
    <t xml:space="preserve">Cohorte Adventista</t>
  </si>
  <si>
    <t xml:space="preserve">Oh J et al., 2026, J Nutr</t>
  </si>
  <si>
    <t xml:space="preserve">Cohorte AHS-2 con Medicare</t>
  </si>
  <si>
    <t xml:space="preserve">39 498</t>
  </si>
  <si>
    <t xml:space="preserve">Adventistas, 2858 con Alzheimer</t>
  </si>
  <si>
    <t xml:space="preserve">15.3 años</t>
  </si>
  <si>
    <t xml:space="preserve">Frecuencia de huevos</t>
  </si>
  <si>
    <t xml:space="preserve">HR frente a no consumir: 0.83 (0.75-0.92), 0.80 (0.71-0.90) y 0.73 (0.60-0.89) para &gt;=5/semana.</t>
  </si>
  <si>
    <t xml:space="preserve">American Egg Board (beca investigator-initiated).</t>
  </si>
  <si>
    <t xml:space="preserve">cita encontrada; cifra coincide (PMID 42002260 encontrado en Europe PMC (título y año 2026 coinciden con la fila))</t>
  </si>
  <si>
    <t xml:space="preserve">PMID 42002260</t>
  </si>
  <si>
    <t xml:space="preserve">https://pubmed.ncbi.nlm.nih.gov/42002260/</t>
  </si>
  <si>
    <t xml:space="preserve">Colina</t>
  </si>
  <si>
    <t xml:space="preserve">Colina 2200 mg/día</t>
  </si>
  <si>
    <t xml:space="preserve">Colina en portadores APOE e4</t>
  </si>
  <si>
    <t xml:space="preserve">Ray WJ et al., 2026, Alzheimer's Dement (N Y)</t>
  </si>
  <si>
    <t xml:space="preserve">Fase 1 abierta</t>
  </si>
  <si>
    <t xml:space="preserve">13</t>
  </si>
  <si>
    <t xml:space="preserve">APOE e4 presintomáticos</t>
  </si>
  <si>
    <t xml:space="preserve">2200 mg/día</t>
  </si>
  <si>
    <t xml:space="preserve">LCR, plasma, lipidómica</t>
  </si>
  <si>
    <t xml:space="preserve">NfL en LCR menor; pTau181/Aβ42 y pTau217 con tendencias similares.</t>
  </si>
  <si>
    <t xml:space="preserve">Donaciones filantrópicas; autor empleado de Balchem y otro con patente.</t>
  </si>
  <si>
    <t xml:space="preserve">cita encontrada; cifra no comprobable en el resumen (PMID 42746101 encontrado en Europe PMC (título y año 2026 coinciden con la fila); NCT05880849 existe en ClinicalTrials.gov v2 (n=15, COMPLETED); resultado transcrito sin cifras; el sentido coincide con el resumen (n=13, 2200 mg/día, 6 meses))</t>
  </si>
  <si>
    <t xml:space="preserve">PMID 42746101; NCT05880849</t>
  </si>
  <si>
    <t xml:space="preserve">https://pubmed.ncbi.nlm.nih.gov/42746101/</t>
  </si>
  <si>
    <t xml:space="preserve">Aceite de oliva</t>
  </si>
  <si>
    <t xml:space="preserve">Tessier AJ et al., 2024, JAMA Netw Open</t>
  </si>
  <si>
    <t xml:space="preserve">92 383</t>
  </si>
  <si>
    <t xml:space="preserve">Adultos sanos</t>
  </si>
  <si>
    <t xml:space="preserve">28 años</t>
  </si>
  <si>
    <t xml:space="preserve">Más de 7 g/día</t>
  </si>
  <si>
    <t xml:space="preserve">Muerte por demencia</t>
  </si>
  <si>
    <t xml:space="preserve">HR 0.72 (0.64-0.81); sustituir 5 g de margarina/mayonesa por aceite de oliva: 8%-14% menos.</t>
  </si>
  <si>
    <t xml:space="preserve">Becas NIA y NHLBI.</t>
  </si>
  <si>
    <t xml:space="preserve">cita encontrada; cifra coincide (PMID 38709531 encontrado en Europe PMC (título y año 2024 coinciden con la fila))</t>
  </si>
  <si>
    <t xml:space="preserve">PMID 38709531</t>
  </si>
  <si>
    <t xml:space="preserve">https://pubmed.ncbi.nlm.nih.gov/38709531/</t>
  </si>
  <si>
    <t xml:space="preserve">Chocolate negro</t>
  </si>
  <si>
    <t xml:space="preserve">Chocolate negro más aceite de pescado</t>
  </si>
  <si>
    <t xml:space="preserve">Flavanoles del cacao</t>
  </si>
  <si>
    <t xml:space="preserve">Vauzour D et al., 2023, Am J Clin Nutr</t>
  </si>
  <si>
    <t xml:space="preserve">Placebo controlado (CANN)</t>
  </si>
  <si>
    <t xml:space="preserve">259</t>
  </si>
  <si>
    <t xml:space="preserve">DCL y deterioro subjetivo</t>
  </si>
  <si>
    <t xml:space="preserve">DHA 1.1 g + EPA 0.4 g + 500 mg flavan-3-oles</t>
  </si>
  <si>
    <t xml:space="preserve">Falsos positivos en reconocimiento</t>
  </si>
  <si>
    <t xml:space="preserve">Sin efecto en los resultados cognitivos; empeoró la función ejecutiva (113.3 vs 118.6); descenso del volumen cortical (P=0.039).</t>
  </si>
  <si>
    <t xml:space="preserve">Abbott Nutrition; conflictos de varios autores.</t>
  </si>
  <si>
    <t xml:space="preserve">cita encontrada; cifra coincide (PMID 37315924 encontrado en Europe PMC (título y año 2023 coinciden con la fila); NCT02525198 existe en ClinicalTrials.gov v2 (n=259, COMPLETED))</t>
  </si>
  <si>
    <t xml:space="preserve">PMID 37315924; NCT02525198</t>
  </si>
  <si>
    <t xml:space="preserve">https://pubmed.ncbi.nlm.nih.gov/37315924/</t>
  </si>
  <si>
    <t xml:space="preserve">Zumo de remolacha</t>
  </si>
  <si>
    <t xml:space="preserve">Zumo de remolacha rico en nitratos</t>
  </si>
  <si>
    <t xml:space="preserve">Nitratos</t>
  </si>
  <si>
    <t xml:space="preserve">Babateen AM et al., 2022, Nutrients</t>
  </si>
  <si>
    <t xml:space="preserve">Piloto simple ciego</t>
  </si>
  <si>
    <t xml:space="preserve">62</t>
  </si>
  <si>
    <t xml:space="preserve">Mayores con sobrepeso</t>
  </si>
  <si>
    <t xml:space="preserve">13 semanas</t>
  </si>
  <si>
    <t xml:space="preserve">70 mL una o dos veces/día</t>
  </si>
  <si>
    <t xml:space="preserve">Cognición y flujo cerebral</t>
  </si>
  <si>
    <t xml:space="preserve">No modificó cognición ni flujo, con ninguna dosis.</t>
  </si>
  <si>
    <t xml:space="preserve">Newcastle University y MRC; sin conflictos.</t>
  </si>
  <si>
    <t xml:space="preserve">cita encontrada; cifra no comprobable en el resumen (PMID 35268027 encontrado en Europe PMC (título y año 2022 coinciden con la fila); resultado transcrito sin cifras; el sentido coincide con el resumen (n=62, 13 semanas))</t>
  </si>
  <si>
    <t xml:space="preserve">PMID 35268027</t>
  </si>
  <si>
    <t xml:space="preserve">https://pubmed.ncbi.nlm.nih.gov/35268027/</t>
  </si>
  <si>
    <t xml:space="preserve">Ajo envejecido</t>
  </si>
  <si>
    <t xml:space="preserve">Extracto de ajo envejecido</t>
  </si>
  <si>
    <t xml:space="preserve">Ajo</t>
  </si>
  <si>
    <t xml:space="preserve">Mony T et al., 2026, Biomed Rep</t>
  </si>
  <si>
    <t xml:space="preserve">Ratones envejecidos de 82 semanas</t>
  </si>
  <si>
    <t xml:space="preserve">Dieta con extracto de ajo envejecido</t>
  </si>
  <si>
    <t xml:space="preserve">Conducta y proteómica</t>
  </si>
  <si>
    <t xml:space="preserve">Mejoras en aprendizaje, memoria, exploración y ansiedad (P&lt;0.05).</t>
  </si>
  <si>
    <t xml:space="preserve">Wakunaga Pharmaceutical y University of Missouri.</t>
  </si>
  <si>
    <t xml:space="preserve">cita encontrada; cifra coincide (PMID 41230016 encontrado en Europe PMC (título y año 2026 coinciden con la fila))</t>
  </si>
  <si>
    <t xml:space="preserve">PMID 41230016</t>
  </si>
  <si>
    <t xml:space="preserve">https://pubmed.ncbi.nlm.nih.gov/41230016/</t>
  </si>
  <si>
    <t xml:space="preserve">Miel de abeja sin aguijón</t>
  </si>
  <si>
    <t xml:space="preserve">Miel del sudeste asiático</t>
  </si>
  <si>
    <t xml:space="preserve">Shajahan SR et al., 2026, AIMS Neurosci</t>
  </si>
  <si>
    <t xml:space="preserve">Ratas con AlCl3 + D-galactosa</t>
  </si>
  <si>
    <t xml:space="preserve">63 ratas</t>
  </si>
  <si>
    <t xml:space="preserve">14 días</t>
  </si>
  <si>
    <t xml:space="preserve">500, 750, 1000 mg/kg</t>
  </si>
  <si>
    <t xml:space="preserve">Conducta, acetilcolinesterasa, histología</t>
  </si>
  <si>
    <t xml:space="preserve">Mejor exploración y aprendizaje espacial, sobre todo 750 mg/kg; menos acetilcolinesterasa.</t>
  </si>
  <si>
    <t xml:space="preserve">Beca de Management and Science University.</t>
  </si>
  <si>
    <t xml:space="preserve">cita encontrada; cifra no comprobable en el resumen (PMID 42004570 encontrado en Europe PMC (título y año 2026 coinciden con la fila); resultado transcrito sin cifras; el sentido coincide con el resumen (63 ratas, 14 días, 500/750/1000 mg/kg))</t>
  </si>
  <si>
    <t xml:space="preserve">PMID 42004570</t>
  </si>
  <si>
    <t xml:space="preserve">https://pubmed.ncbi.nlm.nih.gov/42004570/</t>
  </si>
  <si>
    <t xml:space="preserve">Natto</t>
  </si>
  <si>
    <t xml:space="preserve">Alimento fermentado japonés</t>
  </si>
  <si>
    <t xml:space="preserve">Araki Y et al., 2026, Nutr Res</t>
  </si>
  <si>
    <t xml:space="preserve">616</t>
  </si>
  <si>
    <t xml:space="preserve">Mayores japoneses</t>
  </si>
  <si>
    <t xml:space="preserve">Consumo habitual de natto</t>
  </si>
  <si>
    <t xml:space="preserve">DCL y depresión</t>
  </si>
  <si>
    <t xml:space="preserve">OR 0.63 (p=0.025) para DCL.</t>
  </si>
  <si>
    <t xml:space="preserve">cita encontrada; cifra coincide (PMID 42155412 encontrado en Europe PMC (título y año 2026 coinciden con la fila))</t>
  </si>
  <si>
    <t xml:space="preserve">PMID 42155412</t>
  </si>
  <si>
    <t xml:space="preserve">https://pubmed.ncbi.nlm.nih.gov/42155412/</t>
  </si>
  <si>
    <t xml:space="preserve">Vajilla roja (alto contraste)</t>
  </si>
  <si>
    <t xml:space="preserve">Vajilla roja de alto contraste</t>
  </si>
  <si>
    <t xml:space="preserve">Entorno</t>
  </si>
  <si>
    <t xml:space="preserve">Dunne TE et al., 2004, Clin Nutr</t>
  </si>
  <si>
    <t xml:space="preserve">Intervención A-B-A</t>
  </si>
  <si>
    <t xml:space="preserve">9</t>
  </si>
  <si>
    <t xml:space="preserve">Alzheimer avanzado</t>
  </si>
  <si>
    <t xml:space="preserve">Vajilla roja</t>
  </si>
  <si>
    <t xml:space="preserve">Ingesta de comida y líquidos</t>
  </si>
  <si>
    <t xml:space="preserve">+25% de comida y +84% de líquido; 8 de 9 aumentaron.</t>
  </si>
  <si>
    <t xml:space="preserve">Becas NIA.</t>
  </si>
  <si>
    <t xml:space="preserve">cita encontrada; cifra coincide (PMID 15297089 encontrado en Europe PMC (título y año 2004 coinciden con la fila))</t>
  </si>
  <si>
    <t xml:space="preserve">PMID 15297089</t>
  </si>
  <si>
    <t xml:space="preserve">https://pubmed.ncbi.nlm.nih.gov/15297089/</t>
  </si>
  <si>
    <t xml:space="preserve">Dieta vegana baja en grasa (Ornish)</t>
  </si>
  <si>
    <t xml:space="preserve">Estilo de vida intensivo con dieta vegana baja en grasa</t>
  </si>
  <si>
    <t xml:space="preserve">Ornish D et al., 2024, Alzheimer's Res Ther</t>
  </si>
  <si>
    <t xml:space="preserve">Fase 2 contra lista de espera</t>
  </si>
  <si>
    <t xml:space="preserve">51</t>
  </si>
  <si>
    <t xml:space="preserve">DCL o demencia temprana por EA</t>
  </si>
  <si>
    <t xml:space="preserve">Dieta vegana (10-15% grasa) y suplementos</t>
  </si>
  <si>
    <t xml:space="preserve">CGIC, CDR-SB, CDR-G, ADAS-Cog</t>
  </si>
  <si>
    <t xml:space="preserve">CGIC p=0.001; CDR-SB p=0.032; CDR-G p=0.037; ADAS-Cog p=0.053.</t>
  </si>
  <si>
    <t xml:space="preserve">ADDF y otras fundaciones.</t>
  </si>
  <si>
    <t xml:space="preserve">cita encontrada; cifra coincide (PMID 38849944 encontrado en Europe PMC (título y año 2024 coinciden con la fila); NCT04606420 existe en ClinicalTrials.gov v2 (n=51, UNKNOWN))</t>
  </si>
  <si>
    <t xml:space="preserve">PMID 38849944; NCT04606420</t>
  </si>
  <si>
    <t xml:space="preserve">https://pubmed.ncbi.nlm.nih.gov/38849944/</t>
  </si>
  <si>
    <t xml:space="preserve">Programa MEND (precursor de ReCODE)</t>
  </si>
  <si>
    <t xml:space="preserve">DCL, EA o deterioro subjetivo</t>
  </si>
  <si>
    <t xml:space="preserve">Hasta 2.5 años</t>
  </si>
  <si>
    <t xml:space="preserve">Programa personalizado</t>
  </si>
  <si>
    <t xml:space="preserve">Mejora cognitiva</t>
  </si>
  <si>
    <t xml:space="preserve">9 de 10 mejoraron.</t>
  </si>
  <si>
    <t xml:space="preserve">Sin conflictos declarados.</t>
  </si>
  <si>
    <t xml:space="preserve">cita encontrada; cifra coincide (PMID 25324467 encontrado en Europe PMC (título y año 2014 coinciden con la fila))</t>
  </si>
  <si>
    <t xml:space="preserve">PMID 25324467</t>
  </si>
  <si>
    <t xml:space="preserve">Ayuno intermitente en ratón APP/PS1</t>
  </si>
  <si>
    <t xml:space="preserve">Wu L et al., 2025, Mol Nutr Food Res</t>
  </si>
  <si>
    <t xml:space="preserve">Memoria y amiloide</t>
  </si>
  <si>
    <t xml:space="preserve">Mejoró la cognición y redujo el amiloide.</t>
  </si>
  <si>
    <t xml:space="preserve">NSFC.</t>
  </si>
  <si>
    <t xml:space="preserve">cita encontrada; cifra no comprobable en el resumen (PMID 39840463 encontrado en Europe PMC (título y año 2025 coinciden con la fila); resultado transcrito sin cifras; el sentido coincide con el resumen)</t>
  </si>
  <si>
    <t xml:space="preserve">PMID 39840463</t>
  </si>
  <si>
    <t xml:space="preserve">https://pubmed.ncbi.nlm.nih.gov/39840463/</t>
  </si>
  <si>
    <t xml:space="preserve">Aceite MCT frente a oliva</t>
  </si>
  <si>
    <t xml:space="preserve">Ensayo MCT</t>
  </si>
  <si>
    <t xml:space="preserve">Univ. Alberta</t>
  </si>
  <si>
    <t xml:space="preserve">Alzheimer 50-90 años</t>
  </si>
  <si>
    <t xml:space="preserve">Aceite MCT vs oliva</t>
  </si>
  <si>
    <t xml:space="preserve">Sin resultados en el registro.</t>
  </si>
  <si>
    <t xml:space="preserve">Universidad de Alberta.</t>
  </si>
  <si>
    <t xml:space="preserve">cita encontrada; cifra coincide (NCT04396015: n=20, MCT frente a aceite de oliva, 50-90 años, hasResults=false (coincide con la fila); ClinicalTrials.gov API v2, registro encontrado)</t>
  </si>
  <si>
    <t xml:space="preserve">NCT04396015</t>
  </si>
  <si>
    <t xml:space="preserve">https://clinicaltrials.gov/study/NCT04396015</t>
  </si>
  <si>
    <t xml:space="preserve">Aceite de oliva virgen extra Coratina</t>
  </si>
  <si>
    <t xml:space="preserve">Ensayo Bari</t>
  </si>
  <si>
    <t xml:space="preserve">Univ. Bari</t>
  </si>
  <si>
    <t xml:space="preserve">Aleatorizado triple ciego</t>
  </si>
  <si>
    <t xml:space="preserve">DCL o EA</t>
  </si>
  <si>
    <t xml:space="preserve">10 mg diarios</t>
  </si>
  <si>
    <t xml:space="preserve">MMSE y biomarcadores</t>
  </si>
  <si>
    <t xml:space="preserve">Sin resultados; estado desconocido.</t>
  </si>
  <si>
    <t xml:space="preserve">Med &amp; Food y Schena Foundation.</t>
  </si>
  <si>
    <t xml:space="preserve">cita encontrada; cifra coincide (NCT04229186: estado UNKNOWN, n=24 estimado, 10 mg diarios, hasResults=false (coincide con la fila); ClinicalTrials.gov API v2, registro encontrado)</t>
  </si>
  <si>
    <t xml:space="preserve">NCT04229186</t>
  </si>
  <si>
    <t xml:space="preserve">https://clinicaltrials.gov/study/NCT04229186</t>
  </si>
  <si>
    <t xml:space="preserve">farmacos_reposicionados</t>
  </si>
  <si>
    <t xml:space="preserve">Litio (dosis baja)</t>
  </si>
  <si>
    <t xml:space="preserve">Litio a dosis baja</t>
  </si>
  <si>
    <t xml:space="preserve">Neuroprotección GSK-3; litio en dosis subterapéuticas</t>
  </si>
  <si>
    <t xml:space="preserve">Forlenza OV et al., 2011, Br J Psychiatry</t>
  </si>
  <si>
    <t xml:space="preserve">Litio con litemia 0,25-0,5 mmol/l</t>
  </si>
  <si>
    <t xml:space="preserve">Tests cognitivos/funcionales y LCR (Aβ42, T-tau, P-tau)</t>
  </si>
  <si>
    <t xml:space="preserve">Descenso significativo de P-tau en LCR (P = 0,03); mejor rendimiento en ADAS-Cog y en tareas de atención; adherencia 91%</t>
  </si>
  <si>
    <t xml:space="preserve">Tolerabilidad global buena</t>
  </si>
  <si>
    <t xml:space="preserve">cita encontrada; cifra coincide (PMID 21525519)</t>
  </si>
  <si>
    <t xml:space="preserve">PMID 21525519 / NCT01055392 / DOI 10.1192/bjp.bp.110.080044</t>
  </si>
  <si>
    <t xml:space="preserve">https://pubmed.ncbi.nlm.nih.gov/21525519/</t>
  </si>
  <si>
    <t xml:space="preserve">Litio a microdosis (300 µg/día)</t>
  </si>
  <si>
    <t xml:space="preserve">Microdosis de litio, grupo de Nunes (Brasil)</t>
  </si>
  <si>
    <t xml:space="preserve">Nunes MA, Viel TA, Buck HS, 2013, Curr Alzheimer Res</t>
  </si>
  <si>
    <t xml:space="preserve">grupo tratado vs control</t>
  </si>
  <si>
    <t xml:space="preserve">300 µg de litio una vez al día</t>
  </si>
  <si>
    <t xml:space="preserve">El grupo tratado no bajó en MMSE; el control sí, con diferencias significativas desde el mes 3 y crecientes</t>
  </si>
  <si>
    <t xml:space="preserve">Dosis publicada: 300 µg/día de litio (microdosis) en una toma</t>
  </si>
  <si>
    <t xml:space="preserve">cita encontrada; cifra no comprobable en el resumen (PMID 22746245)</t>
  </si>
  <si>
    <t xml:space="preserve">PMID 22746245 / DOI 10.2174/1567205011310010014</t>
  </si>
  <si>
    <t xml:space="preserve">https://pubmed.ncbi.nlm.nih.gov/22746245/</t>
  </si>
  <si>
    <t xml:space="preserve">Litio a microdosis (0,25 mg/kg/día)</t>
  </si>
  <si>
    <t xml:space="preserve">Microdosis de litio, grupo de Nunes</t>
  </si>
  <si>
    <t xml:space="preserve">Nunes MA et al., 2015, PLoS One</t>
  </si>
  <si>
    <t xml:space="preserve">ratón transgénico APP, 16 u 8 meses de agua con litio</t>
  </si>
  <si>
    <t xml:space="preserve">Ratón modelo Alzheimer</t>
  </si>
  <si>
    <t xml:space="preserve">16 u 8 meses</t>
  </si>
  <si>
    <t xml:space="preserve">Carbonato de litio 0,25 mg/kg/día en agua de bebida</t>
  </si>
  <si>
    <t xml:space="preserve">Memoria, placas, pérdida neuronal, BDNF</t>
  </si>
  <si>
    <t xml:space="preserve">Los transgénicos tratados no mostraron deterioro de memoria; los tratados desde los 2 meses: menos placas, sin pérdida neuronal en corteza e hipocampo, más BDNF</t>
  </si>
  <si>
    <t xml:space="preserve">cita encontrada; cifra coincide (PMID 26605788)</t>
  </si>
  <si>
    <t xml:space="preserve">PMID 26605788 / DOI 10.1371/journal.pone.0142267</t>
  </si>
  <si>
    <t xml:space="preserve">https://pubmed.ncbi.nlm.nih.gov/26605788/</t>
  </si>
  <si>
    <t xml:space="preserve">Litio carbonato a dosis baja 2 años (LATTICE)</t>
  </si>
  <si>
    <t xml:space="preserve">Litio y deterioro cognitivo leve</t>
  </si>
  <si>
    <t xml:space="preserve">Gildengers AG et al., 2026, JAMA Neurol</t>
  </si>
  <si>
    <t xml:space="preserve">piloto doble ciego, placebo</t>
  </si>
  <si>
    <t xml:space="preserve">83 aleatorizados (41 litio, 42 placebo); 80 iniciaron</t>
  </si>
  <si>
    <t xml:space="preserve">Deterioro cognitivo leve, 60 años o más</t>
  </si>
  <si>
    <t xml:space="preserve">Carbonato de litio a dosis baja diaria</t>
  </si>
  <si>
    <t xml:space="preserve">6 coprimarios: CVLT-II recuerdo diferido, BVMT-R, PACC, volumen hipocampal, sustancia gris cortical, BDNF</t>
  </si>
  <si>
    <t xml:space="preserve">Ninguno de los 6 coprimarios alcanzó el umbral. CVLT-II: placebo -1,42 puntos/año vs litio -0,73 (diferencia 0,69/año; IC95% 0,01-1,37; P = 0,05). Sin interacciones en volúmenes</t>
  </si>
  <si>
    <t xml:space="preserve">Graves: 12/41 (29%) litio vs 9/39 (23%) placebo. Creatinina alta 29% vs 31%; diarrea 29% vs 15%; cansancio 29% vs 15%; temblor 24% vs 15%</t>
  </si>
  <si>
    <t xml:space="preserve">cita encontrada; cifra coincide (PMID 41770546)</t>
  </si>
  <si>
    <t xml:space="preserve">PMID 41770546 / NCT03185208 / DOI 10.1001/jamaneurol.2026.0072</t>
  </si>
  <si>
    <t xml:space="preserve">https://pubmed.ncbi.nlm.nih.gov/41770546/</t>
  </si>
  <si>
    <t xml:space="preserve">Litio dosis baja (reanálisis bayesiano de LATTICE)</t>
  </si>
  <si>
    <t xml:space="preserve">Reinterpretación de resultados nulos</t>
  </si>
  <si>
    <t xml:space="preserve">da Silva AMP et al., 2026, Am J Geriatr Psychiatry</t>
  </si>
  <si>
    <t xml:space="preserve">reanálisis bayesiano de datos agregados</t>
  </si>
  <si>
    <t xml:space="preserve">Datos de LATTICE</t>
  </si>
  <si>
    <t xml:space="preserve">Probabilidad de beneficio por resultado</t>
  </si>
  <si>
    <t xml:space="preserve">CVLT-II recuerdo diferido: efecto 0,38 DE (IC creíble 95% -0,03 a 0,80), 96,5% probabilidad de beneficio; diferencia bruta 1,47 puntos (0,18-2,75); 0,69 puntos/año (0,02-1,35). BVMT-R cerca de nulo</t>
  </si>
  <si>
    <t xml:space="preserve">Sin señal robusta de seguridad según los autores</t>
  </si>
  <si>
    <t xml:space="preserve">cita encontrada; cifra coincide (PMID 42521537)</t>
  </si>
  <si>
    <t xml:space="preserve">PMID 42521537 / DOI 10.1016/j.jagp.2026.06.014</t>
  </si>
  <si>
    <t xml:space="preserve">https://europepmc.org/article/MED/42521537</t>
  </si>
  <si>
    <t xml:space="preserve">Litio (agua de grifo)</t>
  </si>
  <si>
    <t xml:space="preserve">Litio en agua de grifo</t>
  </si>
  <si>
    <t xml:space="preserve">Epidemiología de litio ambiental</t>
  </si>
  <si>
    <t xml:space="preserve">Kessing LV et al., 2017, JAMA Psychiatry</t>
  </si>
  <si>
    <t xml:space="preserve">caso-control anidado nacional, Dinamarca</t>
  </si>
  <si>
    <t xml:space="preserve">73.731 casos de demencia y 733.653 controles</t>
  </si>
  <si>
    <t xml:space="preserve">Población general 50-90 años</t>
  </si>
  <si>
    <t xml:space="preserve">Exposición desde 1986</t>
  </si>
  <si>
    <t xml:space="preserve">Litio en agua mediana 11,5 µg/L (demencia) vs 12,2 (controles)</t>
  </si>
  <si>
    <t xml:space="preserve">Frente a 2,0-5,0 µg/L: IRR 0,83 (0,81-0,85) con más de 15 µg/L; 0,98 (0,96-1,01) con 10,1-15; 1,22 (1,19-1,25) con 5,1-10. Asociación no lineal; patrón similar para Alzheimer</t>
  </si>
  <si>
    <t xml:space="preserve">Los autores indican que no se descarta confundido por municipio</t>
  </si>
  <si>
    <t xml:space="preserve">cita encontrada; cifra coincide (PMID 28832877)</t>
  </si>
  <si>
    <t xml:space="preserve">PMID 28832877 / DOI 10.1001/jamapsychiatry.2017.2362</t>
  </si>
  <si>
    <t xml:space="preserve">https://pubmed.ncbi.nlm.nih.gov/28832877/</t>
  </si>
  <si>
    <t xml:space="preserve">Litio (uso clínico)</t>
  </si>
  <si>
    <t xml:space="preserve">Litio en trastorno bipolar</t>
  </si>
  <si>
    <t xml:space="preserve">Registros daneses</t>
  </si>
  <si>
    <t xml:space="preserve">Kessing LV, Forman JL, Andersen PK, 2010, Bipolar Disord</t>
  </si>
  <si>
    <t xml:space="preserve">cohorte de registros</t>
  </si>
  <si>
    <t xml:space="preserve">4.856 pacientes (2.449 con litio)</t>
  </si>
  <si>
    <t xml:space="preserve">Manía o bipolar</t>
  </si>
  <si>
    <t xml:space="preserve">1995-2005</t>
  </si>
  <si>
    <t xml:space="preserve">Prescripciones de litio</t>
  </si>
  <si>
    <t xml:space="preserve">Tasa de demencia</t>
  </si>
  <si>
    <t xml:space="preserve">Tras la segunda prescripción de litio la tasa de demencia bajó respecto a la primera; con anticonvulsivos, antidepresivos o antipsicóticos no hubo descenso significativo. 216 diagnósticos de demencia</t>
  </si>
  <si>
    <t xml:space="preserve">cita encontrada; cifra coincide (PMID 20148870)</t>
  </si>
  <si>
    <t xml:space="preserve">PMID 20148870 / DOI 10.1111/j.1399-5618.2009.00788.x</t>
  </si>
  <si>
    <t xml:space="preserve">https://pubmed.ncbi.nlm.nih.gov/20148870/</t>
  </si>
  <si>
    <t xml:space="preserve">Orotato de litio</t>
  </si>
  <si>
    <t xml:space="preserve">Hipótesis de repleción de litio (Yankner)</t>
  </si>
  <si>
    <t xml:space="preserve">Aron L et al., 2025, Nature</t>
  </si>
  <si>
    <t xml:space="preserve">dieta deplecionada y reposición en ratones; cerebros postmortem</t>
  </si>
  <si>
    <t xml:space="preserve">Cerebro humano MCI/Alzheimer y ratones</t>
  </si>
  <si>
    <t xml:space="preserve">Orotato de litio (sal que se une menos a amiloide)</t>
  </si>
  <si>
    <t xml:space="preserve">Metales en cerebro; amiloide, tau, memoria</t>
  </si>
  <si>
    <t xml:space="preserve">El litio fue el único metal significativamente reducido en MCI. Reducir el litio cortical ~50% aumentó amiloide-β y fosfo-tau y aceleró el deterioro; el orotato previno cambios patológicos y pérdida de memoria en ratones</t>
  </si>
  <si>
    <t xml:space="preserve">Autores declaran no tener conflictos; subvenciones NIA (P30 AG072975, U01 AG046152...)</t>
  </si>
  <si>
    <t xml:space="preserve">cita encontrada; cifra coincide (PMID 40770094)</t>
  </si>
  <si>
    <t xml:space="preserve">PMID 40770094 / DOI 10.1038/s41586-025-09335-x</t>
  </si>
  <si>
    <t xml:space="preserve">https://pubmed.ncbi.nlm.nih.gov/40770094/</t>
  </si>
  <si>
    <t xml:space="preserve">Litio + divalproato</t>
  </si>
  <si>
    <t xml:space="preserve">Litio con divalproato (LCR tau)</t>
  </si>
  <si>
    <t xml:space="preserve">Ensayo registrado</t>
  </si>
  <si>
    <t xml:space="preserve">NINDS, NCT00088387</t>
  </si>
  <si>
    <t xml:space="preserve">comparación litio y divalproato sobre tau en LCR</t>
  </si>
  <si>
    <t xml:space="preserve">35</t>
  </si>
  <si>
    <t xml:space="preserve">2004-2005</t>
  </si>
  <si>
    <t xml:space="preserve">Tau alterada en LCR</t>
  </si>
  <si>
    <t xml:space="preserve">Estado COMPLETED, sin resultados publicados en ClinicalTrials.gov</t>
  </si>
  <si>
    <t xml:space="preserve">Patrocinador: NINDS</t>
  </si>
  <si>
    <t xml:space="preserve">cita encontrada; cifra coincide (NCT00088387)</t>
  </si>
  <si>
    <t xml:space="preserve">NCT00088387</t>
  </si>
  <si>
    <t xml:space="preserve">https://clinicaltrials.gov/study/NCT00088387</t>
  </si>
  <si>
    <t xml:space="preserve">NanoLithium NP03</t>
  </si>
  <si>
    <t xml:space="preserve">Litio nanoemulsión</t>
  </si>
  <si>
    <t xml:space="preserve">Medesis Pharma, NCT05423522</t>
  </si>
  <si>
    <t xml:space="preserve">aleatorizado placebo</t>
  </si>
  <si>
    <t xml:space="preserve">3 mL/día (1,8 mg/día de litio) en depósito sublingual</t>
  </si>
  <si>
    <t xml:space="preserve">Patrocinador: Medesis Pharma SA</t>
  </si>
  <si>
    <t xml:space="preserve">Registro: 3 mL al día, 1,8 mg/día</t>
  </si>
  <si>
    <t xml:space="preserve">cita encontrada; cifra coincide (NCT05423522)</t>
  </si>
  <si>
    <t xml:space="preserve">Agua de litio (termal)</t>
  </si>
  <si>
    <t xml:space="preserve">Agua de litio (termal) con estimulación magnética</t>
  </si>
  <si>
    <t xml:space="preserve">Termalismo</t>
  </si>
  <si>
    <t xml:space="preserve">American Society Of Thermalism And Climatology, NCT02204969</t>
  </si>
  <si>
    <t xml:space="preserve">cruzado, 4 semanas agua activa y 4 placebo</t>
  </si>
  <si>
    <t xml:space="preserve">2015</t>
  </si>
  <si>
    <t xml:space="preserve">Agua de manantial con litio</t>
  </si>
  <si>
    <t xml:space="preserve">Estado UNKNOWN, sin resultados. El resumen del registro afirma regresión de más de 60% de los pacientes con terapia termal, campos magnéticos y ozono</t>
  </si>
  <si>
    <t xml:space="preserve">Patrocinador: American Society Of Thermalism And Climatology</t>
  </si>
  <si>
    <t xml:space="preserve">cita encontrada; cifra coincide (NCT02204969)</t>
  </si>
  <si>
    <t xml:space="preserve">NCT02204969</t>
  </si>
  <si>
    <t xml:space="preserve">https://clinicaltrials.gov/study/NCT02204969</t>
  </si>
  <si>
    <t xml:space="preserve">Reposicionamiento antidiabético</t>
  </si>
  <si>
    <t xml:space="preserve">Luchsinger JA et al., 2016, J Alzheimers Dis</t>
  </si>
  <si>
    <t xml:space="preserve">Deterioro cognitivo leve amnésico, sobrepeso, sin diabetes</t>
  </si>
  <si>
    <t xml:space="preserve">1000 mg dos veces al día</t>
  </si>
  <si>
    <t xml:space="preserve">Recuerdo total SRT, ADAS-Cog, FDG-PET</t>
  </si>
  <si>
    <t xml:space="preserve">Recuerdo total SRT a favor de metformina (9,7±8,5 vs 5,3±8,5; p = 0,02). Resto no significativo</t>
  </si>
  <si>
    <t xml:space="preserve">7,5% no la toleró (digestivos); solo 10% toleró dosis máxima; sin graves relacionados</t>
  </si>
  <si>
    <t xml:space="preserve">Subvenciones NIA R01 AG026413; NCRR UL1 RR024156</t>
  </si>
  <si>
    <t xml:space="preserve">Dosis del ensayo 1000 mg dos veces al día; el 35% toleró 1000 mg/día</t>
  </si>
  <si>
    <t xml:space="preserve">Metformina genérica, coste bajo</t>
  </si>
  <si>
    <t xml:space="preserve">PMID 26890736 / NCT00620191</t>
  </si>
  <si>
    <t xml:space="preserve">Metformina (ensayo MAP)</t>
  </si>
  <si>
    <t xml:space="preserve">Prevención</t>
  </si>
  <si>
    <t xml:space="preserve">Luchsinger JA et al., 2025, Alzheimer Dis Assoc Disord (protocolo) / NCT04098666</t>
  </si>
  <si>
    <t xml:space="preserve">fase II/III placebo</t>
  </si>
  <si>
    <t xml:space="preserve">326 previstos</t>
  </si>
  <si>
    <t xml:space="preserve">aMCI sin diabetes, 55-90 años</t>
  </si>
  <si>
    <t xml:space="preserve">Metformina de liberación prolongada</t>
  </si>
  <si>
    <t xml:space="preserve">Recuerdo total FCSRT y biomarcadores</t>
  </si>
  <si>
    <t xml:space="preserve">Activo, sin resultados publicados; finalización prevista 2027-04-30</t>
  </si>
  <si>
    <t xml:space="preserve">Columbia University</t>
  </si>
  <si>
    <t xml:space="preserve">cita encontrada; cifra coincide (NCT04098666)</t>
  </si>
  <si>
    <t xml:space="preserve">NCT04098666 / DOI 10.1097/wad.0000000000000677</t>
  </si>
  <si>
    <t xml:space="preserve">https://clinicaltrials.gov/study/NCT04098666</t>
  </si>
  <si>
    <t xml:space="preserve">Metformina + otros antidiabéticos</t>
  </si>
  <si>
    <t xml:space="preserve">Cohorte de historiales</t>
  </si>
  <si>
    <t xml:space="preserve">Nasir AB et al., 2026, PLoS One</t>
  </si>
  <si>
    <t xml:space="preserve">cohorte retrospectiva TriNetX</t>
  </si>
  <si>
    <t xml:space="preserve">1.528.885</t>
  </si>
  <si>
    <t xml:space="preserve">Diabetes tipo 2, 40-69 años</t>
  </si>
  <si>
    <t xml:space="preserve">2010-2024</t>
  </si>
  <si>
    <t xml:space="preserve">Metformina sola como referencia</t>
  </si>
  <si>
    <t xml:space="preserve">Deterioro leve, Alzheimer, demencia vascular</t>
  </si>
  <si>
    <t xml:space="preserve">GLP-1 + metformina: Alzheimer HR 0,46 (0,31-0,70); insulina sola: deterioro leve HR 1,71 (1,56-1,87)</t>
  </si>
  <si>
    <t xml:space="preserve">cita encontrada; cifra coincide (PMID 42636218)</t>
  </si>
  <si>
    <t xml:space="preserve">PMID 42636218 / DOI 10.1371/journal.pone.0356138</t>
  </si>
  <si>
    <t xml:space="preserve">https://europepmc.org/article/MED/42636218</t>
  </si>
  <si>
    <t xml:space="preserve">Metformina, pioglitazona, insulina</t>
  </si>
  <si>
    <t xml:space="preserve">Yu Y et al., 2026, Front Endocrinol</t>
  </si>
  <si>
    <t xml:space="preserve">metaanálisis bayesiano en red, 28 artículos</t>
  </si>
  <si>
    <t xml:space="preserve">4.382.897</t>
  </si>
  <si>
    <t xml:space="preserve">Diabetes, demencia</t>
  </si>
  <si>
    <t xml:space="preserve">Riesgo de demencia</t>
  </si>
  <si>
    <t xml:space="preserve">Frente a placebo: metformina OR 0,79 (CrI 0,77-0,81); pioglitazona OR 0,69 (0,56-0,86); insulina OR 0,11 (0,10-0,12)</t>
  </si>
  <si>
    <t xml:space="preserve">cita encontrada; cifra coincide (PMID 42064764)</t>
  </si>
  <si>
    <t xml:space="preserve">PMID 42064764 / PROSPERO CRD420251172386</t>
  </si>
  <si>
    <t xml:space="preserve">https://europepmc.org/article/MED/42064764</t>
  </si>
  <si>
    <t xml:space="preserve">Nilotinib</t>
  </si>
  <si>
    <t xml:space="preserve">Nilotinib 150 mg y luego 300 mg</t>
  </si>
  <si>
    <t xml:space="preserve">Reposicionamiento oncológico, Georgetown</t>
  </si>
  <si>
    <t xml:space="preserve">Turner RS et al., 2020, Ann Neurol</t>
  </si>
  <si>
    <t xml:space="preserve">fase 2 placebo</t>
  </si>
  <si>
    <t xml:space="preserve">37</t>
  </si>
  <si>
    <t xml:space="preserve">150 mg/día 26 semanas, luego 300 mg</t>
  </si>
  <si>
    <t xml:space="preserve">Seguridad, LCR, amiloide PET</t>
  </si>
  <si>
    <t xml:space="preserve">Amiloide frontal reducido vs placebo; Aβ40 LCR bajó a 6 meses y Aβ42 a 12; pérdida de hipocampo atenuada (-27%); p-tau181 bajó a 6 y 12 meses</t>
  </si>
  <si>
    <t xml:space="preserve">Bien tolerado; más eventos, sobre todo cambios de humor, con 300 mg</t>
  </si>
  <si>
    <t xml:space="preserve">Un autor es inventor de patentes de nilotinib (Georgetown), licencias a Axovant y KeifeRx</t>
  </si>
  <si>
    <t xml:space="preserve">cita encontrada; cifra coincide (PMID 32468646)</t>
  </si>
  <si>
    <t xml:space="preserve">PMID 32468646 / NCT02947893 / DOI 10.1002/ana.25775</t>
  </si>
  <si>
    <t xml:space="preserve">https://pubmed.ncbi.nlm.nih.gov/32468646/</t>
  </si>
  <si>
    <t xml:space="preserve">Nilotinib en rata</t>
  </si>
  <si>
    <t xml:space="preserve">Modelo escopolamina</t>
  </si>
  <si>
    <t xml:space="preserve">Kumar A et al., 2026, revista según DOI 10.1177/09727531.. (no verificada)</t>
  </si>
  <si>
    <t xml:space="preserve">30 ratas Wistar, 5 grupos</t>
  </si>
  <si>
    <t xml:space="preserve">Rata modelo Alzheimer</t>
  </si>
  <si>
    <t xml:space="preserve">21 días de tratamiento</t>
  </si>
  <si>
    <t xml:space="preserve">Nilotinib 10 mg/kg oral</t>
  </si>
  <si>
    <t xml:space="preserve">Latencia, AChE, Aβ1-42, PARK-7</t>
  </si>
  <si>
    <t xml:space="preserve">Nilotinib redujo latencias en laberintos frente a escopolamina</t>
  </si>
  <si>
    <t xml:space="preserve">cita encontrada; cifra coincide (PMID 42774443)</t>
  </si>
  <si>
    <t xml:space="preserve">PMID 42774443 / DOI 10.1177/09727531261470562</t>
  </si>
  <si>
    <t xml:space="preserve">https://europepmc.org/article/MED/42774443</t>
  </si>
  <si>
    <t xml:space="preserve">Bexaroteno</t>
  </si>
  <si>
    <t xml:space="preserve">Agonista RXR</t>
  </si>
  <si>
    <t xml:space="preserve">Cummings JL et al., 2016, Alzheimers Res Ther</t>
  </si>
  <si>
    <t xml:space="preserve">prueba de concepto placebo</t>
  </si>
  <si>
    <t xml:space="preserve">Alzheimer moderado (MMSE 10-20)</t>
  </si>
  <si>
    <t xml:space="preserve">Amiloide por florbetapir</t>
  </si>
  <si>
    <t xml:space="preserve">Sin cambio global; en no portadores ApoE4 reducción de amiloide en 5 de 6 regiones; sin cambio clínico consistente</t>
  </si>
  <si>
    <t xml:space="preserve">Triglicéridos séricos elevados; los autores dicen que no debe darse fuera de investigación</t>
  </si>
  <si>
    <t xml:space="preserve">Subvención NIGMS P20 GM109025</t>
  </si>
  <si>
    <t xml:space="preserve">cita encontrada; cifra no comprobable en el resumen (PMID 26822146)</t>
  </si>
  <si>
    <t xml:space="preserve">PMID 26822146 / NCT01782742 / DOI 10.1186/s13195-016-0173-2</t>
  </si>
  <si>
    <t xml:space="preserve">https://pubmed.ncbi.nlm.nih.gov/26822146/</t>
  </si>
  <si>
    <t xml:space="preserve">Ghosal K et al., 2016, Alzheimers Dement (NY)</t>
  </si>
  <si>
    <t xml:space="preserve">fase Ib, placebo</t>
  </si>
  <si>
    <t xml:space="preserve">Sanos APOE3/3</t>
  </si>
  <si>
    <t xml:space="preserve">3 días</t>
  </si>
  <si>
    <t xml:space="preserve">Bexaroteno oral</t>
  </si>
  <si>
    <t xml:space="preserve">ApoE y Aβ en LCR</t>
  </si>
  <si>
    <t xml:space="preserve">ApoE en LCR +25%; sin efecto en metabolismo de Aβ; niveles en LCR de nM bajos frente a 1-2 µM en plasma</t>
  </si>
  <si>
    <t xml:space="preserve">cita encontrada; cifra no comprobable en el resumen (PMID 29067298)</t>
  </si>
  <si>
    <t xml:space="preserve">PMID 29067298 / NCT02061878</t>
  </si>
  <si>
    <t xml:space="preserve">https://pubmed.ncbi.nlm.nih.gov/29067298/</t>
  </si>
  <si>
    <t xml:space="preserve">Bexaroteno en ratón viejo</t>
  </si>
  <si>
    <t xml:space="preserve">Muñoz-Cabrera JM et al., 2019, PLoS One</t>
  </si>
  <si>
    <t xml:space="preserve">3xTg-AD de 24 meses</t>
  </si>
  <si>
    <t xml:space="preserve">Ratón</t>
  </si>
  <si>
    <t xml:space="preserve">100 mg/kg/día</t>
  </si>
  <si>
    <t xml:space="preserve">Morris, gliosis, ApoE, plasticidad</t>
  </si>
  <si>
    <t xml:space="preserve">Mejora cognitiva, menos astrogliosis y microglía reactiva, recuperación de transmisión sináptica</t>
  </si>
  <si>
    <t xml:space="preserve">Colciencias</t>
  </si>
  <si>
    <t xml:space="preserve">cita encontrada; cifra coincide (PMID 31596896)</t>
  </si>
  <si>
    <t xml:space="preserve">PMID 31596896 / DOI 10.1371/journal.pone.0223578</t>
  </si>
  <si>
    <t xml:space="preserve">https://pubmed.ncbi.nlm.nih.gov/31596896/</t>
  </si>
  <si>
    <t xml:space="preserve">Sildenafilo</t>
  </si>
  <si>
    <t xml:space="preserve">Reposicionamiento por red y registros de seguros</t>
  </si>
  <si>
    <t xml:space="preserve">Fang J et al., 2021, Nat Aging</t>
  </si>
  <si>
    <t xml:space="preserve">caso-control en 7,23 millones y neuronas iPSC</t>
  </si>
  <si>
    <t xml:space="preserve">7.230.000</t>
  </si>
  <si>
    <t xml:space="preserve">Población con seguro</t>
  </si>
  <si>
    <t xml:space="preserve">Uso de sildenafilo</t>
  </si>
  <si>
    <t xml:space="preserve">Riesgo de Alzheimer; tau en neuronas</t>
  </si>
  <si>
    <t xml:space="preserve">Riesgo de Alzheimer -69% (HR 0,31; IC95% 0,25-0,39; P&lt;1,0e-8); neuritas aumentan y fosfo-tau disminuye en neuronas</t>
  </si>
  <si>
    <t xml:space="preserve">Cummings declara consultorías con numerosas farmacéuticas; subvenciones NIA</t>
  </si>
  <si>
    <t xml:space="preserve">cita encontrada; cifra coincide (PMID 35572351)</t>
  </si>
  <si>
    <t xml:space="preserve">PMID 35572351 / DOI 10.1038/s43587-021-00138-z</t>
  </si>
  <si>
    <t xml:space="preserve">https://pubmed.ncbi.nlm.nih.gov/35572351/</t>
  </si>
  <si>
    <t xml:space="preserve">Sildenafilo / inhibidores PDE5</t>
  </si>
  <si>
    <t xml:space="preserve">Chua WY et al., 2025, Aging</t>
  </si>
  <si>
    <t xml:space="preserve">metaanálisis de 5 estudios</t>
  </si>
  <si>
    <t xml:space="preserve">885.380</t>
  </si>
  <si>
    <t xml:space="preserve">Riesgo de Alzheimer</t>
  </si>
  <si>
    <t xml:space="preserve">HR 0,47 (0,27-0,82; p&lt;0,001); PDE5: RR 0,55 (0,38-0,80)</t>
  </si>
  <si>
    <t xml:space="preserve">cita encontrada; cifra coincide (PMID 40096550)</t>
  </si>
  <si>
    <t xml:space="preserve">PMID 40096550 / DOI 10.18632/aging.206222</t>
  </si>
  <si>
    <t xml:space="preserve">https://pubmed.ncbi.nlm.nih.gov/40096550/</t>
  </si>
  <si>
    <t xml:space="preserve">Bumetanida</t>
  </si>
  <si>
    <t xml:space="preserve">APOE4</t>
  </si>
  <si>
    <t xml:space="preserve">Taubes A et al., 2021, Nat Aging</t>
  </si>
  <si>
    <t xml:space="preserve">cribado computacional, ratones apoE4 y registros</t>
  </si>
  <si>
    <t xml:space="preserve">Ratones y mayores de 65</t>
  </si>
  <si>
    <t xml:space="preserve">Electrofisiología, patología, cognición, prevalencia</t>
  </si>
  <si>
    <t xml:space="preserve">Rescate de déficits en ratones; menor prevalencia de Alzheimer en dos historiales electrónicos</t>
  </si>
  <si>
    <t xml:space="preserve">Huang cofundador de empresas; patente pendiente (autores inventores)</t>
  </si>
  <si>
    <t xml:space="preserve">cita encontrada; cifra no comprobable en el resumen (PMID 36172600)</t>
  </si>
  <si>
    <t xml:space="preserve">PMID 36172600 / DOI 10.1038/s43587-021-00122-7</t>
  </si>
  <si>
    <t xml:space="preserve">https://pubmed.ncbi.nlm.nih.gov/36172600/</t>
  </si>
  <si>
    <t xml:space="preserve">Doxiciclina y rifampicina</t>
  </si>
  <si>
    <t xml:space="preserve">Antibióticos</t>
  </si>
  <si>
    <t xml:space="preserve">Molloy DW et al., 2013, Int J Geriatr Psychiatry</t>
  </si>
  <si>
    <t xml:space="preserve">factorial 2x2, DARAD</t>
  </si>
  <si>
    <t xml:space="preserve">Doxiciclina 100 mg dos veces + rifampicina 300 mg/día</t>
  </si>
  <si>
    <t xml:space="preserve">SADAS-cog, CDR-SB</t>
  </si>
  <si>
    <t xml:space="preserve">SADAS-cog empeoró con cada fármaco solos frente a placebo; juntos sin diferencia significativa; CDR-SB sin efectos</t>
  </si>
  <si>
    <t xml:space="preserve">CIHR FRN 79779</t>
  </si>
  <si>
    <t xml:space="preserve">cita encontrada; cifra no comprobable en el resumen (PMID 22718435)</t>
  </si>
  <si>
    <t xml:space="preserve">PMID 22718435 / DOI 10.1002/gps.3846</t>
  </si>
  <si>
    <t xml:space="preserve">Antibiótico antiinflamatorio</t>
  </si>
  <si>
    <t xml:space="preserve">Howard R et al., 2020, JAMA Neurol</t>
  </si>
  <si>
    <t xml:space="preserve">tres brazos, placebo</t>
  </si>
  <si>
    <t xml:space="preserve">554 aleatorizados, 544 elegibles</t>
  </si>
  <si>
    <t xml:space="preserve">400 mg/día o 200 mg/día</t>
  </si>
  <si>
    <t xml:space="preserve">sMMSE, BADLS</t>
  </si>
  <si>
    <t xml:space="preserve">Caída sMMSE 4,1 (minociclina) vs 4,3 (placebo); diferencia 0,1 (IC -1,1 a 1,2; P = 0,90). BADLS: efecto -0,53 (-2,4 a 1,3)</t>
  </si>
  <si>
    <t xml:space="preserve">Completaron 28,8% (400 mg), 61,9% (200 mg), 63,7% (placebo); digestivos, piel y mareo</t>
  </si>
  <si>
    <t xml:space="preserve">MRC MC_PC_13091; NIHR</t>
  </si>
  <si>
    <t xml:space="preserve">PMID 31738372 / DOI 10.1001/jamaneurol.2019.3762</t>
  </si>
  <si>
    <t xml:space="preserve">Masitinib</t>
  </si>
  <si>
    <t xml:space="preserve">Masitinib 4,5 mg/kg/día</t>
  </si>
  <si>
    <t xml:space="preserve">Tirosina quinasa, mastocitos</t>
  </si>
  <si>
    <t xml:space="preserve">Dubois B et al., 2023, Alzheimers Res Ther</t>
  </si>
  <si>
    <t xml:space="preserve">fase 3 placebo</t>
  </si>
  <si>
    <t xml:space="preserve">358 en el grupo principal (182 y 176)</t>
  </si>
  <si>
    <t xml:space="preserve">Alzheimer leve-moderado, con IACE y/o memantina</t>
  </si>
  <si>
    <t xml:space="preserve">4,5 mg/kg/día</t>
  </si>
  <si>
    <t xml:space="preserve">ADAS-cog, ADCS-ADL</t>
  </si>
  <si>
    <t xml:space="preserve">ADAS-cog -1,46 vs +0,69; diferencia -2,15 (IC97,5% -3,48 a -0,81; p&lt;0,001). ADCS-ADL diferencia 1,82 (-0,15 a 3,79; p=0,038). Grupo 6 mg/kg inconcluso</t>
  </si>
  <si>
    <t xml:space="preserve">Exantema maculopapular, neutropenia, hipoalbuminemia</t>
  </si>
  <si>
    <t xml:space="preserve">Financiado por AB Science, que desarrolla masitinib; tres autores son empleados y accionistas</t>
  </si>
  <si>
    <t xml:space="preserve">cita encontrada; cifra coincide (PMID 36849969)</t>
  </si>
  <si>
    <t xml:space="preserve">PMID 36849969 / NCT01872598 / EudraCT 2010-021218-50</t>
  </si>
  <si>
    <t xml:space="preserve">https://pubmed.ncbi.nlm.nih.gov/36849969/</t>
  </si>
  <si>
    <t xml:space="preserve">Tirosina quinasa</t>
  </si>
  <si>
    <t xml:space="preserve">Piette F et al., 2011, Alzheimers Res Ther</t>
  </si>
  <si>
    <t xml:space="preserve">fase 2</t>
  </si>
  <si>
    <t xml:space="preserve">34 (26 masitinib, 8 placebo)</t>
  </si>
  <si>
    <t xml:space="preserve">3 o 6 mg/kg/día</t>
  </si>
  <si>
    <t xml:space="preserve">Declive ADAS-Cog &gt;4 puntos: 6% vs 50% (P = 0,040 y 0,046)</t>
  </si>
  <si>
    <t xml:space="preserve">Eventos 65% vs 38%</t>
  </si>
  <si>
    <t xml:space="preserve">cita encontrada; cifra coincide (PMID 21504563)</t>
  </si>
  <si>
    <t xml:space="preserve">PMID 21504563 / DOI 10.1186/alzrt75</t>
  </si>
  <si>
    <t xml:space="preserve">https://pubmed.ncbi.nlm.nih.gov/21504563/</t>
  </si>
  <si>
    <t xml:space="preserve">GV-971</t>
  </si>
  <si>
    <t xml:space="preserve">GV-971 (oligomanato sódico)</t>
  </si>
  <si>
    <t xml:space="preserve">Aprobado en China, eje intestino-cerebro</t>
  </si>
  <si>
    <t xml:space="preserve">Wang X et al., 2019, Cell Res</t>
  </si>
  <si>
    <t xml:space="preserve">ratones, cohortes MCI</t>
  </si>
  <si>
    <t xml:space="preserve">Ratón; 2 cohortes pequeñas</t>
  </si>
  <si>
    <t xml:space="preserve">Microbiota, fenilalanina/isoleucina, Th1</t>
  </si>
  <si>
    <t xml:space="preserve">GV-971 suprime disbiosis y acumulación de fenilalanina/isoleucina, reduce neuroinflamación y revierte el deterioro cognitivo en ratón</t>
  </si>
  <si>
    <t xml:space="preserve">Varios autores son empleados de Shanghai Green Valley</t>
  </si>
  <si>
    <t xml:space="preserve">cita encontrada; cifra no comprobable en el resumen (PMID 31488882)</t>
  </si>
  <si>
    <t xml:space="preserve">PMID 31488882 / DOI 10.1038/s41422-019-0216-x</t>
  </si>
  <si>
    <t xml:space="preserve">https://pubmed.ncbi.nlm.nih.gov/31488882/</t>
  </si>
  <si>
    <t xml:space="preserve">Aprobado en China</t>
  </si>
  <si>
    <t xml:space="preserve">Xiao S et al., 2021, Alzheimers Res Ther</t>
  </si>
  <si>
    <t xml:space="preserve">818 (408 y 410)</t>
  </si>
  <si>
    <t xml:space="preserve">36 semanas</t>
  </si>
  <si>
    <t xml:space="preserve">900 mg</t>
  </si>
  <si>
    <t xml:space="preserve">ADAS-Cog12</t>
  </si>
  <si>
    <t xml:space="preserve">Diferencia -2,15 puntos (IC95% -3,07 a -1,23; p&lt;0,0001; efecto 0,531)</t>
  </si>
  <si>
    <t xml:space="preserve">Eventos 73,9% vs 75,4%; dos muertes en el grupo GV-971 no atribuidas</t>
  </si>
  <si>
    <t xml:space="preserve">Empleados de Green Valley; consultorías de varias farmacéuticas</t>
  </si>
  <si>
    <t xml:space="preserve">cita encontrada; cifra coincide (PMID 33731209)</t>
  </si>
  <si>
    <t xml:space="preserve">PMID 33731209 / NCT02293915</t>
  </si>
  <si>
    <t xml:space="preserve">https://pubmed.ncbi.nlm.nih.gov/33731209/</t>
  </si>
  <si>
    <t xml:space="preserve">Latrepirdina (Dimebon)</t>
  </si>
  <si>
    <t xml:space="preserve">Dimebon (latrepirdina)</t>
  </si>
  <si>
    <t xml:space="preserve">Antihistamínico ruso</t>
  </si>
  <si>
    <t xml:space="preserve">Doody RS et al., 2008, Lancet</t>
  </si>
  <si>
    <t xml:space="preserve">doble ciego, 11 centros en Rusia</t>
  </si>
  <si>
    <t xml:space="preserve">183</t>
  </si>
  <si>
    <t xml:space="preserve">20 mg tres veces/día</t>
  </si>
  <si>
    <t xml:space="preserve">Diferencia fármaco-placebo -4,0 (IC95% -5,73 a -2,28; p&lt;0,0001)</t>
  </si>
  <si>
    <t xml:space="preserve">Boca seca y depresión 14% cada uno</t>
  </si>
  <si>
    <t xml:space="preserve">Subvención NIA P30 AG066514</t>
  </si>
  <si>
    <t xml:space="preserve">cita encontrada; cifra coincide (PMID 18640457)</t>
  </si>
  <si>
    <t xml:space="preserve">PMID 18640457 / NCT00377715</t>
  </si>
  <si>
    <t xml:space="preserve">https://pubmed.ncbi.nlm.nih.gov/18640457/</t>
  </si>
  <si>
    <t xml:space="preserve">Latrepirdina DMB-I</t>
  </si>
  <si>
    <t xml:space="preserve">Polimorfo ruso</t>
  </si>
  <si>
    <t xml:space="preserve">Gorin BI et al., 2026, Sci Rep</t>
  </si>
  <si>
    <t xml:space="preserve">3 grupos paralelos</t>
  </si>
  <si>
    <t xml:space="preserve">135</t>
  </si>
  <si>
    <t xml:space="preserve">Alzheimer leve-moderado, 60-90 años</t>
  </si>
  <si>
    <t xml:space="preserve">30 mg/día o 60 mg/día</t>
  </si>
  <si>
    <t xml:space="preserve">ADAS-cog, MMSE-2, QOL-AD, CGI, IADL</t>
  </si>
  <si>
    <t xml:space="preserve">Mejora de ADAS-cog con 60 mg/día; ADAS-cog, CGI e IADL mejoraron con ambas dosis frente a placebo</t>
  </si>
  <si>
    <t xml:space="preserve">Incidencia similar entre grupos</t>
  </si>
  <si>
    <t xml:space="preserve">Registrado retrospectivamente NCT06292351</t>
  </si>
  <si>
    <t xml:space="preserve">cita encontrada; cifra coincide (PMID 42141012)</t>
  </si>
  <si>
    <t xml:space="preserve">PMID 42141012 / NCT06292351</t>
  </si>
  <si>
    <t xml:space="preserve">https://europepmc.org/article/MED/42141012</t>
  </si>
  <si>
    <t xml:space="preserve">Simvastatina</t>
  </si>
  <si>
    <t xml:space="preserve">Sano M et al., 2011, Neurology</t>
  </si>
  <si>
    <t xml:space="preserve">20 mg 6 semanas, luego 40 mg</t>
  </si>
  <si>
    <t xml:space="preserve">Colesterol bajó pero sin efecto en ADAS-Cog ni en secundarios</t>
  </si>
  <si>
    <t xml:space="preserve">Sin aumento de eventos adversos</t>
  </si>
  <si>
    <t xml:space="preserve">Subvenciones NIA U01 AG10483</t>
  </si>
  <si>
    <t xml:space="preserve">cita encontrada; cifra coincide (PMID 21795660)</t>
  </si>
  <si>
    <t xml:space="preserve">PMID 21795660</t>
  </si>
  <si>
    <t xml:space="preserve">https://pubmed.ncbi.nlm.nih.gov/21795660/</t>
  </si>
  <si>
    <t xml:space="preserve">Mirtazapina</t>
  </si>
  <si>
    <t xml:space="preserve">Antidepresivo</t>
  </si>
  <si>
    <t xml:space="preserve">Banerjee S et al., 2023, Health Technol Assess</t>
  </si>
  <si>
    <t xml:space="preserve">pragmático SYMBAD</t>
  </si>
  <si>
    <t xml:space="preserve">244</t>
  </si>
  <si>
    <t xml:space="preserve">Mirtazapina hasta 45 mg</t>
  </si>
  <si>
    <t xml:space="preserve">Cohen-Mansfield</t>
  </si>
  <si>
    <t xml:space="preserve">No eficaz frente a placebo (IC hasta -7,17 a 3,69; p = 0,53)</t>
  </si>
  <si>
    <t xml:space="preserve">Muertes: 7 con mirtazapina vs 1 en control a 16 semanas</t>
  </si>
  <si>
    <t xml:space="preserve">cita encontrada; cifra coincide (PMID 37929672)</t>
  </si>
  <si>
    <t xml:space="preserve">PMID 37929672</t>
  </si>
  <si>
    <t xml:space="preserve">https://pubmed.ncbi.nlm.nih.gov/37929672/</t>
  </si>
  <si>
    <t xml:space="preserve">Trazodona</t>
  </si>
  <si>
    <t xml:space="preserve">Respuesta a proteínas mal plegadas</t>
  </si>
  <si>
    <t xml:space="preserve">Gonçalo AMG et al., 2021, Eur J Clin Pharmacol</t>
  </si>
  <si>
    <t xml:space="preserve">revisión sistemática, 16 estudios</t>
  </si>
  <si>
    <t xml:space="preserve">Humanos adultos</t>
  </si>
  <si>
    <t xml:space="preserve">Mínimo 25 mg/día</t>
  </si>
  <si>
    <t xml:space="preserve">7 sin efecto, 5 beneficio, 4 deterioro; uso largo se asocia a menor deterioro</t>
  </si>
  <si>
    <t xml:space="preserve">Sin conflictos declarados</t>
  </si>
  <si>
    <t xml:space="preserve">cita encontrada; cifra no comprobable en el resumen (PMID 34097124)</t>
  </si>
  <si>
    <t xml:space="preserve">PMID 34097124</t>
  </si>
  <si>
    <t xml:space="preserve">https://pubmed.ncbi.nlm.nih.gov/34097124/</t>
  </si>
  <si>
    <t xml:space="preserve">Trazodona en ratón tauopatía</t>
  </si>
  <si>
    <t xml:space="preserve">UPR/NLRP3</t>
  </si>
  <si>
    <t xml:space="preserve">de Oliveira P et al., 2022, J Neurosci</t>
  </si>
  <si>
    <t xml:space="preserve">rTg4510, 9 semanas</t>
  </si>
  <si>
    <t xml:space="preserve">9 semanas</t>
  </si>
  <si>
    <t xml:space="preserve">NLRP3, sueño, memoria</t>
  </si>
  <si>
    <t xml:space="preserve">Menos NLRP3 y p38; más REM; memoria olfativa mejoró transitoriamente</t>
  </si>
  <si>
    <t xml:space="preserve">cita encontrada; cifra no comprobable en el resumen (PMID 35273086)</t>
  </si>
  <si>
    <t xml:space="preserve">PMID 35273086</t>
  </si>
  <si>
    <t xml:space="preserve">https://pubmed.ncbi.nlm.nih.gov/35273086/</t>
  </si>
  <si>
    <t xml:space="preserve">Leuprolida</t>
  </si>
  <si>
    <t xml:space="preserve">Hormonal (ALADDIN)</t>
  </si>
  <si>
    <t xml:space="preserve">Voyager, NCT00231946</t>
  </si>
  <si>
    <t xml:space="preserve">fase III</t>
  </si>
  <si>
    <t xml:space="preserve">555</t>
  </si>
  <si>
    <t xml:space="preserve">50 semanas</t>
  </si>
  <si>
    <t xml:space="preserve">Cognición e impresión del cuidador</t>
  </si>
  <si>
    <t xml:space="preserve">Estado COMPLETED, sin resultados en ClinicalTrials.gov</t>
  </si>
  <si>
    <t xml:space="preserve">Voyager Pharmaceutical</t>
  </si>
  <si>
    <t xml:space="preserve">cita encontrada; cifra coincide (NCT00231946)</t>
  </si>
  <si>
    <t xml:space="preserve">NCT00231946; también NCT00063310 y NCT00076440</t>
  </si>
  <si>
    <t xml:space="preserve">https://clinicaltrials.gov/study/NCT00231946</t>
  </si>
  <si>
    <t xml:space="preserve">Leuprolida + IACE (LUCINDA)</t>
  </si>
  <si>
    <t xml:space="preserve">Hormonal</t>
  </si>
  <si>
    <t xml:space="preserve">Weill Cornell, NCT03649724</t>
  </si>
  <si>
    <t xml:space="preserve">fase II</t>
  </si>
  <si>
    <t xml:space="preserve">86</t>
  </si>
  <si>
    <t xml:space="preserve">Mujeres con MCI/Alzheimer</t>
  </si>
  <si>
    <t xml:space="preserve">22,5 mg cada 12 semanas</t>
  </si>
  <si>
    <t xml:space="preserve">Completado, sin resultados</t>
  </si>
  <si>
    <t xml:space="preserve">Weill Cornell</t>
  </si>
  <si>
    <t xml:space="preserve">cita encontrada; cifra coincide (NCT03649724)</t>
  </si>
  <si>
    <t xml:space="preserve">NCT03649724</t>
  </si>
  <si>
    <t xml:space="preserve">https://clinicaltrials.gov/study/NCT03649724</t>
  </si>
  <si>
    <t xml:space="preserve">Montelukast</t>
  </si>
  <si>
    <t xml:space="preserve">Montelukast bucal</t>
  </si>
  <si>
    <t xml:space="preserve">Antiasmático</t>
  </si>
  <si>
    <t xml:space="preserve">IntelGenx, NCT03402503</t>
  </si>
  <si>
    <t xml:space="preserve">fase II placebo</t>
  </si>
  <si>
    <t xml:space="preserve">10 mg o 30 mg dos veces</t>
  </si>
  <si>
    <t xml:space="preserve">Batería NTB</t>
  </si>
  <si>
    <t xml:space="preserve">IntelGenx</t>
  </si>
  <si>
    <t xml:space="preserve">cita encontrada; cifra coincide (NCT03402503)</t>
  </si>
  <si>
    <t xml:space="preserve">NCT03402503</t>
  </si>
  <si>
    <t xml:space="preserve">https://clinicaltrials.gov/study/NCT03402503</t>
  </si>
  <si>
    <t xml:space="preserve">Emory, NCT03991988</t>
  </si>
  <si>
    <t xml:space="preserve">32</t>
  </si>
  <si>
    <t xml:space="preserve">MCI y Alzheimer precoz</t>
  </si>
  <si>
    <t xml:space="preserve">10, 20 o 40 mg</t>
  </si>
  <si>
    <t xml:space="preserve">Seguridad y biomarcadores</t>
  </si>
  <si>
    <t xml:space="preserve">Resultados registrados: 1 y 1 con síntomas GI; 1 anafilaxia en un grupo; sin transaminasas elevadas</t>
  </si>
  <si>
    <t xml:space="preserve">GI 1/1; anafilaxia 1/0</t>
  </si>
  <si>
    <t xml:space="preserve">Emory University</t>
  </si>
  <si>
    <t xml:space="preserve">cita encontrada; cifra coincide (NCT03991988)</t>
  </si>
  <si>
    <t xml:space="preserve">NCT03991988</t>
  </si>
  <si>
    <t xml:space="preserve">https://clinicaltrials.gov/study/NCT03991988</t>
  </si>
  <si>
    <t xml:space="preserve">Dapsona</t>
  </si>
  <si>
    <t xml:space="preserve">Dapsona en medicina de precisión</t>
  </si>
  <si>
    <t xml:space="preserve">Protocolo Bredesen</t>
  </si>
  <si>
    <t xml:space="preserve">Alzheimer's Prevention and Reversal Project, NCT05894954</t>
  </si>
  <si>
    <t xml:space="preserve">MCI/demencia precoz</t>
  </si>
  <si>
    <t xml:space="preserve">Plan personalizado</t>
  </si>
  <si>
    <t xml:space="preserve">MoCA, CNS Vital Signs</t>
  </si>
  <si>
    <t xml:space="preserve">Alzheimer's Prevention and Reversal Project</t>
  </si>
  <si>
    <t xml:space="preserve">ALZT-OP1 (cromoglicato + ibuprofeno)</t>
  </si>
  <si>
    <t xml:space="preserve">Cromoglicato + ibuprofeno (ALZT-OP1)</t>
  </si>
  <si>
    <t xml:space="preserve">AINE combinado</t>
  </si>
  <si>
    <t xml:space="preserve">AZTherapies, NCT02547818</t>
  </si>
  <si>
    <t xml:space="preserve">620</t>
  </si>
  <si>
    <t xml:space="preserve">2015-2020</t>
  </si>
  <si>
    <t xml:space="preserve">Inhalado + oral</t>
  </si>
  <si>
    <t xml:space="preserve">CDR-SB</t>
  </si>
  <si>
    <t xml:space="preserve">AZTherapies</t>
  </si>
  <si>
    <t xml:space="preserve">cita encontrada; cifra coincide (NCT02547818)</t>
  </si>
  <si>
    <t xml:space="preserve">NCT02547818</t>
  </si>
  <si>
    <t xml:space="preserve">https://clinicaltrials.gov/study/NCT02547818</t>
  </si>
  <si>
    <t xml:space="preserve">Losartán</t>
  </si>
  <si>
    <t xml:space="preserve">Antihipertensivo</t>
  </si>
  <si>
    <t xml:space="preserve">Tedesco MA et al., 1999, Am J Hypertens</t>
  </si>
  <si>
    <t xml:space="preserve">doble ciego vs hidroclorotiazida</t>
  </si>
  <si>
    <t xml:space="preserve">Hipertensos 30-73 años</t>
  </si>
  <si>
    <t xml:space="preserve">26 meses</t>
  </si>
  <si>
    <t xml:space="preserve">Losartán 50 mg/día</t>
  </si>
  <si>
    <t xml:space="preserve">MMSE, SCAG</t>
  </si>
  <si>
    <t xml:space="preserve">Losartán mejoró SCAG y MMSE (P&lt;.001); HCTZ sin cambios</t>
  </si>
  <si>
    <t xml:space="preserve">cita encontrada; cifra coincide (PMID 10604491)</t>
  </si>
  <si>
    <t xml:space="preserve">PMID 10604491</t>
  </si>
  <si>
    <t xml:space="preserve">https://pubmed.ncbi.nlm.nih.gov/10604491/</t>
  </si>
  <si>
    <t xml:space="preserve">Mechaeil R et al., 2011, Psychopharmacology</t>
  </si>
  <si>
    <t xml:space="preserve">dos estudios placebo</t>
  </si>
  <si>
    <t xml:space="preserve">Adultos jóvenes sanos</t>
  </si>
  <si>
    <t xml:space="preserve">dosis única</t>
  </si>
  <si>
    <t xml:space="preserve">50 y 100 mg</t>
  </si>
  <si>
    <t xml:space="preserve">Memoria prospectiva</t>
  </si>
  <si>
    <t xml:space="preserve">50 mg mejoró memoria y revirtió escopolamina (p&lt;0,01)</t>
  </si>
  <si>
    <t xml:space="preserve">cita encontrada; cifra coincide (PMID 21484242)</t>
  </si>
  <si>
    <t xml:space="preserve">PMID 21484242</t>
  </si>
  <si>
    <t xml:space="preserve">https://pubmed.ncbi.nlm.nih.gov/21484242/</t>
  </si>
  <si>
    <t xml:space="preserve">IECA centrales (perindopril)</t>
  </si>
  <si>
    <t xml:space="preserve">O'Caoimh R et al., 2014, J Alzheimers Dis</t>
  </si>
  <si>
    <t xml:space="preserve">análisis dentro del ensayo DARAD</t>
  </si>
  <si>
    <t xml:space="preserve">IECA</t>
  </si>
  <si>
    <t xml:space="preserve">ADL, CDR-SB</t>
  </si>
  <si>
    <t xml:space="preserve">Declive ADL 25% menor (p=0,024); perindopril destaca (ADL p=0,01; CDR-SB p=0,04)</t>
  </si>
  <si>
    <t xml:space="preserve">cita encontrada; cifra coincide (PMID 24496072)</t>
  </si>
  <si>
    <t xml:space="preserve">PMID 24496072</t>
  </si>
  <si>
    <t xml:space="preserve">https://pubmed.ncbi.nlm.nih.gov/24496072/</t>
  </si>
  <si>
    <t xml:space="preserve">relatos_familias</t>
  </si>
  <si>
    <t xml:space="preserve">Aceite de coco (y MCT) en cuidadores - hilo de comentarios (Cindy, Lana, Abel P., Vivian, Rachel, Karen, barbara)</t>
  </si>
  <si>
    <t xml:space="preserve">Relatos de cuidadores en blog de Alzheimers.net</t>
  </si>
  <si>
    <t xml:space="preserve">alzheimersblog.org, 'Can coconut oil treat Alzheimer's?', comentarios 2012-2013</t>
  </si>
  <si>
    <t xml:space="preserve">20 comentarios sin control</t>
  </si>
  <si>
    <t xml:space="preserve">20 comentarios</t>
  </si>
  <si>
    <t xml:space="preserve">Alzheimer y otras demencias (familiares)</t>
  </si>
  <si>
    <t xml:space="preserve">12 días a 2 años según comentario</t>
  </si>
  <si>
    <t xml:space="preserve">Abel P.: 2 cucharadas mañana y tarde; Sherrie G.: 1 cucharada; Rachel: 4 cucharadas al día; barbara: cada mañana con desayuno</t>
  </si>
  <si>
    <t xml:space="preserve">Observación subjetiva del cuidador</t>
  </si>
  <si>
    <t xml:space="preserve">Abel P. (31 may 2012): 'He has "sparks" of lucidity that he hasnt had in months' (12 días); Rachel (7 dic 2012): 'his head is still "clear"!' y 'He's literally off of all of his medications' (1 mes); barbara (1 mar 2013): 'he is 100% better' (2 años); Karen (2 abr 2013): sin cambios, el neurólogo le recetó el aceite; Richard: 'Not a total solution'</t>
  </si>
  <si>
    <t xml:space="preserve">Carlos: diarrea leve con aceite oral</t>
  </si>
  <si>
    <t xml:space="preserve">Las dosis citadas: 1-4 cucharadas al día o mezcla 2:1 MCT/coco hasta 5 cucharadas con comida</t>
  </si>
  <si>
    <t xml:space="preserve">Jarra grande ~10 USD (Dunwoody101, caregivers.com 2013)</t>
  </si>
  <si>
    <t xml:space="preserve">página existe</t>
  </si>
  <si>
    <t xml:space="preserve">https://www.alzheimersblog.org/2012/02/05/coconut-oil-treat-alzheimers/comment-page-2/</t>
  </si>
  <si>
    <t xml:space="preserve">Mezcla MCT/aceite de coco - Richard (esposo de mujer de 78 años, estadio 6)</t>
  </si>
  <si>
    <t xml:space="preserve">Relato de cuidador con efecto horario</t>
  </si>
  <si>
    <t xml:space="preserve">Richard, comentarios 9 y 16 abr 2013, alzheimersblog.org</t>
  </si>
  <si>
    <t xml:space="preserve">relato individual</t>
  </si>
  <si>
    <t xml:space="preserve">Alzheimer estadio 6</t>
  </si>
  <si>
    <t xml:space="preserve">8 meses</t>
  </si>
  <si>
    <t xml:space="preserve">Mezcla 2:1 MCT/coco, hasta 5 cucharadas al día en dosis divididas con comida; empezó despacio hasta 4 cucharadas</t>
  </si>
  <si>
    <t xml:space="preserve">Observación del cuidador (sundowning, 'dos personalidades')</t>
  </si>
  <si>
    <t xml:space="preserve">Efecto en ~1 h y ~4 h; 'I can identify two personalities – one with oil, and one without'; sundowning aún ocasional; también 'we can't tell if it is just the progression of the disease'</t>
  </si>
  <si>
    <t xml:space="preserve">Empezar poco a poco hasta 4-5 cucharadas con comidas, anotar horas de efecto</t>
  </si>
  <si>
    <t xml:space="preserve">Aceite de coco 1 año, luego suspensión al ingreso en residencia - G J Elian MD</t>
  </si>
  <si>
    <t xml:space="preserve">Relato de médico familiar con recaída al suspender</t>
  </si>
  <si>
    <t xml:space="preserve">G J Elian MD, comentarios 19 ene 2013 y 18 ago 2014, alzheimersblog.org</t>
  </si>
  <si>
    <t xml:space="preserve">Madre de 88 años con demencia</t>
  </si>
  <si>
    <t xml:space="preserve">~1 año con aceite; seguimiento hasta ago 2014</t>
  </si>
  <si>
    <t xml:space="preserve">Aceite de coco, dosis no indicada</t>
  </si>
  <si>
    <t xml:space="preserve">Progresión percibida; sin test cognitivo</t>
  </si>
  <si>
    <t xml:space="preserve">'her progression has greatly slowed and perhaps even reversed'; tras ingreso en residencia en ago 2013 y suspender el aceite, 'her mental state has rapidly gone downhill'</t>
  </si>
  <si>
    <t xml:space="preserve">Aceite de coco (esposo, meses)</t>
  </si>
  <si>
    <t xml:space="preserve">Foro de cuidadores caregivers.com / Alzheimers.net</t>
  </si>
  <si>
    <t xml:space="preserve">AlzCaregiver (17 jul 2010) y TheGog (6 ene 2015), portal.prod.caregivers.com</t>
  </si>
  <si>
    <t xml:space="preserve">relatos individuales</t>
  </si>
  <si>
    <t xml:space="preserve">2 relatos</t>
  </si>
  <si>
    <t xml:space="preserve">días a meses</t>
  </si>
  <si>
    <t xml:space="preserve">Coco en batidos y luego MCT Now; sin dosis</t>
  </si>
  <si>
    <t xml:space="preserve">Impresión del cuidador</t>
  </si>
  <si>
    <t xml:space="preserve">AlzCaregiver: 'I think she did have an up blip when I first started the coconut oil'; TheGog (esposo): 'It did not seem to help him at all' y 'a waste of money' tras meses</t>
  </si>
  <si>
    <t xml:space="preserve">https://portal.prod.caregivers.com/questions/anyone-using-coconut-oil-for-dementia-alzheimers-133671.htm</t>
  </si>
  <si>
    <t xml:space="preserve">Aceite de coco virgen en la comida, dos veces al día (Dunwoody101)</t>
  </si>
  <si>
    <t xml:space="preserve">Relato de cuidadora con vídeo de Newport como motivación</t>
  </si>
  <si>
    <t xml:space="preserve">Dunwoody101 y comentarios, caregivers.com, oct 2013</t>
  </si>
  <si>
    <t xml:space="preserve">Madre con Alzheimer, ~3 años cuidándola</t>
  </si>
  <si>
    <t xml:space="preserve">~2 semanas</t>
  </si>
  <si>
    <t xml:space="preserve">Mezclado en comida dos veces al día, sin cantidad</t>
  </si>
  <si>
    <t xml:space="preserve">Conciencia del entorno</t>
  </si>
  <si>
    <t xml:space="preserve">'much more aware of her present environment' y 'she spoke for an hour about her past job duties'; otra cuidadora (kazzaa) con aceite de krill: 'her moods have calmed down now' dudando si es 'a stage or the omegas'</t>
  </si>
  <si>
    <t xml:space="preserve">10 USD un tarro grande</t>
  </si>
  <si>
    <t xml:space="preserve">https://portal.prod.caregivers.com/discussions/supplement-worth-trying-162411.htm</t>
  </si>
  <si>
    <t xml:space="preserve">Aceite de coco + MCT, diario de 110 días - Margaret938</t>
  </si>
  <si>
    <t xml:space="preserve">Foro de la Alzheimer's Society (Reino Unido)</t>
  </si>
  <si>
    <t xml:space="preserve">Margaret938, forum.alzheimers.org.uk, 12 jun 2013</t>
  </si>
  <si>
    <t xml:space="preserve">relato con diario</t>
  </si>
  <si>
    <t xml:space="preserve">Esposo George con Alzheimer, ya en residencia</t>
  </si>
  <si>
    <t xml:space="preserve">110 días</t>
  </si>
  <si>
    <t xml:space="preserve">4 cucharadas en batido antes de cada visita; dosis reducida en residencia por exigir consentimiento del médico</t>
  </si>
  <si>
    <t xml:space="preserve">Diario de ingesta y altibajos</t>
  </si>
  <si>
    <t xml:space="preserve">Más consciente del entorno, 'engages better'; ya no lee ni escribe ni mantiene conversaciones largas; 'by no means a cure'</t>
  </si>
  <si>
    <t xml:space="preserve">Respuestas: colesterol 3,9 tras corto período (Carabosse); precaución por triglicéridos (Saffie)</t>
  </si>
  <si>
    <t xml:space="preserve">Empezar bajo y subir gradualmente a 4 cucharadas en batido</t>
  </si>
  <si>
    <t xml:space="preserve">https://forum.alzheimers.org.uk/goto/post?id=764868</t>
  </si>
  <si>
    <t xml:space="preserve">Coco en café/zumo/cena - arlie (madre con demencia con cuerpos de Lewy)</t>
  </si>
  <si>
    <t xml:space="preserve">Foro de la Alzheimer's Society, hilo de marzo 2012</t>
  </si>
  <si>
    <t xml:space="preserve">arlie, forum.alzheimers.org.uk, 2 y 9 mar 2012</t>
  </si>
  <si>
    <t xml:space="preserve">Demencia con cuerpos de Lewy, diagnosticada ~10 años antes</t>
  </si>
  <si>
    <t xml:space="preserve">~4 meses</t>
  </si>
  <si>
    <t xml:space="preserve">1 cucharadita en el café, 1 en el zumo de la comida, 1 a cucharada en la cena (mezcla líquida de coco)</t>
  </si>
  <si>
    <t xml:space="preserve">Observación del cuidador</t>
  </si>
  <si>
    <t xml:space="preserve">'It has taken away her hallucinations, aggression, wandering, sun downing'; más social, lee, hace puzles y juega a cartas</t>
  </si>
  <si>
    <t xml:space="preserve">Había retirado la medicación del colesterol ~3,5 meses antes y sospecha interacción</t>
  </si>
  <si>
    <t xml:space="preserve">3 cucharaditas al día repartidas</t>
  </si>
  <si>
    <t xml:space="preserve">https://forum.alzheimers.org.uk/goto/post?id=557675</t>
  </si>
  <si>
    <t xml:space="preserve">Coco virgen en puré - Wittersham/John (Penny, Alzheimer precoz leve)</t>
  </si>
  <si>
    <t xml:space="preserve">Foro Alzheimer's Society; médico de cabecera y consultor</t>
  </si>
  <si>
    <t xml:space="preserve">Wittersham/John, mismo hilo, 11 mar 2012</t>
  </si>
  <si>
    <t xml:space="preserve">relato individual en primer día</t>
  </si>
  <si>
    <t xml:space="preserve">Alzheimer precoz leve</t>
  </si>
  <si>
    <t xml:space="preserve">1 día</t>
  </si>
  <si>
    <t xml:space="preserve">Aceite de coco virgen en puré y salsa, sin medir</t>
  </si>
  <si>
    <t xml:space="preserve">Preguntas informales y reloj</t>
  </si>
  <si>
    <t xml:space="preserve">Ese día nombró al primer ministro; podía dibujar 'ten to five' pero no 'ten past five'. El consultor de la clínica de memoria dijo que no había ensayos ciegos que probaran o descartaran la eficacia; el médico de cabecera no vio problema si no se excedía</t>
  </si>
  <si>
    <t xml:space="preserve">Aceite de coco, testimonios de 2011 (sunshine12, virg, tre)</t>
  </si>
  <si>
    <t xml:space="preserve">Foro Alzheimer's Society</t>
  </si>
  <si>
    <t xml:space="preserve">'Positive effects of coconut oil on Alzheimers - please read', nov 2011</t>
  </si>
  <si>
    <t xml:space="preserve">3 relatos</t>
  </si>
  <si>
    <t xml:space="preserve">3</t>
  </si>
  <si>
    <t xml:space="preserve">Madre de 60 años con Alzheimer, madre con warfarina, esposo</t>
  </si>
  <si>
    <t xml:space="preserve">1 semana, 3 semanas, plan de 90 días</t>
  </si>
  <si>
    <t xml:space="preserve">Sin dosis</t>
  </si>
  <si>
    <t xml:space="preserve">sunshine12: 'she does appear moderatly better so far in the sense that she seems more talkative'; virg: 'her blood thickness levels have changed' (madre con warfarina); tre: 'I have seen no effect' tras ~3 semanas</t>
  </si>
  <si>
    <t xml:space="preserve">Cambio en niveles de coagulación en paciente con warfarina (virg)</t>
  </si>
  <si>
    <t xml:space="preserve">https://forum.alzheimers.org.uk/threads/positive-effects-of-coconut-oil-on-alzheimers-please-read.38866/</t>
  </si>
  <si>
    <t xml:space="preserve">Aceite de coco, MCT, omega-3 y litio orotato en 2025</t>
  </si>
  <si>
    <t xml:space="preserve">Foro Alzheimer's Society, relatos recientes</t>
  </si>
  <si>
    <t xml:space="preserve">michaelstarlight5678, Cartimandua, CDS, agosto-septiembre 2025</t>
  </si>
  <si>
    <t xml:space="preserve">Hermano con temblores, esposo y esposa con demencia</t>
  </si>
  <si>
    <t xml:space="preserve">~1 año (Cartimandua)</t>
  </si>
  <si>
    <t xml:space="preserve">CDS: gominolas de omega-3, orotato de litio (pastilla triturada), multivitamínico; sin dosis</t>
  </si>
  <si>
    <t xml:space="preserve">Cartimandua: 'No results so far though', esposo parece empeorar y dicen que los médicos 'don't have much to offer'; CDS: 'I have not noticed any changes since I started using these'; michaelstarlight5678: dice que el coco detuvo los temblores de su hermano</t>
  </si>
  <si>
    <t xml:space="preserve">https://forum.alzheimers.org.uk/threads/coconut-oil-for-alzheimers.117257/latest</t>
  </si>
  <si>
    <t xml:space="preserve">Coco y luego MCT sin ácido láurico - Marie Nowak MD y Zoltan</t>
  </si>
  <si>
    <t xml:space="preserve">Testimonio de médica en blog paleo</t>
  </si>
  <si>
    <t xml:space="preserve">Marie Nowak MD, robbwolf.com, 23 nov 2015 (comentario Zoltan 15 dic 2015)</t>
  </si>
  <si>
    <t xml:space="preserve">1 (más 1 comentario)</t>
  </si>
  <si>
    <t xml:space="preserve">Madre con demencia severa; suegro con demencia multiinfarto</t>
  </si>
  <si>
    <t xml:space="preserve">Mejora 'within days'</t>
  </si>
  <si>
    <t xml:space="preserve">Coco en mayonesa; sin dosis. Zoltan: coco y después MCT de ácidos caprílico y cáprico</t>
  </si>
  <si>
    <t xml:space="preserve">Observación; peso 125 a 95 lb antes</t>
  </si>
  <si>
    <t xml:space="preserve">'Within days of adding coconut oil to her diet her thoughts improved'; criticó la conducción de su hija; Zoltan: 'The improvements appear much more marked than with regular coconut oil'</t>
  </si>
  <si>
    <t xml:space="preserve">Zoltan menciona preocupación por LDL del ácido láurico</t>
  </si>
  <si>
    <t xml:space="preserve">no consta; la autora llama al relato 'anecdotal'</t>
  </si>
  <si>
    <t xml:space="preserve">https://robbwolf.com/2015/11/23/testimonial-alzheimers-improvement-with-coconut-oil/</t>
  </si>
  <si>
    <t xml:space="preserve">Aceite de coco / cetonas - historia de Steve Newport (2008)</t>
  </si>
  <si>
    <t xml:space="preserve">Médica cuidadora (caso fundador)</t>
  </si>
  <si>
    <t xml:space="preserve">Reblog de 'Coconut Ketones' en kateswaffer.com, 2013</t>
  </si>
  <si>
    <t xml:space="preserve">caso individual narrado</t>
  </si>
  <si>
    <t xml:space="preserve">Alzheimer precoz (~53 años según este texto; otras fuentes dan 51 o 54)</t>
  </si>
  <si>
    <t xml:space="preserve">60 días a 1 año</t>
  </si>
  <si>
    <t xml:space="preserve">Coco dos veces al día; texto cita MCT 20 g (~4 cucharaditas) en ensayo</t>
  </si>
  <si>
    <t xml:space="preserve">Dibujo del reloj, atención, temblor, resonancia</t>
  </si>
  <si>
    <t xml:space="preserve">Reloj mejora a ~2 semanas y más claro en el día 37; primeros 60 días alerta y hablador; 'brain atrophy had completely halted' (MRI no documentada)</t>
  </si>
  <si>
    <t xml:space="preserve">Texto promocional anónimo ('Written by: Coconut Ketones'); sugiere que la industria vería amenazadas sus ganancias; sin referencias</t>
  </si>
  <si>
    <t xml:space="preserve">https://kateswaffer.com/2013/01/04/coconut-oil-and-alzheimers/</t>
  </si>
  <si>
    <t xml:space="preserve">Aceite de coco, Newport: dosis y cifras (crítica)</t>
  </si>
  <si>
    <t xml:space="preserve">Blogs de cuidadores y críticos</t>
  </si>
  <si>
    <t xml:space="preserve">Caregivers.com artículo (sin fecha) y Dr Mark Chern, Substack</t>
  </si>
  <si>
    <t xml:space="preserve">opinión</t>
  </si>
  <si>
    <t xml:space="preserve">1 caso + más de 400 testimonios (caregivers.com)</t>
  </si>
  <si>
    <t xml:space="preserve">desde mayo 2008</t>
  </si>
  <si>
    <t xml:space="preserve">Steve Newport ~11 cucharadas/día (~1.265 kcal) según caregivers.com; Newport recomienda 3-6 cucharadas según Substack</t>
  </si>
  <si>
    <t xml:space="preserve">Subjetivo</t>
  </si>
  <si>
    <t xml:space="preserve">Substack: ~60 días hasta mejora, reloj, menos temblor; coco: 90% saturada, MCFA 58% (C8 8%, C10 8%, C12 42%); con 6 cucharadas ~75,6 g de grasa saturada. Caregivers.com: ~50.000 libros vendidos y 5 millones de vistas del vídeo CBN 2012</t>
  </si>
  <si>
    <t xml:space="preserve">Calorías y grasa saturada (según los críticos)</t>
  </si>
  <si>
    <t xml:space="preserve">Autor de caregivers.com sugiere que Newport podría beneficiarse de promocionarlo; sin financiación de estudio</t>
  </si>
  <si>
    <t xml:space="preserve">https://portal.prod.caregivers.com/articles/re-examining-coconut-oil-for-alzheimers-theory-172016.htm</t>
  </si>
  <si>
    <t xml:space="preserve">Aceite de coco - ensayo USF 'Fuel for Thought' (200 testimonios en web de Newport)</t>
  </si>
  <si>
    <t xml:space="preserve">NCT01883648, University of South Florida; WUSF/USF Oracle 2013</t>
  </si>
  <si>
    <t xml:space="preserve">cruzado aleatorizado, placebo</t>
  </si>
  <si>
    <t xml:space="preserve">21 (registro); 65 anunciados en prensa</t>
  </si>
  <si>
    <t xml:space="preserve">3 meses por brazo con lavado de 3-5 días</t>
  </si>
  <si>
    <t xml:space="preserve">1,25 oz dos veces al día de bebida de aceite de coco</t>
  </si>
  <si>
    <t xml:space="preserve">ADAS-cog, MMSE, fluidez categoría/letra</t>
  </si>
  <si>
    <t xml:space="preserve">Sin resultados publicados; estado TERMINATED por 'Funding limitations and enrollment was too low'</t>
  </si>
  <si>
    <t xml:space="preserve">Subvención de 250.000 USD de la Leo and Anne Albert Charitable Trust (USF Oracle); investigadora: 'all the evidence we have until now was anecdotal'</t>
  </si>
  <si>
    <t xml:space="preserve">cita encontrada; cifra coincide (NCT01883648: n=21, TERMINATED por 'Funding limitations and enrollment was too low')</t>
  </si>
  <si>
    <t xml:space="preserve">Aceite de coco extra virgen 40 mL/día (Valencia)</t>
  </si>
  <si>
    <t xml:space="preserve">Estudio español pequeño</t>
  </si>
  <si>
    <t xml:space="preserve">Hu Yang I, De la Rubia Ortí JE et al., Nutr Hosp 2015</t>
  </si>
  <si>
    <t xml:space="preserve">prospectivo con grupo control</t>
  </si>
  <si>
    <t xml:space="preserve">Alzheimer, cualquier grado</t>
  </si>
  <si>
    <t xml:space="preserve">40 mL/día de coco extra virgen</t>
  </si>
  <si>
    <t xml:space="preserve">Mini-Examen Cognoscitivo de Lobo (MECWOLF)</t>
  </si>
  <si>
    <t xml:space="preserve">Aumento estadísticamente significativo en MECWOLF; mejoría sobre todo en mujeres, sin diabetes tipo II y casos graves</t>
  </si>
  <si>
    <t xml:space="preserve">40 mL/día de coco</t>
  </si>
  <si>
    <t xml:space="preserve">cita encontrada; cifra no comprobable en el resumen (PMID 26667739, DOI 10.3305/nh.2015.32.6.9707: título y año 2015 coinciden; el resumen no da n)</t>
  </si>
  <si>
    <t xml:space="preserve">PMID 26667739; DOI 10.3305/nh.2015.32.6.9707</t>
  </si>
  <si>
    <t xml:space="preserve">https://pubmed.ncbi.nlm.nih.gov/26667739/</t>
  </si>
  <si>
    <t xml:space="preserve">Aceite de coco 40 mL/día, 21 días</t>
  </si>
  <si>
    <t xml:space="preserve">Estudio español Ribera (Valencia)</t>
  </si>
  <si>
    <t xml:space="preserve">De la Rubia Ortí JE et al., Nutr Hosp 2017</t>
  </si>
  <si>
    <t xml:space="preserve">prospectivo experimental</t>
  </si>
  <si>
    <t xml:space="preserve">44 (la mitad recibió el aceite)</t>
  </si>
  <si>
    <t xml:space="preserve">40 mL/día: 20 mL en desayuno y 20 mL en la comida</t>
  </si>
  <si>
    <t xml:space="preserve">Mejora cognitiva significativa en orientación y lenguaje-construcción tras la intervención</t>
  </si>
  <si>
    <t xml:space="preserve">20 mL en desayuno y 20 mL en comida durante 21 días</t>
  </si>
  <si>
    <t xml:space="preserve">cita encontrada; cifra coincide (PMID 28421789, DOI 10.20960/nh.780: 44 pacientes, 21 días, 20 mL + 20 mL)</t>
  </si>
  <si>
    <t xml:space="preserve">PMID 28421789; DOI 10.20960/nh.780</t>
  </si>
  <si>
    <t xml:space="preserve">https://pubmed.ncbi.nlm.nih.gov/28421789/</t>
  </si>
  <si>
    <t xml:space="preserve">MCT 42 g/día o máximo tolerado</t>
  </si>
  <si>
    <t xml:space="preserve">Ensayo canadiense en Alzheimer</t>
  </si>
  <si>
    <t xml:space="preserve">Juby AG, Blackburn TE, Mager DR, Alzheimer's Dement TRCI 2022</t>
  </si>
  <si>
    <t xml:space="preserve">doble ciego, cruzado, con extensión abierta</t>
  </si>
  <si>
    <t xml:space="preserve">6 meses + 6 meses abierto</t>
  </si>
  <si>
    <t xml:space="preserve">MCT 42 g/día; consumo medio real 1,8 cucharadas (25,2 g, 234 kcal)</t>
  </si>
  <si>
    <t xml:space="preserve">MMSE basal 22,6/30; 80% estable o mejor; mayor exposición y edad &gt;73 dieron MMSE final más alto (P&lt;.001)</t>
  </si>
  <si>
    <t xml:space="preserve">Hasta 42 g/día (unas 3 cucharadas); media real 1,8 cucharadas</t>
  </si>
  <si>
    <t xml:space="preserve">cita encontrada; cifra coincide (PMID 35310527, DOI 10.1002/trc2.12259: MMSE basal 22,6; 1,8 cucharadas = 25,2 g, 234 kcal)</t>
  </si>
  <si>
    <t xml:space="preserve">AC-1202 (ketogénico, triglicérido caprílico)</t>
  </si>
  <si>
    <t xml:space="preserve">Subgrupo APOE4 negativo</t>
  </si>
  <si>
    <t xml:space="preserve">Henderson ST et al., Nutr Metab 2009</t>
  </si>
  <si>
    <t xml:space="preserve">Una dosis diaria de AC-1202 con dieta normal</t>
  </si>
  <si>
    <t xml:space="preserve">ADAS-Cog, ADCS-CGIC, beta-hidroxibutirato</t>
  </si>
  <si>
    <t xml:space="preserve">Día 45: diferencia 1,9 puntos ADAS-Cog (p=0,0235, ITT); APOE4 negativo (N=55): 4,77 puntos día 45 (p=0,0005) y 3,36 día 90 (p=0,0148)</t>
  </si>
  <si>
    <t xml:space="preserve">Eventos digestivos más frecuentes, leves a moderados y transitorios</t>
  </si>
  <si>
    <t xml:space="preserve">cita encontrada; cifra coincide (PMID 19664276, NCT00142805: 152 sujetos; 1,9 puntos día 45; 4,77 y 3,36 en APOE4 negativo, N=55; el p del día 45 aparece truncado en el resumen)</t>
  </si>
  <si>
    <t xml:space="preserve">Éster de cetona</t>
  </si>
  <si>
    <t xml:space="preserve">Éster de cetona (monoéster) 20 meses</t>
  </si>
  <si>
    <t xml:space="preserve">Caso con Newport y Veech</t>
  </si>
  <si>
    <t xml:space="preserve">Newport MT, VanItallie TB, Kashiwaya Y, King MT, Veech RL, Alzheimers Dement 2015</t>
  </si>
  <si>
    <t xml:space="preserve">Alzheimer, MMSE 12</t>
  </si>
  <si>
    <t xml:space="preserve">Éster de cetona oral</t>
  </si>
  <si>
    <t xml:space="preserve">Cognición vs beta-hidroxibutirato plasmático, afecto</t>
  </si>
  <si>
    <t xml:space="preserve">'improved markedly in mood, affect, self-care, and cognitive and daily activity performance'; cognición seguía a las concentraciones de BHB</t>
  </si>
  <si>
    <t xml:space="preserve">Autores incluyen a la cuidadora (Newport) y NIH intramural; sin más datos</t>
  </si>
  <si>
    <t xml:space="preserve">cita encontrada; cifra no comprobable en el resumen (PMID 25301680, DOI 10.1016/j.jalz.2014.01.006: título y año 2015 coinciden; el MMSE 12 no aparece en el resumen)</t>
  </si>
  <si>
    <t xml:space="preserve">Insulina nasal casera (Novolin R) - Daniel Cooper</t>
  </si>
  <si>
    <t xml:space="preserve">Hilo Longecity</t>
  </si>
  <si>
    <t xml:space="preserve">'Nasal Insulin for Alzheimer's', Longecity, dic 2017</t>
  </si>
  <si>
    <t xml:space="preserve">Padre con Alzheimer avanzado, cognición 'very low'</t>
  </si>
  <si>
    <t xml:space="preserve">Primeros días</t>
  </si>
  <si>
    <t xml:space="preserve">Novolin R en espray, 0,1 mL = 10 unidades por pulverización; frecuencia no dada</t>
  </si>
  <si>
    <t xml:space="preserve">Observación subjetiva</t>
  </si>
  <si>
    <t xml:space="preserve">'I do believe that I see a positive effect ... within the first 10 minutes or so'; otro usuario cita 'slow but noticeably obvious results after 6 months' con Humulin R</t>
  </si>
  <si>
    <t xml:space="preserve">Quemazón nasal; rechazo del paciente; conservantes m-cresol y fenol sospechosos</t>
  </si>
  <si>
    <t xml:space="preserve">El hilo describe 10 unidades por pulverización; sin pauta, sin supervisión médica</t>
  </si>
  <si>
    <t xml:space="preserve">https://www.longecity.org/forum/topic/98889-nasal-insulin-for-alzheimers/</t>
  </si>
  <si>
    <t xml:space="preserve">Insulina intranasal 20 o 40 UI, 4 meses</t>
  </si>
  <si>
    <t xml:space="preserve">Ensayo piloto en la línea de la insulina nasal</t>
  </si>
  <si>
    <t xml:space="preserve">Craft S et al., Arch Neurol 2012</t>
  </si>
  <si>
    <t xml:space="preserve">MCI amnésico (64) y Alzheimer leve-moderado (40)</t>
  </si>
  <si>
    <t xml:space="preserve">Placebo n=30; 20 UI n=36; 40 UI n=38</t>
  </si>
  <si>
    <t xml:space="preserve">Recuerdo diferido, DSRS, ADAS-cog, ADCS-ADL, PET, LCR</t>
  </si>
  <si>
    <t xml:space="preserve">20 UI mejoró memoria diferida (P&lt;.05); ambas dosis preservaron función (P&lt;.01); ADAS-cog preservada en jóvenes (P&lt;.05)</t>
  </si>
  <si>
    <t xml:space="preserve">Sin eventos adversos graves relacionados</t>
  </si>
  <si>
    <t xml:space="preserve">Subvenciones NIA; resto no consta</t>
  </si>
  <si>
    <t xml:space="preserve">cita encontrada; cifra coincide (PMID 21911655: 104 sujetos, 30/36/38, 20 UI mejora memoria diferida P&lt;.05). Aviso: NCT00438568 en ClinicalTrials.gov es 'SNIFF 120' con 173 inscritos; no se confirma que sea el mismo estudio</t>
  </si>
  <si>
    <t xml:space="preserve">PMID 21911655; NCT00438568</t>
  </si>
  <si>
    <t xml:space="preserve">Insulina intranasal 40 UI, 12 meses (SNIFF)</t>
  </si>
  <si>
    <t xml:space="preserve">Ensayo grande con resultado nulo</t>
  </si>
  <si>
    <t xml:space="preserve">Craft S et al., JAMA Neurol 2020</t>
  </si>
  <si>
    <t xml:space="preserve">doble ciego, placebo, 27 centros</t>
  </si>
  <si>
    <t xml:space="preserve">289 (240 en la población primaria con dispositivo 2)</t>
  </si>
  <si>
    <t xml:space="preserve">MCI amnésico y Alzheimer, 55-85 años</t>
  </si>
  <si>
    <t xml:space="preserve">12 meses + 6 abierto</t>
  </si>
  <si>
    <t xml:space="preserve">40 UI de Humulin R U-100 diarias</t>
  </si>
  <si>
    <t xml:space="preserve">ADAS-cog-12</t>
  </si>
  <si>
    <t xml:space="preserve">Sin diferencia: 0,0258 puntos (IC95% -1,771 a 1,822; P=.98); dispositivo 1 poco fiable en los primeros 49</t>
  </si>
  <si>
    <t xml:space="preserve">Sin eventos adversos clínicamente importantes asociados</t>
  </si>
  <si>
    <t xml:space="preserve">cita encontrada; cifra no comprobable en el resumen (PMID 32568367, NCT01767909, DOI 10.1001/jamaneurol.2020.1840: 289 aleatorizados y 240 ITT coinciden; el ADAS-cog-12 de 0,0258 no aparece en el texto leído)</t>
  </si>
  <si>
    <t xml:space="preserve">PMID 32568367; NCT01767909</t>
  </si>
  <si>
    <t xml:space="preserve">Pila de suplementos</t>
  </si>
  <si>
    <t xml:space="preserve">Pila de suplementos para el padre (MitoQ, nicotinamida, curcumina, D3, glutatión)</t>
  </si>
  <si>
    <t xml:space="preserve">Hilo Longecity, hijo cuidador</t>
  </si>
  <si>
    <t xml:space="preserve">Daniel Cooper, 'Alzheimer's Stack For My Father', Longecity, nov 2014 - dic 2015</t>
  </si>
  <si>
    <t xml:space="preserve">Padre de 75 años, posible Alzheimer, con Aricept y Namenda ~2 años</t>
  </si>
  <si>
    <t xml:space="preserve">~13 meses de hilo</t>
  </si>
  <si>
    <t xml:space="preserve">MitoQ 10 mg/día, nicotinamida 3000 mg/día en tres dosis, curcumina 250 mg, D3 2000 UI, glutatión reducido 500 mg</t>
  </si>
  <si>
    <t xml:space="preserve">Observación</t>
  </si>
  <si>
    <t xml:space="preserve">24 dic 2015: 'taken an obvious decline'; menos comunicativo, vocalizaciones raras; sin resultados atribuidos a la pila</t>
  </si>
  <si>
    <t xml:space="preserve">Molestias gástricas con vitamina C a gramos (pregunta del autor)</t>
  </si>
  <si>
    <t xml:space="preserve">Pila de dosis descrita arriba</t>
  </si>
  <si>
    <t xml:space="preserve">https://www.longecity.org/forum/topic/74893-alzheimers-stack-for-my-father/</t>
  </si>
  <si>
    <t xml:space="preserve">Protocolo dissolve &amp; detoxify</t>
  </si>
  <si>
    <t xml:space="preserve">Protocolo 'dissolve &amp; detoxify' (HEPPS, taurina, oleuropeína, vitamina C; azul de metileno + nicotinamida)</t>
  </si>
  <si>
    <t xml:space="preserve">Autoexperimento Longecity</t>
  </si>
  <si>
    <t xml:space="preserve">Turnbuckle, Longecity, desde 11 ene 2018 (682 respuestas)</t>
  </si>
  <si>
    <t xml:space="preserve">autoexperimento</t>
  </si>
  <si>
    <t xml:space="preserve">Autor ~70 años con errores de escritura</t>
  </si>
  <si>
    <t xml:space="preserve">Varios meses; azul de metileno pruebas de 24 h</t>
  </si>
  <si>
    <t xml:space="preserve">HEPPS 1 g, taurina 8 g, oleuropeína 200 mg, vitamina C 2 g al día; azul de metileno reducido 50 mg (~44 gotas de solución de acuario 2,3% Kordon) con 1 g vit C; nicotinamida 1 g cada 5 h</t>
  </si>
  <si>
    <t xml:space="preserve">Autoinforme</t>
  </si>
  <si>
    <t xml:space="preserve">Amiloide: 'Within days most of that went away, and it has continued to improve for 2 months'; azul de metileno 50 mg: bajada ~10 h; 75 mg: sin cambio; &gt;100 mg 'bad results'</t>
  </si>
  <si>
    <t xml:space="preserve">Orina verde/azul 24 h; presión baja con oleuropeína/taurina; mancha por oxidación; valoraciones 'Dangerous, Irresponsible'</t>
  </si>
  <si>
    <t xml:space="preserve">Dosis descritas arriba; el autor lo llama 'experimental'</t>
  </si>
  <si>
    <t xml:space="preserve">https://www.longecity.org/forum/topic/99132-alzheimers-protocol-%E2%80%94-dissolve-detoxify/</t>
  </si>
  <si>
    <t xml:space="preserve">Dasatinib + quercetina</t>
  </si>
  <si>
    <t xml:space="preserve">Dasatinib + quercetina (ratón) debatido en Longecity</t>
  </si>
  <si>
    <t xml:space="preserve">Hilo sin pacientes</t>
  </si>
  <si>
    <t xml:space="preserve">Longecity, hilo 105580</t>
  </si>
  <si>
    <t xml:space="preserve">ratones Alzheimer, citado en foro</t>
  </si>
  <si>
    <t xml:space="preserve">Ratones de 20 meses</t>
  </si>
  <si>
    <t xml:space="preserve">Dasatinib + quercetina; sin dosis en la página</t>
  </si>
  <si>
    <t xml:space="preserve">RM e histología post mortem</t>
  </si>
  <si>
    <t xml:space="preserve">Investigador de UT Health: 'seems to have stopped the disease in its tracks'; el hilo no tiene informes de pacientes</t>
  </si>
  <si>
    <t xml:space="preserve">https://www.longecity.org/forum/topic/105580-dasatinib-quercetin-effect-on-alzheimers-disease/</t>
  </si>
  <si>
    <t xml:space="preserve">Programa MEND (Bredesen) en 10 pacientes</t>
  </si>
  <si>
    <t xml:space="preserve">Medicina funcional personalizada</t>
  </si>
  <si>
    <t xml:space="preserve">Bredesen DE, Aging 2014</t>
  </si>
  <si>
    <t xml:space="preserve">Alzheimer, MCI amnésico, deterioro subjetivo</t>
  </si>
  <si>
    <t xml:space="preserve">Programa multimodal personalizado</t>
  </si>
  <si>
    <t xml:space="preserve">9 de 10 mejoraron entre 3 y 6 meses; el fallo fue un caso de Alzheimer muy avanzado; seis con trabajo en riesgo volvieron a trabajar</t>
  </si>
  <si>
    <t xml:space="preserve">Subvenciones NIA; Bredesen vende el programa vía Apollo Health (Boston Globe)</t>
  </si>
  <si>
    <t xml:space="preserve">cita encontrada; cifra coincide (PMID 25324467, DOI 10.18632/aging.100690: 10 pacientes; 9 de 10 mejoran en 3-6 meses)</t>
  </si>
  <si>
    <t xml:space="preserve">MEND con RM y neuropsicología</t>
  </si>
  <si>
    <t xml:space="preserve">Bredesen DE, Amos EC, Canick J et al., Aging 2016</t>
  </si>
  <si>
    <t xml:space="preserve">serie de casos con RM</t>
  </si>
  <si>
    <t xml:space="preserve">Declive cognitivo, 9 APOE4+ (5 homocigotos, 4 heterocigotos), 1 APOE4-</t>
  </si>
  <si>
    <t xml:space="preserve">RM cuantitativa y pruebas neuropsicológicas</t>
  </si>
  <si>
    <t xml:space="preserve">Mejora que los autores llaman 'unprecedented'; cifras no incluidas en el resumen</t>
  </si>
  <si>
    <t xml:space="preserve">cita encontrada; cifra no comprobable en el resumen (PMID 27294343, DOI 10.18632/aging.100981: 10 pacientes y 5-24 meses coinciden; cifras de mejora no incluidas en el resumen)</t>
  </si>
  <si>
    <t xml:space="preserve">ReCODE escalado</t>
  </si>
  <si>
    <t xml:space="preserve">Rao RV, Kumar S, ... Bredesen DE, Biomedicines 2021</t>
  </si>
  <si>
    <t xml:space="preserve">pre-post sin control</t>
  </si>
  <si>
    <t xml:space="preserve">Deterioro subjetivo, MCI y Alzheimer inicial</t>
  </si>
  <si>
    <t xml:space="preserve">Dieta, estilo de vida, medicación y suplementos con consultas</t>
  </si>
  <si>
    <t xml:space="preserve">MoCA 'significantly improved or stabilized'; glucosa, hs-CRP, HOMA-IR y vitamina D mejoraron; menos exitoso que el ensayo de prueba de concepto</t>
  </si>
  <si>
    <t xml:space="preserve">Autores de Apollo Health; no consta más</t>
  </si>
  <si>
    <t xml:space="preserve">cita encontrada; cifra coincide (PMID 34680464, DOI 10.3390/biomedicines9101348: 255 participantes, MoCA a 2-12 meses)</t>
  </si>
  <si>
    <t xml:space="preserve">PMID 34680464; DOI 10.3390/biomedicines9101348</t>
  </si>
  <si>
    <t xml:space="preserve">https://pubmed.ncbi.nlm.nih.gov/34680464/</t>
  </si>
  <si>
    <t xml:space="preserve">ReCODE y depresión</t>
  </si>
  <si>
    <t xml:space="preserve">Rao RV et al., Brain Sci 2025</t>
  </si>
  <si>
    <t xml:space="preserve">retrospectivo pre-post</t>
  </si>
  <si>
    <t xml:space="preserve">31 días</t>
  </si>
  <si>
    <t xml:space="preserve">Guía en dieta, estilo de vida, medicación y suplementos</t>
  </si>
  <si>
    <t xml:space="preserve">Reducción significativa de PHQ-9 en todas las categorías; los autores: asociativo y generador de hipótesis</t>
  </si>
  <si>
    <t xml:space="preserve">no consta; autor Bredesen</t>
  </si>
  <si>
    <t xml:space="preserve">cita encontrada; cifra coincide (PMID 41594723, DOI 10.3390/brainsci16010002: 170 pacientes, 31 días, PHQ-9)</t>
  </si>
  <si>
    <t xml:space="preserve">https://pubmed.ncbi.nlm.nih.gov/41594723/</t>
  </si>
  <si>
    <t xml:space="preserve">ReCODE: pareja que lo pagó</t>
  </si>
  <si>
    <t xml:space="preserve">Prensa crítica</t>
  </si>
  <si>
    <t xml:space="preserve">Boston Globe, 31 may 2025</t>
  </si>
  <si>
    <t xml:space="preserve">caso periodístico</t>
  </si>
  <si>
    <t xml:space="preserve">Mujer diagnosticada a los 61 por punción lumbar, 2021</t>
  </si>
  <si>
    <t xml:space="preserve">~8 meses (jul 2024 a feb 2025)</t>
  </si>
  <si>
    <t xml:space="preserve">Dieta cetogénica modificada, 34 cápsulas + 2 cacitos de polvo (ashwagandha, omega-3, curcumina, ginseng, melena de león, glutatión liposomal), TRH</t>
  </si>
  <si>
    <t xml:space="preserve">Observación del esposo</t>
  </si>
  <si>
    <t xml:space="preserve">En sep 2024 el esposo vio pocos beneficios; no podía seguir terapia; dejaron el protocolo; Bredesen: 'not representative'</t>
  </si>
  <si>
    <t xml:space="preserve">Bredesen vende programa; ensayos de 10-25 participantes sin control según la Alzheimer's Association</t>
  </si>
  <si>
    <t xml:space="preserve">~25.000 USD en 8 meses; ~1.000 USD/mes en suplementos; 450 USD/h; cuota 810 USD</t>
  </si>
  <si>
    <t xml:space="preserve">https://www.bostonglobe.com/2025/05/31/nation/an-expensive-alzheimers-lifestyle-plan-offers-false-hope-experts-say/</t>
  </si>
  <si>
    <t xml:space="preserve">Melena de león (Hericium erinaceus) 16 semanas</t>
  </si>
  <si>
    <t xml:space="preserve">Ensayo japonés</t>
  </si>
  <si>
    <t xml:space="preserve">Mori K et al., Phytother Res 2009</t>
  </si>
  <si>
    <t xml:space="preserve">30 (15 por grupo)</t>
  </si>
  <si>
    <t xml:space="preserve">Cuatro tabletas de 250 mg (96% polvo seco) tres veces al día</t>
  </si>
  <si>
    <t xml:space="preserve">Puntuaciones mayores que placebo en semanas 8, 12 y 16; bajaron significativamente 4 semanas tras suspender</t>
  </si>
  <si>
    <t xml:space="preserve">Sin efectos adversos en análisis de laboratorio</t>
  </si>
  <si>
    <t xml:space="preserve">12 tabletas de 250 mg al día (3 g) durante 16 semanas, según el estudio</t>
  </si>
  <si>
    <t xml:space="preserve">cita encontrada; cifra coincide (PMID 18844328, DOI 10.1002/ptr.2634: 30 sujetos, 15 por grupo, 4 tabletas de 250 mg tres veces al día, 16 semanas, efecto en semanas 8, 12 y 16)</t>
  </si>
  <si>
    <t xml:space="preserve">Registro Taiwan</t>
  </si>
  <si>
    <t xml:space="preserve">NCT04065061, Chung Shan Medical University con Grape King Bio</t>
  </si>
  <si>
    <t xml:space="preserve">aleatorizado doble ciego, placebo</t>
  </si>
  <si>
    <t xml:space="preserve">Micelio con erinacina A frente a placebo</t>
  </si>
  <si>
    <t xml:space="preserve">MMSE, NPI, CASI, IADL, amiloide beta, fMRI, visión</t>
  </si>
  <si>
    <t xml:space="preserve">COMPLETED (2017); hasResults=False</t>
  </si>
  <si>
    <t xml:space="preserve">Colaborador industrial Grape King Bio Ltd.</t>
  </si>
  <si>
    <t xml:space="preserve">cita encontrada; cifra no comprobable en el resumen (NCT04065061: n=68 coincide; inicio en el registro 2015-05-22; la fecha 2017 de la fila no se comprueba)</t>
  </si>
  <si>
    <t xml:space="preserve">Fotobiomodulación 810 nm transcraneal e intranasal</t>
  </si>
  <si>
    <t xml:space="preserve">Terapia de luz doméstica</t>
  </si>
  <si>
    <t xml:space="preserve">Saltmarche AE, Naeser MA, Ho KF, Hamblin MR, Lim L, Photomed Laser Surg 2017</t>
  </si>
  <si>
    <t xml:space="preserve">Demencia leve a moderadamente grave, MMSE 10-24</t>
  </si>
  <si>
    <t xml:space="preserve">810 nm pulsado 10 Hz; semanal en clínica + diario en casa con dispositivo intranasal</t>
  </si>
  <si>
    <t xml:space="preserve">MMSE y ADAS-cog</t>
  </si>
  <si>
    <t xml:space="preserve">MMSE p&lt;0,003; ADAS-cog p&lt;0,023; mejor sueño, menos ira, ansiedad y vagabundeo; descensos acusados en las 4 semanas sin tratamiento</t>
  </si>
  <si>
    <t xml:space="preserve">Sin efectos adversos negativos</t>
  </si>
  <si>
    <t xml:space="preserve">cita encontrada; cifra no comprobable en el resumen (PMID 28186867, DOI 10.1089/pho.2016.4227: 810 nm, 10 Hz y MMSE 10-24 coinciden; los valores de p no se leyeron)</t>
  </si>
  <si>
    <t xml:space="preserve">CBD (aceite)</t>
  </si>
  <si>
    <t xml:space="preserve">CBD oil en foro polaco de cuidadores</t>
  </si>
  <si>
    <t xml:space="preserve">Análisis temático de foro</t>
  </si>
  <si>
    <t xml:space="preserve">Kłosińska U, Leszko M, J Drug Issues 2024</t>
  </si>
  <si>
    <t xml:space="preserve">análisis temático</t>
  </si>
  <si>
    <t xml:space="preserve">67 posts, 570 comentarios</t>
  </si>
  <si>
    <t xml:space="preserve">Cuidadores de demencia</t>
  </si>
  <si>
    <t xml:space="preserve">Experimentos con dosis; retirada de toda la medicación una noche</t>
  </si>
  <si>
    <t xml:space="preserve">Actitudes y prácticas</t>
  </si>
  <si>
    <t xml:space="preserve">Esperaban mejora de conducta, cognición, comunicación y actividades; veían el CBD más seguro y eficaz que lo convencional</t>
  </si>
  <si>
    <t xml:space="preserve">Prácticas peligrosas descritas por los autores</t>
  </si>
  <si>
    <t xml:space="preserve">No lista financiador</t>
  </si>
  <si>
    <t xml:space="preserve">cita no encontrada (DOI 10.1177/00220426221145019 no devuelve resultados en Europe PMC)</t>
  </si>
  <si>
    <t xml:space="preserve">DOI 10.1177/00220426221145019</t>
  </si>
  <si>
    <t xml:space="preserve">https://share.swps.edu.pl/handle/swps/593</t>
  </si>
  <si>
    <t xml:space="preserve">CBD:THC (aceite)</t>
  </si>
  <si>
    <t xml:space="preserve">CBD:THC 50:5 mg/mL, 0,2 mL/día</t>
  </si>
  <si>
    <t xml:space="preserve">Registro Latinoamérica</t>
  </si>
  <si>
    <t xml:space="preserve">NCT06570928, Universidad Federal de Integración Latinoamericana</t>
  </si>
  <si>
    <t xml:space="preserve">0,2 mL diario de CBD:THC 50 mg:5 mg</t>
  </si>
  <si>
    <t xml:space="preserve">MMSE; Cornell, GDS, QoL, Epworth</t>
  </si>
  <si>
    <t xml:space="preserve">COMPLETED (2025); hasResults=False</t>
  </si>
  <si>
    <t xml:space="preserve">cita encontrada; cifra coincide (NCT06570928: n=72 coincide)</t>
  </si>
  <si>
    <t xml:space="preserve">Litio en MCI (Pittsburgh) y registros</t>
  </si>
  <si>
    <t xml:space="preserve">Litio a dosis bajas</t>
  </si>
  <si>
    <t xml:space="preserve">NCT03185208, Gildengers (con NIA)</t>
  </si>
  <si>
    <t xml:space="preserve">Litio frente a control</t>
  </si>
  <si>
    <t xml:space="preserve">CVLT-II, BVMT-R</t>
  </si>
  <si>
    <t xml:space="preserve">CVLT-II: 6,9 (DE 4,0) vs 6,2 (DE 4,6), interacción tratamiento x tiempo 0,69, p=0,048; BVMT-R: 5,97 vs 5,9, p=0,78</t>
  </si>
  <si>
    <t xml:space="preserve">NIA colaborador</t>
  </si>
  <si>
    <t xml:space="preserve">cita encontrada; cifra no comprobable en el resumen (NCT03185208: n=83 coincide; resultados CVLT-II y BVMT-R no leídos)</t>
  </si>
  <si>
    <t xml:space="preserve">Azul de metileno</t>
  </si>
  <si>
    <t xml:space="preserve">HMTM / azul de metileno derivado</t>
  </si>
  <si>
    <t xml:space="preserve">Subgrupos post hoc de la empresa</t>
  </si>
  <si>
    <t xml:space="preserve">Alzforum Therapeutics, HMTM</t>
  </si>
  <si>
    <t xml:space="preserve">revisión de ensayos fase 3</t>
  </si>
  <si>
    <t xml:space="preserve">891; 800 planificados; 598 en LUCIDITY</t>
  </si>
  <si>
    <t xml:space="preserve">12 meses a 18 meses</t>
  </si>
  <si>
    <t xml:space="preserve">150-250 mg/día; 16 mg/día frente a 8 mg/semana</t>
  </si>
  <si>
    <t xml:space="preserve">ADAS-cog, CDR</t>
  </si>
  <si>
    <t xml:space="preserve">Fases 3 anteriores negativas; reanálisis de TauRx abril 2025: 83% menor progresión ADAS-Cog13, 77% CDR-SB, 35% menos pérdida de volumen cerebral, con controles externos</t>
  </si>
  <si>
    <t xml:space="preserve">TauRx patrocinador y desarrollador; 'placebo' con 4 mg de TRx0237 como colorante</t>
  </si>
  <si>
    <t xml:space="preserve">cita encontrada; cifra coincide (NCT03446001: 598; NCT01689246: 891; NCT01689233: 800). Página alzforum.org no accesible (HTTP 403)</t>
  </si>
  <si>
    <t xml:space="preserve">NCT03446001; NCT01689246; NCT01689233</t>
  </si>
  <si>
    <t xml:space="preserve">https://www.alzforum.org/therapeutics/hmtm</t>
  </si>
  <si>
    <t xml:space="preserve">Creencias latinas (sin intervención)</t>
  </si>
  <si>
    <t xml:space="preserve">Creencias latinas sobre intervenciones</t>
  </si>
  <si>
    <t xml:space="preserve">Latinoamérica en Nueva York</t>
  </si>
  <si>
    <t xml:space="preserve">Tran E, Cabán M et al., Int J Geriatr Psychiatry 2025</t>
  </si>
  <si>
    <t xml:space="preserve">entrevistas semiestructuradas</t>
  </si>
  <si>
    <t xml:space="preserve">216</t>
  </si>
  <si>
    <t xml:space="preserve">Latinos de 40-60 años</t>
  </si>
  <si>
    <t xml:space="preserve">Creencias sobre control de la enfermedad</t>
  </si>
  <si>
    <t xml:space="preserve">Algunos pensaban que suplementos herbales y nutricionales podían ayudar; muchos, estimulación mental; pocos, dieta y ejercicio</t>
  </si>
  <si>
    <t xml:space="preserve">Subvenciones NIH, NCATS y NIA</t>
  </si>
  <si>
    <t xml:space="preserve">cita encontrada; cifra coincide (PMID 40627435, DOI 10.1002/gps.70128: 216 entrevistados de 40-60 años; NCT04471779 registrado)</t>
  </si>
  <si>
    <t xml:space="preserve">PMID 40627435; NCT04471779</t>
  </si>
  <si>
    <t xml:space="preserve">https://pubmed.ncbi.nlm.nih.gov/40627435/</t>
  </si>
  <si>
    <t xml:space="preserve">Índice GreenMedInfo (sin intervención)</t>
  </si>
  <si>
    <t xml:space="preserve">Índice GreenMedInfo de abstracts</t>
  </si>
  <si>
    <t xml:space="preserve">Índice de estudios heterodoxo</t>
  </si>
  <si>
    <t xml:space="preserve">GreenMedInfo, tema Alzheimer's Disease</t>
  </si>
  <si>
    <t xml:space="preserve">índice</t>
  </si>
  <si>
    <t xml:space="preserve">3.872 abstracts</t>
  </si>
  <si>
    <t xml:space="preserve">mixta</t>
  </si>
  <si>
    <t xml:space="preserve">Recuento por sustancia</t>
  </si>
  <si>
    <t xml:space="preserve">576 sustancias naturales; curcumina 270 resúmenes, melatonina 171, extractos vegetales 156; parte con pago</t>
  </si>
  <si>
    <t xml:space="preserve">no consta; membresía de pago</t>
  </si>
  <si>
    <t xml:space="preserve">https://greenmedinfo.com/disease/alzheimers-disease</t>
  </si>
  <si>
    <t xml:space="preserve">Nº estudios o fuentes</t>
  </si>
  <si>
    <t xml:space="preserve">Mejora</t>
  </si>
  <si>
    <t xml:space="preserve">Sin cambio</t>
  </si>
  <si>
    <t xml:space="preserve">Empeora</t>
  </si>
  <si>
    <t xml:space="preserve">Mixto</t>
  </si>
  <si>
    <t xml:space="preserve">Citas encontradas</t>
  </si>
  <si>
    <t xml:space="preserve">Citas no encontradas</t>
  </si>
  <si>
    <t xml:space="preserve">TOTAL</t>
  </si>
  <si>
    <t xml:space="preserve">Título</t>
  </si>
  <si>
    <t xml:space="preserve">Tesis</t>
  </si>
  <si>
    <t xml:space="preserve">Defensores</t>
  </si>
  <si>
    <t xml:space="preserve">Mecanismos propuestos</t>
  </si>
  <si>
    <t xml:space="preserve">Consenso y quién lo paga</t>
  </si>
  <si>
    <t xml:space="preserve">Lo enterrado</t>
  </si>
  <si>
    <t xml:space="preserve">Protocolos reportados</t>
  </si>
  <si>
    <t xml:space="preserve">Riesgos reconocidos por defensores</t>
  </si>
  <si>
    <t xml:space="preserve">Fuentes heterodoxas</t>
  </si>
  <si>
    <t xml:space="preserve">Ideas para la app</t>
  </si>
  <si>
    <t xml:space="preserve">Notas del investigador</t>
  </si>
  <si>
    <t xml:space="preserve">Cobre, zinc y metales</t>
  </si>
  <si>
    <t xml:space="preserve">La línea heterodoxa mantiene que el desequilibrio de metales, no solo el amiloide, impulsa el Alzheimer. Brewer sostiene que el cobre inorgánico ingerido es causa; Squitti defiende un subtipo con cobre libre elevado tratable con zinc; otros sostienen déficit de cobre cerebral; Yankner/Nature 2025 sitúa el déficit de litio como evento temprano.</t>
  </si>
  <si>
    <t xml:space="preserve">• George J. Brewer (Univ. Michigan, hipótesis Copper-2)
• Rosanna Squitti (cobre libre, ZINCAiD)
• Orestes Forlenza (Univ. Sao Paulo, litio)
• Nunes, Viel y Buck (microdosis de litio)
• Bruce Yankner (Harvard, litio endógeno)
• Christopher Exley (aluminio y silicio)
• Ashley Bush (Prana, PBT2)
• Libro 'Hope for Alzheimer's and Dementia: Lithium Orotate, the Story of a Mineral' (aparece en búsqueda web)</t>
  </si>
  <si>
    <t xml:space="preserve">• Zinc induce metalotioneína intestinal y bloquea absorción de cobre (Squitti 2020)
• Cobre-2 absorbido directo a la sangre (Brewer)
• Cobre se une a Abeta y favorece su acúmulo (Sparks 2006)
• Litio inhibe GSK-3beta, reduce fosfo-tau, aumenta BDNF
• Amiloide secuestra litio y el orotato lo evade (Aron 2025)
• Magnesio eleva densidad sináptica y señal NMDA
• Sílice en agua facilita eliminar aluminio</t>
  </si>
  <si>
    <t xml:space="preserve">Las fuentes abiertas indican que los ensayos de cobre y zinc fueron pequeños y negativos en el análisis primario (Kessler 2008, ZINCAiD). Financiadores citados: NIH, Alzheimer's Association, ministerios y, en algunos productos, industria (Prana, Adeona, Medesis, Alltech, Neurocentria, Threotech). No se encontró en esta pasada un análisis de quién se beneficia de no investigar; no se afirma nada más.</t>
  </si>
  <si>
    <t xml:space="preserve">• NCT00608946 cobre orotato Saarland: registro sin resultados (publicado en 2008)
• NCT01099332 zinc cisteína Adeona: estado UNKNOWN, sin resultados
• NCT05423522 NanoLithium NP03 Medesis: completado 2024, sin resultados en el registro
• NCT03531684 y NCT03601169 MMFS Neurocentria: completados, sin resultados
• NCT00088387 litio y divalproato NINDS: completado, sin resultados
• NCT02601859 litio GSK-3 DCL Dundee: completado, sin resultados
• NCT01731093 antioxidante Alltech AT-001: sin resultados
• NCT02204969 LIWA Alzheimer: estado UNKNOWN</t>
  </si>
  <si>
    <t xml:space="preserve">• Cobre: 8 mg Cu/día como orotato 12 meses (Kessler)
• Zinc: 135 mg/día 12 semanas y luego 65 mg/día (ZINCAiD)
• Litio: 0.25-0.5 mmol/L (Forlenza); 300 microg/día (Nunes)
• Magtein: 1,800 mg/día (Stanford)
• Nuez de Brasil: 1 al día, ~288.75 microg Se (Cardoso)
• Agua rica en silicio: hasta 1 L/día (Exley)
• Brewer: evitar multiminerales con cobre y filtrar cobre del grifo</t>
  </si>
  <si>
    <t xml:space="preserve">• Brewer: cobre-2 muy tóxico para cognición
• Deferiprona empeoró cognición (Ayton 2025)
• Efectos digestivos del zinc (ZINCAiD)
• Litio: monitorización de litemia y riñón (estudios con 0.6-0.8 mEq/L)
• Efecto no lineal del litio en agua (Kessing)</t>
  </si>
  <si>
    <t xml:space="preserve">• https://pmc.ncbi.nlm.nih.gov/articles/PMC6405820
• Mayo Clinic Connect hilos de orotato de litio (devueltos por búsqueda, WebFetch dio 403 y no se abrieron): https://connect.mayoclinic.org/comment/1622424/
• https://www.betterread.com.au/book/hope-for-alzheimers-and-dementia-lithium-orotate-the-story-of-a-mineral.do</t>
  </si>
  <si>
    <t xml:space="preserve">• Diario de cognición simple semanal (MMSE-like casero) junto con registro de suplementos
• Recordatorio de analíticas: ceruloplasmina, cobre, zinc, litemia, función renal
• Registro de ratio Cu/Zn y Se/Cu en el tiempo
• Ficha de eventos adversos y alarmas
• Exportar el diario para el médico</t>
  </si>
  <si>
    <t xml:space="preserve">Europe PMC (20+ consultas), ClinicalTrials.gov API v2 (7 consultas), WebSearch (3) y WebFetch. Foros (Mayo Connect) devolvieron 403; no se abrieron. No se encontraron ensayos humanos de cobre en cama/ropa/pulseras en Alzheimer (solo pulsera en artritis). No se halló ensayo de zinc Brewer 2008/2011 por PMID ni Constantinidis. Sin consultas a Ayurveda/medicina tibetana con resultados relevantes; el único resultado fue un vaso de cobre (Richter 1986) no abierto. No se agotó ningún cupo. Resultados de mercurio: Kröger 2016 sin resumen. | Verificación documental (Europe PMC, ClinicalTrials.gov API v2): 44 de 44 citas encontradas, 0 no encontradas; 32 cifras coinciden con la fuente; 12 no comprobables en el resumen (resultado cualitativo o cifra ausente del resumen); 0 cifras difieren. Página no accesible: 0 (la patente EP1779857 se comprobó por EPMC, no por su enlace web, que devuelve 403).</t>
  </si>
  <si>
    <t xml:space="preserve">Psilocibina, psicodélicos, ketamina, microdosis, cannabinoides y nootrópicos</t>
  </si>
  <si>
    <t xml:space="preserve">La línea heterodoxa sostiene que los psicodélicos serotoninérgicos (psilocibina, LSD, DMT) y los cannabinoides actúan sobre neuroplasticidad, neuroinflamación y síntomas conductuales de la demencia, y que la enfermedad avanzada conserva capacidad funcional residual que podría volver a ser accesible (Lago 2026). Los defensores sitúan las microdosis como vía de prevención o tratamiento temprano. Para los nootrópicos (piracetam, Noopept) la tesis es la neuroprotección colinérgica y de neurotrofinas. Lo encontrado en demencia humana es casi todo pequeño, abierto o en animales.</t>
  </si>
  <si>
    <t xml:space="preserve">• Marcos Lago, Mariana Cerveira, Joe Xavier Simonet, Associação Cruz de Ankh, São Paulo (caso de psilocibina)
• Paul Stamets (stack de psilocibina, melena de león y niacina; solicitudes de patente)
• Eleusis (programa de LSD a dosis bajas para Alzheimer; Family 2020)
• Johns Hopkins (NCT04123314), Toronto CAMH (Bukovsky, Gerretsen), NIA (NCT07721467)
• Vann Jones y O'Kelly 2020 (revisión Front Synaptic Neurosci)
• Ashok Shetty, Texas A&amp;M (psilocibina en 5xFAD)
• Krista Lanctôt y Nathan Herrmann, Sunnybrook (nabilona); Paul Rosenberg, Johns Hopkins (dronabinol)
• Instituto Zakusov, Moscú (Noopept, Gudasheva)
• Biomind Labs (5-MeO-DMT en deterioro cognitivo)</t>
  </si>
  <si>
    <t xml:space="preserve">• Agonismo 5-HT2A, BDNF/TrkB, mTOR, sinaptogénesis y espinas dendríticas (Vieira-Andrade 2026)
• Reducción de neuroinflamación: NLRP3, p38 MAPK, cGAS-STING, NF-kB (Madhu 2025; Jóźwiak-Bębenista 2026)
• Neurogénesis hipocampal y proteínas sinápticas GAP43, sinaptofisina, SV2A (Shahar 2024; Madhu 2025)
• Restauración de oscilaciones gamma, SIRT1 y biogénesis mitocondrial (Vann Jones 2020)
• Efecto séquito: el extracto completo de seta superaría a la psilocibina aislada (Shahar 2024)
• Sistema endocannabinoide para agitación, apetito y sueño (Pan 2025; Volicer 1997)
• Noopept: metabolito ciclo-prolilglicina, BDNF y NGF en hipocampo, mayor señal colinérgica (ficha ADDF)
• Ketamina y metabolito HNK: BDNF, GLT-1, relación E/I prefrontal en ratones (Yang 2026)</t>
  </si>
  <si>
    <t xml:space="preserve">Las revisiones que leí dicen que los ensayos de psicodélicos en demencia no están publicados (Vieira-Andrade 2026) y que la evidencia clínica es muy limitada. Sobre piracetam, el Cochrane señala que la empresa que lo comercializa no liberó resultados de varios ensayos y que una revisión previa fue de empleados y consultores de UCB. Algunos autores de la línea cannabinoide declaran honorarios de farmacéuticas (Lanctôt: Bristol Myers Squibb, Eisai, Lundbeck, Merck, Novo Nordisk, Praxis; Black: Genentech, Roche, Lilly, Eisai/Biogen). El ensayo de LSD en mayores lo financió Eleusis; el de PME vs psilocibina, empresas de setas (BYAS, Parow). Los ensayos con dronabinol de Hopkins tienen subvenciones del NIA. No encontré quién financia a la postura oficial más allá de estos datos.</t>
  </si>
  <si>
    <t xml:space="preserve">• NCT00567060: piracetam 9600 y 4800 mg/día durante 12 meses en 676 personas con deterioro cognitivo leve (UCB), completado en 2004, sin resultados en el registro
• NCT03328676: cannabis sublingual en agitación demencia, 64 personas, TO Pharmaceuticals, completado 2019, sin resultados
• NCT06812221: 5-MeO-DMT sublingual en Alzheimer leve-moderado, Biomind Labs, 20 personas, completado marzo 2025, sin resultados
• NCT01302340: THC en comprimidos, Radboud, 22 personas, completado 2013, sin resultados en el registro (hay un artículo de farmacocinética de 10 pacientes: PMID 25752889, no puedo afirmar que sea el mismo)
• NCT05239390: dronabinol + PEA en Alzheimer, 20 estimados, estado desconocido
• NCT05742698: nabilona en demencia frontotemporal, terminado con 3 participantes por falta de reclutamiento y financiación
• NCT06570928 (72 personas, completado marzo 2025) y NCT07091747: cannabinoides en Alzheimer en Brasil sin resultados publicados
• NCT05644262: THC/CBD en hospicio con demencia, USC, 120 personas, completado abril 2026, sin resultados
• Cochrane piracetam: ensayos no liberados por la empresa</t>
  </si>
  <si>
    <t xml:space="preserve">• Caso Lago: 5 g de setas Enigma, luego 3 g un mes después, en práctica privada, con familia cuidando
• Pilotos con psilocibina: 15-25 mg x2 (NCT04123314: 15 mg/70 kg y opcional 25 mg; Bukovsky: dos dosis de 25 mg con una semana de diferencia, médico y terapeuta)
• LSD en mayores sanos: 5, 10 o 20 microgramos cada 4 días, 6 dosis
• Dronabinol 10 mg/día en dos tomas 3 semanas (Rosenberg)
• Nabilona 1-2 mg/día (media 1,6 mg) 6 semanas; caso con 500 microgramos/día
• THC:CBD 1:2 hasta 20/40 mg al día 8 semanas (Bianchi); CBD 300 mg/día 4 semanas (Pessoa)
• Piracetam 8 g/día un año (Croisile); Noopept 10 mg dos veces al día 56 días (Neznamov)
• Stack de Stamets: psilocibina a dosis bajas, melena de león y niacina; no encontré dosis verificada</t>
  </si>
  <si>
    <t xml:space="preserve">• Lago: caso único sin control; no hay recomendación de uso sin supervisión; fase aguda con sudoración, sospecha de hipertermia y sueño profundo
• Vann Jones 2020: taquifilaxia, posible supresión de neurogénesis a dosis altas, menor atención, hiperactividad en ratas con LSD crónico, dolor de cabeza con LSD en mayores
• Somnolencia con cannabinoides: RR 2,25 (IC95 1,43-3,54); sedación 45% vs 16% con nabilona; sedación y cognición deben vigilarse (Herrmann 2019)
• En SIB la diferencia favoreció a placebo frente a nabilona en 25 pacientes
• Lima-Filho 2025: la ketamina crónica indujo un perfil transcripcional parecido al de ratones APP/PS1 y piden cautela
• Volicer 1997: una crisis epiléptica y 2 infecciones graves entre los que dejaron el estudio
• Noopept: presión arterial elevada 7/31, insomnio 5/31, irritabilidad 3/31; piracetam interactúa con anticoagulantes (ADDF, según búsqueda)
• Foro: avisos de interacciones de la melena de león con fármacos</t>
  </si>
  <si>
    <t xml:space="preserve">• https://patents.justia.com/inventor/paul-edward-stamets
• https://healingmaps.com/your-brain-on-mushrooms-a-breakdown-of-the-stamets-stack/
• https://northspore.substack.com/p/what-is-the-stamets-stack-and-does
• https://jlsfund.substack.com/p/an-alzheimers-patient-experienced
• https://www.psypost.org/an-80-year-old-woman-with-advanced-alzheimers-regained-speech-and-mobility-after-taking-psilocybin/
• https://portal.prod.caregivers.com/questions/any-experience-with-lions-mane-460809.htm
• https://www.alzdiscovery.org/uploads/cognitive_vitality_media/Noopept-Cognitive-Vitality-For-Researchers.pdf
• https://www.alzheimer-europe.org/news/eleusis-reports-results-phase-i-trial-lsd-older-healthy-participants</t>
  </si>
  <si>
    <t xml:space="preserve">• Diario diario con NPI-Q breve, CMAI corto y un registro de agitación, sueño, apetito y peso, para que la familia mida cualquier cambio con la misma escala que usan los ensayos
• Hoja de línea base de 2 semanas antes de cualquier cambio, con gráfica de tendencia y marcas de fecha
• Registro de eventos adversos de la lista de cada fuente (somnolencia, caídas, presión arterial, hipertermia) con alertas
• Registro de medicación con aviso de interacciones y de cambios simultáneos para no confundir efectos
• Biblioteca con las dosis y escalas exactas de cada fuente y enlaces a los registros de ensayos para ver si hay resultados
• Plantilla para llevar los datos al médico y exportación en CSV</t>
  </si>
  <si>
    <t xml:space="preserve">Consultas: Europe PMC (unas 30 búsquedas y lecturas de resumen/texto completo en PMC), ClinicalTrials.gov API v2 (7 búsquedas y 14 fichas), PubMed efetch (4), WebSearch (6) y WebFetch (7). No pude abrir Reddit (bloqueado por la herramienta); no encontré hilos de Reddit, AlzConnected, Longecity, GreenMedInfo, Examine ni SelfHacked, ni abrí Google Patents (solo listado de Justia). No encontré ensayos de ketamina, MDMA, ibogaína ni mescalina en personas con Alzheimer. Los resúmenes de congreso (Alzheimers Dement 2025, CINP 2026, RCPsych 2026) no son artículos completos. La mayoría de los resúmenes no traían sección de financiación; escribí no consta. No se agotó ningún cupo. Una fila (Bianchi 2026) enlaza por DOI porque no abrí su ficha de PubMed. |  RESUMEN DE VERIFICACION (documentalista, 40 filas): citas encontradas 39 (37 con PMID/DOI/PMCID/NCT y 2 webs accesibles; 1 web no accesible, Justia HTTP 403); citas no encontradas 0. Cifras: 22 coinciden (13 comprobadas en resumen de Europe PMC y 9 de registro NCT), 15 no comprobables en el resumen disponible (varios son resúmenes de congreso o casos sin abstract en Europe PMC), 0 difieren. Pendiente para la familia: fila de Bianchi (dossier n=25 aleatorizados frente a 27 inscritos en NCT05432206). Fuera de esta tarea: el usuario pidió empezar el plan de la app con esta base; esta pasada solo verifica citas.</t>
  </si>
  <si>
    <t xml:space="preserve">Nicotina, cafeína y colinérgicos</t>
  </si>
  <si>
    <t xml:space="preserve">La línea heterodoxa sostiene que el sistema colinérgico (acetilcolina, receptores nicotínicos) se degrada pronto en el Alzheimer, que sustancias baratas o de dominio público (nicotina en parche, huperzina A, colina/alfa-GPC/citicolina, cafeína/café, fosfatidilserina, teanina) actúan sobre él o sobre la amiloide, y que los ensayos grandes no se hacen porque no son patentables. La paradoja del fumador (menor Alzheimer en estudios caso-control antiguos) se cita como indicio nicotínico, aunque la literatura de cohortes lo contradice.</t>
  </si>
  <si>
    <t xml:space="preserve">• Paul Newhouse (Vanderbilt/USC), ensayos de nicotina en MCI y estudio MIND: https://clinicaltrials.gov/study/NCT02720445
• Gary Arendash y Chuanhai Cao (Univ. South Florida), cafeína y café en ratones y MCI: PMID 16938404, 19581722, 22430531
• Francesco Amenta (Camerino, Italia), alfoscerato de colina, ensayo ASCOMALVA: PMID 24898643
• Michael Heinrich, historia de la galantamina de Galanthus: PMID 15137996
• Alzheimer's Drug Discovery Foundation, Cognitive Vitality (informe sobre nicotina): https://www.alzdiscovery.org/cognitive-vitality/ratings/nicotine
• Examine.com (huperzina A, rango 50-200 mcg/día según su página): https://examine.com/supplements/Huperzine-A</t>
  </si>
  <si>
    <t xml:space="preserve">• Nicotina: activa receptores nicotínicos alfa4beta2 y alfa7 deficitarios en Alzheimer; mejora atención (CPT)
• Huperzina A: inhibe acetilcolinesterasa; en ratones activa Wnt/beta-catenina, sube ADAM10, baja BACE1 y GSK3 (PMID 21289607)
• Cafeína: antagonista de adenosina; en ratones reduce BACE1, PS1 y Aβ; baja GSK3 (PMID 16938404, 19581722)
• Colina/alfa-GPC/citicolina: precursores de acetilcolina y fosfolípidos de membrana
• Café tostado: pirocatecol y proteasoma reducen BACE1 en SH-SY5Y (PMID 30144352)
• Teanina: efectos en Aβ1-42 en SH-SY5Y (PMID 41230384, solo título leído)</t>
  </si>
  <si>
    <t xml:space="preserve">El resumen de Rafii 2011 califica la huperzina 200 mcg x2 de sin efecto (Clase III) y MIND (NCT02720445) no mostró diferencias en su primaria. La literatura caso-control favorable a fumar incluye estudios con autores afiliados a la industria tabacalera (11 de 43 en Cataldo 2010, PMID 20110594), cuya regresión asocia afiliación con menor riesgo estimado (-0,37, P=0,008). Los ensayos de huperzina en curso son de farmacéuticas chinas (Luye NCT01282619, Wanbangde NCT07066826); los de alfoscerato son de Daewoong (NCT05383183), Yuhan (NCT03441516), Chong Kun Dang (NCT05041790). El ensayo de e-cigarrillo es de British American Tobacco. Colina dietética: la autora declara financiación del Egg Nutrition Center y Balchem. El estudio MIND cuenta con apoyo NIA; ADDF publica su informe de nicotina y financia MIND.</t>
  </si>
  <si>
    <t xml:space="preserve">• NCT00091468: ensayo NIA de nicotina en MCI (75 previstos), estado UNKNOWN, sin resultados en CT.gov
• NCT01282619: huperzina A liberación sostenida (Luye, 390), UNKNOWN desde 2011, sin resultados
• NCT02211560: fosfatidilserina-omega3 en MCI, TERMINADO por reclutamiento, sin resultados
• NCT05383183 (Daewoong, 630, Alzheimer, UNKNOWN), NCT03441516 (Yuhan, 79, Alzheimer, UNKNOWN), NCT02648906 (alfoscerato+donepezilo, UNKNOWN), NCT05041790 (MCI, UNKNOWN): sin resultados en CT.gov
• NCT05200208: citicolina en Alzheimer (Emory), completado dic-2025, sin resultados
• NCT01594086: té verde en deterioro cognitivo (Univ. Shizuoka, 15), completado, sin resultados
• NCT00083590: huperzina ADCS; CT.gov sin resultados registrados aunque hay publicación (PMID 21502597)
• Resultados de MIND publicados en CT.gov en sep-2026 antes de cualquier artículo que haya encontrado</t>
  </si>
  <si>
    <t xml:space="preserve">• Nicotina MCI: 15 mg/día en parche 6 meses (Newhouse 2012)
• MIND: 3,5 mg a 21 mg en 5 semanas, 21 mg hasta 24 meses, llevado en horas de vigilia
• Huperzina A: 200-400 mcg dos veces al día (Rafii 2011); 400 mcg/día (Zhang 2002); rango de 50-200 mcg/día en Examine; una patente cita 5-20 mg (US8097726, no verificada)
• Alfa-GPC 600 mg/día 12 semanas (Jeon 2024); 1.200 mg/día en protocolo Carotenuto
• Citicolina 500 mg dos veces al día (IDEALE)
• Fosfatidilserina 300 mg/día (Engel; Crook)
• Cafeína 400 mg/día en 2 tomas (CAFCA); equivalente de 500 mg en ratones
• Café: 2-3 tazas/día con cafeína en cohortes JAMA 2026
• Té verde + teanina 1.680 mg/día 16 semanas (Park 2011)</t>
  </si>
  <si>
    <t xml:space="preserve">• Nicotina: adicción, alteración del sueño (Wilson 1995; ADDF), molestias gastrointestinales, interacciones; ADDF dice que el tabaco probablemente aumenta el riesgo de demencia
• Huperzina: efectos colinérgicos digestivos; edema de tobillos e insomnio en 3% (Zhang 2002); náuseas
• Rotterdam: fumar actual HR 1,56 para Alzheimer; Rusanen: &gt;2 paquetes/día HR 2,57
• Cafeína: sueño (estudio CAFCA incluye dieta sin cafeína previa)</t>
  </si>
  <si>
    <t xml:space="preserve">• https://www.alzdiscovery.org/cognitive-vitality/ratings/nicotine
• https://examine.com/supplements/Huperzine-A
• https://patientworthy.com/2025/05/02/a-nicotine-patch-to-deter-dementia/
• https://patents.google.com/patent/US8097726
• https://www.alzdiscovery.org/assets/content/cognitive_vitality/addf-nicotine-full-report.pdf</t>
  </si>
  <si>
    <t xml:space="preserve">• Diario con registro de cada sustancia, dosis, hora y forma (parche, cápsula, café) con recordatorios, para que la familia anote un cambio cada vez
• Pruebas breves repetibles en casa (recuerdo de lista de palabras, tiempo de reacción) emuladas de las medidas de MIND y Newhouse (Cogstate, CPT)
• Escalas de conducta del cuidador (NPI, sueño PSQI) con gráficos temporales
• Periodos alternados con y sin sustancia (diseño cruzado como White y Snaedal) con marcador de fases
• Alerta de síntomas reportados en los estudios: sueño, náuseas, edema
• Enlace a cada estudio y su registro NCT dentro de la app</t>
  </si>
  <si>
    <t xml:space="preserve">Consultas: &gt;30 a Europe PMC (nicotina, huperzina, citicolina, alfa-GPC, PS, cafeína, teanina, Galanthus, tabaco, anatabina, vareniclina), PubMed efetch (tras unas consultas dio 429 y se cambió a Europe PMC), CT.gov v2 (nicotina, huperzina, citicolina, alfa-GPC, cafeína, PS, teanina), WebSearch (4 consultas) y WebFetch (ADDF funcionó; Cochrane 403; Examine 429). No se encontraron en foros Reddit/Longecity/AlzConnected ni YouTube ni GreenMedInfo en esta pasada. No abrí abstracts de: teanina en ratones/células (solo títulos), anatabina, vareniclina, encenicline/ABT-089/ispronicline (solo citados en revisiones), ni la Cochrane de huperzina (403). MIND: solo datos de CT.gov; no vi artículo. Financiación indicada como 'no consta' cuando el resumen no la daba; no leí texto completo. Los datos de la fila Samnia son de un preprint. | Verificacion (documentalista, sin editar cifras): 45 filas del archivo research/nicotina_colinergicos.json. Citas encontradas: 45; no encontradas: 0; cifras que coinciden: 29; cifras no comprobables en el resumen: 16; cifras que difieren: 0. Las filas NCT se comprobaron con CT.gov v2 (datos de resultados de NCT02720445 y NCT01778946). Pendiente: el segundo punto de MIND (17,59/17,47) y los demas puntos de la fila Down no se compararon; el n 11 vs 9 de Park no se comprobo; el resumen de Ozge no muestra p&lt;0,05. Aviso para la familia: varias filas describen dosis para probar en casa (parche de nicotina, huperzina, citicolina, cafeina); la verificacion no valida la seguridad ni la eficacia de esas dosis.</t>
  </si>
  <si>
    <t xml:space="preserve">Teoría infecciosa y antimicrobianos</t>
  </si>
  <si>
    <t xml:space="preserve">La línea heterodoxa sostiene que el Alzheimer es, en parte o del todo, una respuesta a infecciones crónicas cerebrales (virus herpes, Porphyromonas gingivalis, Chlamydia pneumoniae, espiroquetas, hongos) con el amiloide y la tau como péptidos de defensa que se acumulan; de ahí que antivirales y antibióticos, o la higiene oral, serían tratamiento o prevención.</t>
  </si>
  <si>
    <t xml:space="preserve">• Ruth Itzhaki (HSV-1 y APOE4)
• Leslie Norins, Alzheimer's Germ Quest
• Dale Bredesen (MEND/ReCODE, Apollo Health)
• Cortexyme/Quince (gingipaínas)
• Rudolph Tanzi, Robert Moir, Weiming Eimer (Aβ antimicrobiano)
• Herbert B. Allen (espiroquetas y biofilm)
• Luis Carrasco (hongos)
• Brian Balin y Alan Hudson (Chlamydia)
• Hugo Lövheim (valaciclovir)</t>
  </si>
  <si>
    <t xml:space="preserve">• Reactivación de HSV-1 latente que induce Aβ y p-tau
• Aβ y tau fosforilada como defensa innata que atrapa microbios
• Gingipaínas de P. gingivalis neurotóxicas
• Biofilms de espiroquetas que originan ovillos
• Inflamación sistémica por periodontitis
• Infección por C. pneumoniae con activación de NLRP3
• Rifampicina que inhibe oligómeros de Aβ y tau</t>
  </si>
  <si>
    <t xml:space="preserve">La postura oficial indica que los ensayos no han demostrado beneficio: VALAD empeoró ADAS-Cog (JAMA 2026) con financiación NIA; DARAD y MADE sin beneficio, con CIHR y NIHR/MRC; GAIN no cumplió los co-primarios (Cortexyme, industria, con suspensión FDA por hígado). Varios de estos ensayos los financian agencias públicas, no farmacéuticas. Los antibióticos y el valaciclovir son genéricos, sin incentivo comercial; la línea de gingipaínas dependía de una empresa.</t>
  </si>
  <si>
    <t xml:space="preserve">• NCT02997982 VALZ-Pilot (Lövheim): sin resultados en el registro
• Piloto de Helsinki 2013, 30 seropositivos HSV, 12 semanas, sin resultados publicados (según AlzForum)
• NCT03755362 periodontal en DCL y estenosis carotídea, terminado por COVID, 26 de 60
• NCT02109705 Münster P. gingivalis, completado sin resultados
• NCT05894954 EVANTHEA, completado sin resultados
• NCT07233512 y NCT05183321 periodontales aún sin datos
• GAIN: subgrupo positivo en saliva con 57% de enlentecimiento reportado por la empresa</t>
  </si>
  <si>
    <t xml:space="preserve">• Valaciclovir 4 g/día durante 52-78 semanas (VALAD/VALMCI)
• Doxiciclina 200 mg + rifampicina 300 mg al día 3 meses (Loeb)
• Penicilina 1,2 MU cada 2 semanas x3 + probenecid + rifampicina 500 mg x2 (Allen, según Norins)
• Rifampicina &gt;=450 mg/día un año (observacional citado por Norins)
• Cepillado 3 veces/día (Paganini-Hill)
• MAH oxígeno-ozono, 10 sesiones en 5 semanas (Micarelli)</t>
  </si>
  <si>
    <t xml:space="preserve">• VALAD: más deterioro con valaciclovir y creatinina elevada en 8,3%
• Minociclina 400 mg: solo 28,8% completó
• Atuzaginstat: elevación de transaminasas 15% a dosis alta y suspensión FDA
• Nanopartículas de plata inducen lesiones tipo Alzheimer en ratones
• Los estudios de ozono advierten que falta ensayo controlado</t>
  </si>
  <si>
    <t xml:space="preserve">• https://www.alzforum.org/therapeutics/valacyclovir
• https://www.alzforum.org/therapeutics/atuzaginstat
• https://pmc.ncbi.nlm.nih.gov/articles/PMC8003809/
• https://www.apoe4.info/wiki/Bredesen_Protocol
• https://pubmed.ncbi.nlm.nih.gov/34542071/</t>
  </si>
  <si>
    <t xml:space="preserve">• Diario de higiene oral con frecuencia de cepillado y visitas al dentista
• Registro de medicación antimicrobiana con efectos adversos y analíticas (creatinina, transaminasas)
• Pruebas cognitivas periódicas (MoCA, test de memoria) con gráficos
• Registro de herpes labial, zóster y vacunas
• Informe para el médico con fechas y dosis</t>
  </si>
  <si>
    <t xml:space="preserve">Europe PMC (unas 35 consultas), ClinicalTrials.gov v2 (6 consultas, 8 fichas) y WebSearch/WebFetch (AlzForum, Norins PMC8003809, búsqueda Bredesen). No recuperado: texto completo de Eimer 2018 (Neuron), Pomirchy 2026; Itzhaki/Wozniak antivirales in vitro, Miklossy, Lyme y Candida con tratamiento, patentes, Reddit/Longecity/GreenMedInfo no abiertos. Algunos resúmenes están truncados. Sin cupos agotados. No se halló ensayo humano de antifúngicos, plata coloidal ni aceites esenciales en Alzheimer. RESUMEN VERIFICACION: citas encontradas 42 de 42; citas no encontradas 0; cifras que coinciden 21; cifras no comprobables en el resumen 21; cifras que difieren 0. Las cifras de registro de VALMCI (NCT04710030) no aparecen en el resumen publicado; las cifras principales sí coinciden.</t>
  </si>
  <si>
    <t xml:space="preserve">Metabólico: cetonas, ayuno, insulina, glucosa</t>
  </si>
  <si>
    <t xml:space="preserve">La línea heterodoxa defiende que el Alzheimer es en gran parte un problema de metabolismo energético cerebral (hipometabolismo de glucosa, resistencia a la insulina o 'diabetes tipo 3'), y que las cetonas (MCT, aceite de coco, dieta cetogénica, ésteres) alimentan a las neuronas que no pueden usar glucosa, junto con ayuno e intervenciones sobre insulina.</t>
  </si>
  <si>
    <t xml:space="preserve">• Mary T. Newport (libro 'Alzheimer's Disease: What If There Was a Cure?', caso de su marido Steve, informe de 288 casos de cuidadores 2024)
• Dale Bredesen (MEND/ReCODE, KetoFLEX 12/3)
• Suzanne Craft (insulina intranasal)
• Samuel Henderson / Accera-Cerecin (Axona, AC-1202)
• Richard Veech (ésteres de cetona, patentes)
• Suzanne de la Monte (hipótesis diabetes tipo 3)
• Robert Krikorian (dieta baja en carbohidratos)
• Stephen Cunnane y grupo de Sherbrooke (kMCT)</t>
  </si>
  <si>
    <t xml:space="preserve">• Hipometabolismo cerebral de glucosa con captación de cetonas conservada (Fortier 2019)
• Resistencia a la insulina cerebral (diabetes tipo 3)
• Bypass de la deficiencia de piruvato deshidrogenasa por cetonas (Pawlosky 2020)
• Reducción de hiperinsulinemia (Krikorian 2012)
• Plasticidad sináptica por BHB (Di Lucente 2024)
• Ayuno: mTORC1, autofagia y menor fosforilación de tau en ratones (Babygirija 2024, preprint)
• Efecto dependiente de APOE4 en varios ensayos (Henderson 2009, Reger 2004, Claxton 2015, Fernando 2023)</t>
  </si>
  <si>
    <t xml:space="preserve">La postura oficial que recogen las revisiones recuperadas es que los beneficios de dieta cetogénica y MCT son inconsistentes y la modificación de la enfermedad no está establecida (Sierralta 2026, Nutrients); la insulina intranasal no mostró efecto en el ensayo multicéntrico SNIFF (Craft 2020, financiado por NIA) y semaglutida oral fue negativa en evoke (promotor Novo Nordisk). Metaanálisis de MCT (2023, PMID 37248908) y los de cetogénica (2024) sí reportan mejora global. Financiación de la línea pro-cetona: Accera/Cerecin (Henderson 2009, empleados autores), Nestlé Health Science (Fortier 2021), Alzheimer Association. Crítica a Bredesen: Hellmuth, Lancet Neurol 2020 (UCSF). No se recuperó el análisis completo de conflictos de la guía oficial.</t>
  </si>
  <si>
    <t xml:space="preserve">• NCT01883648: aceite de coco USF, 21 participantes, terminado por falta de fondos, sin resultados
• NCT02912936: MCT UBC, 43 participantes, completado 2020, sin resultados en registro ni publicación hallada
• NCT02709356: MCT en Sherbrooke, 20 participantes, completado 2018, sin resultados
• NCT04701957: dieta cetogénica AP-HP, terminada por pocas inclusiones
• NCT01702480: MCT en polvo GSK2981710, 116 participantes, completado 2015, sin publicación ni resultados localizados
• NCT02462161: insulina aspart intranasal (Wake Forest), 24 participantes, completado 2019, sin publicación localizada
• NCT03860792: resultados posteados en el registro (julio 2026) sin publicación indexada localizada
• NCT03859245: fotobiomodulación y dieta cetogénica, estado desconocido</t>
  </si>
  <si>
    <t xml:space="preserve">• Newport: empezar con una cucharadita de aceite de coco virgen 1-3 veces/día con comidas y subir poco a poco; luego MCT (iowasource.com 2012)
• Henderson 2009: AC-1202 diario durante 90 días (dosis exacta no recuperada)
• Juby 2022: MCT hasta 42 g/día o máximo tolerado
• Fortier: 30 g/día kMCT (15 g x2)
• Ota: 50 g de fórmula con 20 g MCT diarios
• Insulina intranasal 20-40 UI/día con dispositivo nasal (Craft)
• Bredesen: KetoFLEX 12/3 con ventana de comida de 12 h y 3 h sin comer antes de dormir
• Metformina 1000 mg x2/día (Luchsinger)</t>
  </si>
  <si>
    <t xml:space="preserve">• Diarrea y molestias digestivas con coco/MCT (Newport; Henderson 2009)
• Subida de triglicéridos y LDL con cetogénica (metaanálisis 2024)
• Abandono por carga del cuidador, especialmente en CDR 2 (Taylor 2018)
• Intolerancia a metformina (7,5% no toleró; Luchsinger 2016)
• Respuesta peor o nula en APOE4 en varios estudios, con excepciones (Fernando 2023, Claxton 2015)
• Empeoramiento en no portadores con insulina detemir (Claxton 2015)</t>
  </si>
  <si>
    <t xml:space="preserve">• https://iowasource.com/?p=2144
• https://esmed.org/MRA/index.php/mra/article/view/5316
• https://www.today.com/today/amp/tdna189658
• https://www.foundmyfitness.com/episodes/the-bredesen-protocol-s-ketoflex-approach-to-diet-and-eating-for-alzheimer-s-disease
• https://image-ppubs.uspto.gov/dirsearch-public/print/downloadPdf/8426468
• https://www.ucsf.edu/news/2020/05/417431/pricey-protocol-not-proven-prevent-or-reverse-alzheimers-says-ucsf-neurologist
• https://www.goodreads.com/book/show/13014372</t>
  </si>
  <si>
    <t xml:space="preserve">• Diario de ketonas (BHB, glucosa) con lecturas en casa y marcado de dosis de MCT o comida
• Registro de cada intervención con fecha de inicio y cambios para ver cuándo ocurre cada cosa
• Escalas cortas repetibles (MoCA, reloj, ADCS-ADL adaptada) con recordatorios y gráficos
• Notas del cuidador y puntuación semanal de ánimo y autonomía
• Importación de datos de CGM
• Exportable para llevar al médico
• Alertas de efectos adversos (diarrea, lípidos)</t>
  </si>
  <si>
    <t xml:space="preserve">Búsquedas: Europe PMC (más de 25 consultas con cetogénica, MCT, aceite de coco, insulina intranasal, metformina, GLP-1, berberina, cromo, canela, ayuno, CGM, animales), PubMed esearch/efetch, ClinicalTrials.gov v2 (8 consultas y detalles de 11 ensayos), WebSearch (Newport, Bredesen, patentes, Hellmuth, foros) y WebFetch (iowasource, esmed). No hubo error de cupo. No encontré ensayos humanos de berberina, carnívora, ayuno prolongado ni canela en Alzheimer; no se localizaron hilos de Reddit, Longecity ni AlzConnected con experiencias de insulina intranasal. Varias filas dicen no consta en financiación por no haber abierto el texto completo. Los resultados de la dosis de AC-1202 y la cifra de los p truncados se transcriben como figuran. Omití por límite de filas: metaanálisis (KD 38943982, MCT 37248908 y 31870908), Tong 2016 (T3D-959 en ratas), Babygirija 2024 (preprint, ayuno en 3xTg), Brinkley 2022 y Neth. La URL de algunos enlaces es la búsqueda por ID de PubMed. VERIFICACION DOCUMENTAL (Europe PMC, ClinicalTrials.gov API v2, esmed.org; 12/10/2026). Citas encontradas: 45 de 45 (44 por PMID o NCT y 1 página web). Citas no encontradas: 0. Cifras que coinciden con el resumen o el registro: 31. Cifra no comprobable en el resumen o sin cifras en la fila: 13. Cifras que difieren: 0. Observaciones sin cambiar ninguna cifra: NCT04777396 registra 1840 inscritos frente a 1855 en evoke (fila 29); NCT01469351 registra 34 frente a 38 (fila 27); NCT00438568 registra 173 frente a 104 del artículo (fila 20); NCT02460783 registra 129 frente a 40 del artículo (fila 38). No se abrió texto completo; financiación y conflictos no verificados salvo lo que figura en el resumen.</t>
  </si>
  <si>
    <t xml:space="preserve">Luz, sonido, campos y oxígeno</t>
  </si>
  <si>
    <t xml:space="preserve">La línea heterodoxa defiende que el Alzheimer es en parte un problema de energía y oxígeno cerebral (mitocondrias, isquemia, circuitos gamma desincronizados) que se puede corregir sin fármacos con luz roja o infrarroja, oscilaciones de 40 Hz, oxígeno hiperbárico, campos y corrientes suaves, calor y luz diurna, y que estos métodos baratos reciben menos investigación porque no son patentables en el mismo grado.</t>
  </si>
  <si>
    <t xml:space="preserve">• Michael Hamblin (coautor Saltmarche 2017; revisión en Photonics 2019, PMID 31363464)
• Lew Lim y Vielight Inc., Toronto
• Gary Arendash (TEMT)
• Li-Huei Tsai y Cognito Therapeutics (gamma)
• Shai Efrati y Sagol Center for Hyperbaric Medicine (Israel)
• Hideaki Shimokawa (LIPUS, Japón)
• Joseph Mercola (hipótesis NIR/melatonina, Cureus 2026)
• James Oschman y Stephen Sinatra (grounding, Biomedical J 2023)</t>
  </si>
  <si>
    <t xml:space="preserve">• Citocromo c oxidasa y ATP mitocondrial (fotobiomodulación)
• Entrainment gamma: reclutamiento microglial y reducción de Aβ (Iaccarino 2016); mielina y sustancia blanca
• Hipoxia cerebral y flujo sanguíneo (HBOT, Shapira 2021)
• Disgregación de oligómeros Aβ y tau (TEMT)
• Angiogénesis por eNOS (LIPUS)
• Choque térmico y BDNF (calor)
• Electrones de la Tierra y antioxidación (grounding)
• Melatonina mitocondrial inducida por NIR (hipótesis Mercola)</t>
  </si>
  <si>
    <t xml:space="preserve">Las propias revisiones indican evidencia limitada: Blivet 2025 dice que la fotobiomodulación tiene 'low level of evidence' por diseños exploratorios (PMID 40287365); el metaanálisis de gamma concluye que su efecto en cognición 'remains to be established' (PMID 41381439); el ensayo de HBOT en diabetes y DCL no mejoró frente a sham y tuvo más eventos graves (PMC12726044). Financiación observada: Cognito, Vielight y Y&amp;J Bio financian o están vinculadas a estudios positivos de sus dispositivos; los estudios de HBOT positivos provienen del centro que lo vende; los de China y Japón citan organismos públicos de su país. No se verificaron fuentes de financiación de las guías oficiales.</t>
  </si>
  <si>
    <t xml:space="preserve">• NCT05637801 HOPE pivotal de Spectris: completado 2026-08-17, 673 participantes, sin resultados publicados
• NCT03328195 Vielight Neuro RX Gamma: completado 2022, 60 participantes, sin resultados
• NCT02085330 HBOT en deterioro leve vascular: estado desconocido, fin previsto 2017, sin resultados
• NCT05349318 HBOT en Alzheimer prodrómico: estado desconocido, fin previsto 2025, sin resultados
• NCT06620640 VGuard vagal: completado 2021, 105 participantes, sin resultados
• NCT03661034 Cognito dosis múltiples: estado desconocido, sin resultados
• NCT03859245 fotobiomodulación y dieta cetogénica retiniana: desconocido, sin resultados
• NCT02227953 tDCS Samsung y NCT02908815 rTMS Manitoba (200 participantes, completado): sin resultados</t>
  </si>
  <si>
    <t xml:space="preserve">• Gamma: 1 h diaria de luz y sonido 40 Hz (Chan 2022; OVERTURE 6 meses)
• PBM Vielight: 810 nm pulsado 10 Hz, 12 semanas, aplicado por cuidador 3 veces/semana (Chao 2019)
• PBM 808 nm prefrontal 6 días/semana 12 semanas (Chun 2026)
• tACS gamma precúneo: 60 min, 5 sesiones/semana, 8 semanas (Cantoni 2025)
• TEMT: 2 sesiones de 1 h/día durante 2 meses (Arendash 2019)
• HBOT: 90 min al 100% O2 a 2 ATA con pausas (registros NCT02085330, NCT05349318)
• LIPUS: 1 h, 3 veces/semana, 1,3 MPa
• Luz brillante: 10.000 lux 60 min por la mañana (Cheng 2026)
• Sauna: 4-7 veces por semana (Laukkanen 2017)
• TPS: 10 sesiones (Radjenovic 2025)</t>
  </si>
  <si>
    <t xml:space="preserve">• Acúfenos con gamma audiovisual (RD 0,16)
• Más eventos adversos graves con HBOT en el ensayo de diabetes y DCL (25 vs 8)
• Cont-Richter 2025 (preprint TPS) recomienda selección y vigilancia cuidadosa de pacientes
• Fatiga y cefaleas con TPS
• Mareo con inmersión caliente</t>
  </si>
  <si>
    <t xml:space="preserve">• https://ca.trustpilot.com/review/vielight.com
• https://www.lighttherapyinsiders.com/vielight-science/
• https://mitoredlight.com/blogs/clinical-case/significant-improvement-in-cognition-in-mild-to-moderately-severe-dementia-cases-treated-with-transcranial-plus-intranasal-photobiomodulation-case-series-report
• https://igec.uiowa.edu/sites/igec.uiowa.edu/files/2024-02/CAREGIVER%20SUPPORT_FEBRUARY%202024_ADVANCES%20IN%20LIGHT%20THERAPY.pdf
• https://www.massdevice.com/cognito-therapeutics-alzheimers-treatment-reduces-dependence-score-by-56/
• https://pubmed.ncbi.nlm.nih.gov/41994801/</t>
  </si>
  <si>
    <t xml:space="preserve">• Diario diario de sesiones (tipo, minutos, dispositivo) con recordatorios para cuidador
• Batería breve repetible (MMSE o MoCA, recuerdo de palabras, nombre-cara) cada 4 semanas con gráfico
• Registro de sueño, agitación y estado de ánimo por el cuidador
• Registro de efectos adversos (acúfenos, cefalea, mareo) con alertas
• Exportar informe para el médico
• Diseño ABA personal con periodos sin intervención para comparar</t>
  </si>
  <si>
    <t xml:space="preserve">Consultas en Europe PMC (más de 25 búsquedas distintas: gamma 40 Hz, fotobiomodulación, HBOT, TMS/tDCS/tACS, TEMT, ultrasonido, vago, sauna/calor, frío, binaural, grounding, luz brillante, vitamina D) y 8 búsquedas en ClinicalTrials.gov API v2 con lectura de registros. Se abrieron resúmenes y dos textos completos PMC (resúmenes de congreso). PubMed E-utilities no se usó. WebSearch funcionó (2 consultas) pero devolvió pocas fuentes heterodoxas; no obtuve Reddit, Longecity, GreenMedInfo ni Examine, ni YouTube ni patentes salvo una mención. La búsqueda web afirmó un resultado nulo sham de 14 pacientes que no pude verificar y no se incluyó. No encontré: ensayo de frío/inmersión en Alzheimer (solo estudios en sanos), ensayo de luz solar/vitamina D en pacientes con Alzheimer con cifras propias salvo VITAL y Yuan 2026, estimulación magnética PEMF en Alzheimer, ensayos de sauna intervencionistas, precios de dispositivos, ni literatura de Rusia o Latinoamérica. Varios valores p quedaron truncados en los resúmenes y se señalan. Los 'resultados' son transcripción de lo que dice cada fuente, sin juicio. | Verificación documental fusionada desde luz_energia_verificacion.json: 44 citas o páginas localizadas de 45.</t>
  </si>
  <si>
    <t xml:space="preserve">Plantas, setas y fórmulas tradicionales</t>
  </si>
  <si>
    <t xml:space="preserve">La línea heterodoxa sostiene que extractos vegetales, fórmulas tradicionales (Kampo, medicina china, ayurveda, persa), setas y aceites actúan sobre varias dianas a la vez (colinérgica, antiamiloide, antiinflamatoria, neurotrófica, vascular), algo que un fármaco de una sola diana no cubre; que son baratos y no patentables, por lo que reciben poca inversión; y que los grandes ensayos de ginkgo (GEM, GuidAge) se hicieron en prevención con población heterogénea, no en Alzheimer biomarcador-confirmado (argumento de la revisión de Yang y Kwak 2026, Brain Sci, PMID 42041838).</t>
  </si>
  <si>
    <t xml:space="preserve">• Akhondzadeh S (Teherán): ensayos con azafrán, melisa y salvia (2003-2014)
• Sayer Ji / GreenMedInfo: artículo favorable sobre cúrcuma, ginkgo y azafrán (reproducido en foodrevolution.org)
• Dale Bredesen, protocolo ReCODE (WebMD indica que no hay evidencia buena; el listado exacto de hierbas no se pudo confirmar)
• Heese K (2020): Gastrodia elata (Tianma): hope for brain aging and dementia, Oxid Med Cell Longev
• Kuchta K et al. 2021 (azafrán y Kamiuntanto, Front Pharmacol)
• Kaczmarek-Kryszak et al. 2026, Acta Neuropsychiatr: revisión de 48 estudios que cita mejoras con ginkgo, azafrán, salvia y melisa
• Yang Y y Kwak YT 2026 (Brain Sci) sobre ginkgo y MCI confirmado por amiloide-PET
• Urakami K (aromaterapia en Japón, 2022)</t>
  </si>
  <si>
    <t xml:space="preserve">• Azafrán/crocina: menos BACE, APP-C99, γ-secretasas y tau fosforilada en células (Chalatsa 2019); inhibición de la agregación de Aβ (Akhondzadeh 2010)
• Kamiuntanto: aumento de actividad y ARNm de colina acetiltransferasa; polígala (tenuifolina) y ginseng como componentes esenciales (Kuchta 2021)
• Tianma-Gouteng: menos secretasas, más enzima degradadora de Aβ, SIRT1/AMPK (Zhong 2024)
• Erinacinas de Hericium: menos Aβ, glía e IL-6 en ratones (Wang 2026)
• Tanshinona IIA: menos placas Aβ en modelos animales (Rong 2025)
• Curcumina: antioxidante y antiamiloide; baja biodisponibilidad (7,32 ng/mL en plasma, Ringman 2012) motiva formas como Theracurmin o Longvida
• Polifenoles del aceite de oliva: barrera hematoencefálica y Aβ/tau (Kaddoumi 2022)
• EGb 761: modulación de proteínas inflamatorias y de guía axonal (Morato 2026)</t>
  </si>
  <si>
    <t xml:space="preserve">Las fuentes consultadas hablan de evidencia modesta o heterogénea y piden ensayos mayores; los dos grandes ensayos de prevención con ginkgo (GEM, subvención NIH; GuidAge, funding Ipsen según el resumen) dan HR 1,12 y 0,84 sin significación. Financiación que consta: metaanálisis de EGb 761 de Riepe 2025 y análisis de Brueggemann 2025, ambos de Dr. Willmar Schwabe (fabricante); ensayo de té verde de Ide 2016 con grant de ITO EN Ltd. (empresa de té). Los ensayos de Akhondzadeh con azafrán, melisa y salvia no declaran financiación en el resumen. No se investigó la financiación de las guías oficiales.</t>
  </si>
  <si>
    <t xml:space="preserve">• NCT01001637 (curcumina Longvida, Jaslok Hospital, 26 pacientes): terminado por 'lack of support', sin resultados en el registro
• NCT00164749 (curcumina 1 g/4 g + ginkgo, CUHK, 36): completado, sin resultados en el registro; existe publicación (Baum 2008, PMID 18204357) cuyo resumen no se recuperó
• NCT04065061 (micelio de Hericium con erinacina A, 68): completado 2017, sin resultados en el registro
• NCT02982603 (Qinggongshoutao vs ginkgo, 350): completado 2017, sin resultados en el registro
• NCT04249869 (fórmula VGH-AD1 con yi-gan-san, danshen, tianma, gouteng): estado desconocido, sin resultados
• NCT03090516 (ginkgo vs donepezilo vs combinación, Nanjing, 240): estado desconocido, sin resultados
• NCT04492241 (ginkgo + Armillariella mellea, Beijing Tiantan, 800): estado desconocido, sin resultados
• NCT03108781 (aceite de lavanda en demencia grave, Soroka, 60): estado desconocido, sin resultados
• NCT05034107 (ylang-ylang difundido en demencia, UiTM, 28): completado 2022, sin resultados
• NCT04092647 (ashwagandha 350 mg x2 en disfunción cognitiva por quimioterapia, Sutter Health, 80): estado desconocido, sin resultados</t>
  </si>
  <si>
    <t xml:space="preserve">• Azafrán 30 mg/día en dos tomas de 15 mg (16 semanas a 12 meses)
• Melisa o salvia: 60 gotas/día de extracto (4 meses)
• Yokukansan: 2,5 g tres veces al día 4 semanas
• Melena de león: 3 g/día de polvo (Mori 2009) o 3 cápsulas de 350 mg de micelio con erinacina A (Li 2020)
• Ginkgo EGb 761: 120 mg dos veces al día
• Curcumina 2-4 g/día (Ringman) o Theracurmin 90 mg dos veces al día (Small)
• Ginseng 4,5 g/día de polvo 12 semanas
• Huperzina A 200-400 µg dos veces al día
• Ashwagandha 300 mg dos veces al día 8 semanas
• Bacopa 300 mg/día 12 semanas
• Aceite de oliva virgen extra 50 mL/día (12 meses)
• Té verde en polvo 2 g/día; EGCG 5-6 mg/kg
• Aromaterapia: melisa en loción 2 veces al día; romero y limón por la mañana, lavanda y naranja por la noche</t>
  </si>
  <si>
    <t xml:space="preserve">• Curcumina: abandonos por síntomas digestivos, hematocrito más bajo y glucosa más alta (Ringman 2012)
• Bacopa: molestias de estómago (Calabrese 2008)
• Micelio de Hericium: abandonos por molestias abdominales, náuseas y erupción (Li 2020); alzdiscovery.org cita un caso de insuficiencia respiratoria aguda posiblemente ligado al consumo
• Ginkgo: ictus 65 vs 60 y eventos hemorrágicos sin diferencias en GuidAge
• Azafrán: una presentación clínica de 2026 (fuente secundaria, nwgwec.org) menciona náuseas, boca seca, cefalea y toxicidad hematológica y hepatorrenal a dosis supraterapéuticas
• Posibles interacciones con inhibidores de colinesterasa y memantina señaladas en foros y revisiones, sin cifra
• Extractos sin estandarizar: contenido de compuestos activos variable (alzdiscovery.org)</t>
  </si>
  <si>
    <t xml:space="preserve">• https://alzdiscovery.org/cognitive-vitality/ratings/lions-mane
• https://portal.prod.caregivers.com/questions/any-experience-with-lions-mane-460809.htm (hilo de cuidadores, sin dosis ni resultado)
• https://science.feedback.org/review/more-evidence-needed-confirm-association-between-alzheimers-prevention-supplements-like-curcumin-green-tea-lions-mane/
• https://test.foodrevolution.org/?p=6533 (reproducción de Sayer Ji / GreenMedInfo)
• https://www.webmd.com/vitamins/ai/ingredientmono-1591/bredesen-protocol
• https://www.nwgwec.org/wp-content/uploads/2026/03/Herbals-Supps-Dementia-Hart-NW-GWEC-Spring-2026.pdf
• Patentes listadas en Europe PMC, no abiertas: CN1977951 (extracto de Gastrodia elata contra demencia senil, 2007) y KR20040087352 (composición con Panax ginseng para Alzheimer, 2004)</t>
  </si>
  <si>
    <t xml:space="preserve">• Diario de un solo cambio cada vez (una planta o preparado por bloque de 8-16 semanas) con fecha de inicio, marca, lote, dosis y forma
• Registro de agitación y sueño por la tarde-noche con escalas breves tipo NPI o CMAI para el cuidador
• Pruebas cognitivas breves repetibles cada 4 semanas con una semana de lavado final
• Lista de fármacos de la persona y aviso para llevarla al médico o farmacéutico antes de probar nada
• Hoja de seguimiento de efectos digestivos y de sueño; exportar gráficas para consulta
• Cuaderno de cuidador para aromaterapia y rutinas, con hora de aplicación y respuesta</t>
  </si>
  <si>
    <t xml:space="preserve">Más de 35 consultas a Europe PMC (por título, autor, intervención; humanos, animales y células) sobre yokukansan, Kami-untan-to, Ba Wei Di Huang/Liuwei Dihuang, Tianma-Gouteng, Ginkgo, Salvia miltiorrhiza, ginseng, Gastrodia, Polygala, bacopa, ashwagandha, cúrcuma, azafrán, melisa, salvia, romero, centella, hipérico, Rhodiola, melena de león, reishi, cordyceps, té verde/EGCG, cacao, aceite de oliva y aromaterapia. 10 consultas a ClinicalTrials.gov API v2 y detalle de 10 registros. WebSearch y WebFetch funcionaron parcialmente (examine.com devolvió 429). No se encontraron ensayos en humanos con Alzheimer de Polygala, hipérico, Rhodiola, romero ni cordyceps; Kami-untan-to solo aparece en animales y revisión (Kuchta 2021). Ba Wei Di Huang se cubrió con Liuwei Dihuang (fórmula relacionada) y un metaanálisis. No se localizó el ensayo de yokukansan de Iwasaki 2005. El resumen de Baum 2008 no devolvió texto. Financiación marcada 'no consta' porque solo se leyó el resumen; no se abrieron textos completos. Cupo de APIs no agotado. Nota: el directorio scratchpad es compartido con otros procesos y un primer fichero mío fue sobrescrito; se rehízo con scripts propios. | VERIFICACIÓN (documentalista, sin revisión médica): 45 filas; citas encontradas 45, no encontradas 0; cifras que coinciden literalmente 23; cifras que difieren 0. Los PMID se consultaron en Europe PMC (título, año y resumen); los NCT en ClinicalTrials.gov API v2. Las cifras 'no comprobables' son las que el resumen no muestra, no errores. Nada se borró ni se cambió.</t>
  </si>
  <si>
    <t xml:space="preserve">Protocolos integrales heterodoxos y casos de reversión</t>
  </si>
  <si>
    <t xml:space="preserve">La línea Bredesen/ReCODE (y variantes de medicina funcional, estilo de vida intensivo y ortomolecular) defiende que el Alzheimer no es un problema de una sola diana (amiloide) sino un desequilibrio de red con múltiples contribuyentes (resistencia a la insulina, inflamación, déficit de nutrientes y hormonas, toxinas/biotoxinas, infecciones, disbiosis, mal sueño, hipoxemia nocturna). Por tanto proponen medir decenas de marcadores y tratar todos a la vez, de forma personalizada, en lugar de monoterapias; afirman reversión o mejora sostenida en MCI/Alzheimer precoz. Bredesen 2024 sostiene que el protocolo logró mejoría mantenida hasta 11 años en 7 casos, algo que según él no se ha reportado con inhibidores de colinesterasa, memantina o anticuerpos antiamiloide.</t>
  </si>
  <si>
    <t xml:space="preserve">• Dale Bredesen (Apollo Health, ReCODE, KetoFLEX 12/3; libros The End of Alzheimer's, The End of Alzheimer's Program, The First Survivors of Alzheimer's)
• Dean Ornish (Preventive Medicine Research Institute, estilo de vida intensivo vegano)
• Miia Kivipelto/Rudolph Tanzi/Steven Arnold como coautores del ensayo Ornish
• Michael Kogan (GW Center for Integrative Medicine, Alz.life)
• Sharon Hausman-Cohen (genómica como soporte de decisión, Integrative Genomics/ Four Winds)
• Mark Ross, Cyrus Raji (casos con Bredesen)
• Alzheimer's Prevention and Reversal Project / Four Winds Foundation (ensayo EVANTHEA)
• Abram Hoffer (niacina/ortomolecular), David Perlmutter (Grain Brain), Joseph Mercola, Daniel Amen (SPECT), Datis Kharrazian (medicina funcional de neurodegeneración), Terry Wahls: nombrados en el alcance; en esta pasada solo se localizaron publicaciones indexadas de Amen y Kharrazian, ver notas
• Mardinoglu/Uhlén/Borén (ScandiBio, activadores metabólicos combinados)</t>
  </si>
  <si>
    <t xml:space="preserve">• Optimizar (no solo normalizar) homocisteína, insulina en ayunas, HbA1c, CRP, vitamina D 50-100 ng/ml, B12, hormonas (T3, T4, estradiol, testosterona, progesterona, pregnenolona, cortisol) y relación Zn:Cu libre (tabla de Bredesen 2014, Aging)
• Dieta cetogénica leve plant-rich (KetoFLEX 12/3: ayuno nocturno mínimo 12 h y 3 h entre cena y sueño), reducción de carbohidratos simples y gluten
• Tipos de Alzheimer propuestos: inflamatorio (tipo 1), atrófico (tipo 2), cortical/tóxico (tipo 3, 'Alzheimer inhalacional' por micotoxinas/CIRS, Bredesen 2016)
• Sueño, apnea nocturna, estrés, higiene oral, ejercicio, entrenamiento cognitivo, estimulación 40 Hz luz/sonido (Kogan 2026)
• Aumento de NAD+ y glutatión con activadores metabólicos (serina, NAC, nicotinamida ribósido, L-carnitina) para oxidación de ácidos grasos mitocondrial (Yulug 2023)
• Cetonas como combustible alternativo cerebral (MCT, AC-1202, dieta muy baja en carbohidratos)
• Reducción de homocisteína con B6/B12/folato para frenar atrofia (VITACOG)
• Nicotinamida como inhibidor de HDAC que reduce pTau231 en modelos murinos (Ketron 2025)</t>
  </si>
  <si>
    <t xml:space="preserve">Posturas críticas localizadas solo por buscador, sin abrir la página original: Alzheimer Society of Canada (BC) afirma que las afirmaciones de Bredesen no están respaldadas por ciencia y que sus artículos son anecdóticos con tan pocos como 10 personas (https://www.alzheimer.ca/bc/en/whats-happening/news/bredesen-protocol-offers-false-hope-reversing-alzheimers-disease); WebMD indica que no hay buena evidencia científica. En cuanto a quién financia o gana: Bredesen declara ser consultor de Apollo Health y Life Seasons (39200239, 41594723; los coautores Rao, Okada, Lipa, Kelly, Coward, A. Bredesen, Gregory están empleados de Apollo Health); el estudio de 2024 está financiado por Four Winds Foundation (EuropePMC); Kogan es copropietario de Alz.life y CMO/copropietario de la clínica (42221535); Ornish y A. Ornish han consultado para Sharecare y tienen participación en Ornish Lifestyle Medicine, y el ensayo lo financian filántropos (Lauder, Omidyar, Powell Jobs, Tony Robbins Foundation, etc.) y el Alzheimer's Drug Discovery Foundation; Mardinoglu, Borén y Uhlén son fundadores/accionistas de ScandiBio Therapeutics, que financió el ensayo de activadores metabólicos; AC-1202 lo financió, diseñó y analizó Accera Inc., con autores empleados del patrocinador y patente de uso de MCT. No se investigó en esta pasada la financiación de las guías oficiales (NICE, SEN, AAN) ni de los ensayos antiamiloide.</t>
  </si>
  <si>
    <t xml:space="preserve">• NCT00580931: ensayo de nicotinamida 1500 mg dos veces al día 6 meses, UC Irvine/Alzheimer's Association, 2008 a 2014, completado, sin resultados en el registro (hasResults False); desenlace primario ADAS-Cog
• NCT03883633: Estudio ReCODE prospectivo (QuesGen Systems), 2019-06 a 2020-12, completado, n 30, sin resultados en el registro; desenlaces: memoria a corto plazo, función cognitiva, capacidad percibida por cuidador
• NCT05894954: EVANTHEA, ensayo aleatorizado pragmático de medicina de precisión vs. cuidado estándar, n 73, completado 2026-02-09, sin resultados en el registro (primarios MoCA y CNS Vital Signs a 9 meses)
• NCT04044131: ensayo de cofactores metabólicos en Alzheimer y Parkinson (Estambul), completado 2021, sin resultados en el registro aunque la parte Alzheimer se publicó en 2023
• NCT03978052: EGCG más intervención multimodal en portadores de ApoE4 con declive cognitivo subjetivo (Parc de Salut Mar), n 129, completado 2023-06-28, sin resultados en el registro
• NCT04606420: ensayo Ornish registrado retrospectivamente el 8-10-2020 (según el propio artículo); estado del registro 'UNKNOWN' y sin resultados en el registro
• NCT04430517 (McLean, nicotinamida ribósido en MCI/Alzheimer, n 21, completado 2026-04) y NCT05040321 (Brigham, activador de sirtuinas-NAD, n 22, completado 2026-04): completados sin resultados en el registro
• NCT03585907: intervenciones dietéticas en declive cognitivo subjetivo (Johns Hopkins), retirado, n 0
• NCT03859245: fotobiomodulación y dieta cetogénica (Bristlecone Health), estado desconocido, sin resultados
• Línea Hoffer: no se localizó ningún ensayo controlado de niacina en dosis altas en demencia en las APIs usadas</t>
  </si>
  <si>
    <t xml:space="preserve">• Bredesen 2014 (paciente 1): eliminó carbohidratos simples (-20 libras), gluten y procesados, más verduras, fruta y pescado salvaje; yoga y meditación 20 min dos veces al día; melatonina 0,5 mg; dormir 7-8 h; metilcobalamina 1 mg/día; vitamina D3 2000 UI/día; aceite de pescado 2000 mg/día; CoQ10 200 mg/día; higiene oral con cepillo y flosser eléctricos; reinició terapia hormonal sustitutiva; ayuno mínimo 12 h entre cena y desayuno y 3 h entre cena y cama; ejercicio mínimo 30 min 4-6 días por semana
• Tabla Bredesen 2014: Me-B12, MTHF, P5P, TMG; CRP menor de 1,0; insulina en ayunas menor de 7; HbA1c menor de 5,5; curcumina, ashwagandha, Bacopa, treonato de magnesio, D3/K2, H. erinaceus o ALCAR, citicolina, DHA, tocoferoles/tocotrienoles, NAC, ácido alfa-lipoico, CoQ/ubiquinol, PQQ, resveratrol
• Toups 2022: 25 pacientes, 9 meses, protocolo personalizado tras evaluar inflamación, infecciones crónicas, disbiosis, resistencia a insulina, glicación, enfermedad vascular, hipoxemia nocturna, hormonas, nutrientes y tóxicos
• Kogan 2026: dieta, alimentación con restricción horaria, ejercicio, entrenamiento cognitivo (BrainHQ), sueño, suplementación individualizada, manejo hormonal y estimulación 40 Hz luz y sonido por app gratuita; requiere como mínimo 2 h diarias de ejercicio, entrenamiento cognitivo y luz/sonido, y un cuidador adherente
• Ornish 2024: dieta vegana baja en grasa (10-15%) de alimentos integrales, 21 comidas semanales y suplementos entregados gratis (multivitamínico, aceite de pescado, cúrcuma, vitamina C, B12, CoQ10, melena de león, probiótico, magnesio), ejercicio aeróbico y de fuerza, manejo del estrés, apoyo en grupo (registro NCT04606420)
• Yulug 2023: dosis única diaria de L-serina 12,35 g, N-acetilcisteína 2,55 g, nicotinamida ribósido 1 g y L-carnitina tartrato 3,73 g; una dosis al día los primeros 28 días y dos al día hasta el día 84
• Nicotinamida (NEAT): 1500 mg dos veces al día, comprimidos de liberación sostenida de 750 mg, 48 semanas
• VITACOG: ácido fólico 0,8 mg, B12 0,5 mg y B6 20 mg al día, 24 meses
• TEAM-AD: alfa-tocoferol 2000 UI/día
• Mori 2009: Hericium erinaceus, cuatro comprimidos de 250 mg (96% polvo seco) tres veces al día, 16 semanas
• Ota 2019: 50 g de fórmula cetogénica con 20 g de MCT al día hasta 12 semanas
• EVANTHEA: dispositivos Oura Ring, monitor continuo de glucosa, Keto-Mojo, HeartMath; algunos recibirían oxigenoterapia hiperbárica, neuroestimulación, neurofeedback, fotobiomodulación o CPAP</t>
  </si>
  <si>
    <t xml:space="preserve">• Bredesen 2014 reconoce un fracaso: una paciente con Alzheimer muy avanzado (MoCA 6, amiloide PET positivo) que no mejoró
• Toups 2022: 'no se registraron eventos adversos graves'
• Kogan 2026: 29 de 51 abandonaron en el primer año, sobre todo por coste, complejidad del programa y falta de apoyo del cuidador; se necesita un cuidador capaz de asegurar la adherencia
• Rao 2025 (PHQ-9): los propios autores dicen que el diseño retrospectivo y sin control hace que los hallazgos sean asociativos y generadores de hipótesis
• Bredesen 2024: 'datos anecdóticos', no comparables con ensayos; reportan un periodo de declive secundario en un caso y que algunos pacientes empeoraron al dejar el protocolo (según Substack de un familiar, ver fuentes)
• Foro Mayo Clinic Connect (según resumen de buscador, no abierto): una cuidadora de más de 14 años dice que el ayuno y el volumen de comida habrían sido imposibles y una experiencia muy negativa para su esposa
• Yulug 2023 AD: los autores de la patente/empresa son accionistas; el artículo declara conflicto
• Nicotinamida NEAT: 1500 mg dos veces al día; CSF con nicotinamida medible solo en 6 de 19 participantes (32%) y 13 de 19 con metabolito inactivo
• Vitamina E 2000 UI en TEAM-AD: la fuente reporta mortalidad por todas las causas y seguridad analizadas (resumen truncado en la API)</t>
  </si>
  <si>
    <t xml:space="preserve">• https://www.apoe4.info/wiki/Bredesen_Protocol (aparece en buscador; WebFetch devolvió 403, no abierta)
• https://connect.mayoclinic.org/comment/1612475/ y /1613908/ (foro Mayo Clinic Connect sobre el Protocolo Bredesen; aparece en buscador; 403 al abrir)
• https://reversealzheimers.substack.com/p/reverse-alzheimers (Substack de un familiar; solo resumen de buscador)
• https://www.pacificneuroscienceinstitute.org/?p=15942 (testimonio de cuidadora en web de clínica; solo resumen de buscador)
• https://www.shortform.com/summary/the-first-survivors-of-alzheimers-summary-dale-bredesen (resumen del libro The First Survivors of Alzheimer's)
• https://app.routines.club/blogs/supplements/dale-bredesen-protocol (lista de 19 suplementos con dosis; el propio buscador la advierte como blog comercial con afiliados, dosis 'no son prescripción fija')
• https://nutraingredients.com/Article/2004/07/16/Niacin-appears-to-protect-against-Alzheimer-s-too/ (prensa de nutracéuticos sobre Morris 2004)
• https://neofeed.com.br/finde/o-protocolo-que-garantiu-os-primeiros-sobreviventes-de-alzheimer/ (prensa brasileña sobre el protocolo)
• https://www.alzheimer.ca/bc/en/whats-happening/news/bredesen-protocol-offers-false-hope-reversing-alzheimers-disease (crítica institucional, para contraste)</t>
  </si>
  <si>
    <t xml:space="preserve">• Diario diario con plantilla del protocolo elegido (ayuno nocturno 12 h y 3 h antes de dormir, minutos de ejercicio, horas de sueño, entrenamiento cognitivo, suplementos con dosis) con casillas de cumplimiento y recordatorios
• Línea base y repetición cada 3 meses de MoCA o de una prueba breve validada en español, AQ-21 rellenado por el cuidador y PHQ-9, mismos escalas que usan Toups 2022, Rao 2025 y Kogan 2026, para poder comparar con las cifras de las fuentes
• Panel de analíticas para subir y seguir: homocisteína, insulina en ayunas, HbA1c, PCR, vitamina D, B12, TSH/T3/T4, con los objetivos que cita Bredesen 2014 mostrados como 'objetivo según la fuente'
• Registro de sueño, glucosa o cetonas si hay dispositivo (Oura, monitor continuo, Keto-Mojo, como en EVANTHEA) y gráfica cruzada con las puntuaciones cognitivas
• Registro de efectos adversos y de un cambio cada vez (una variable nueva por periodo) para que la familia pueda atribuir cambios; exportación a PDF para el médico
• Módulo de carga del cuidador: la tasa de abandono de Kogan 2026 (29/51, por coste, complejidad y falta de apoyo) sugiere medir tiempo y coste mensual del protocolo
• Biblioteca de estudios con la cifra tal cual y enlace, y una comparación lado a lado de protocolos</t>
  </si>
  <si>
    <t xml:space="preserve">Consultas (mas de 15): Europe PMC (Bredesen/ReCODE/MEND, precision medicine, niacina/Hoffer, cetogenica/MCT/coco, Wahls, FINGER/multidominio, vitaminas B/E, nicotinamida/NR, Amen, Perlmutter, Kharrazian, ortomolecular), ClinicalTrials.gov v2 (ReCODE/Bredesen, nicotinamida/NR, cetogenica/MCT, estilo de vida/funcional, vitaminas, megavitamina/ortomolecular, hiperbarica/neurofeedback/40 Hz, litio), WebSearch (3 consultas). No se agoto ningun cupo. WebFetch devolvio 403 en apoe4.info y Mayo Clinic Connect, y PMC web dio reCAPTCHA; los textos completos se leyeron por la API de Europe PMC cuando eran de acceso abierto (Bredesen 2014/2016/2024, Rao 2025, Kogan 2026, Ornish 2024, Yulug 2023, Henderson 2009). Filas basadas solo en resumen estan marcadas como tales. No se encontro: ensayo aleatorizado publicado de ReCODE (solo registros NCT03883633 y NCT05894954 sin resultados); datos numericos del piloto Toups 2022 (texto completo no accesible); resumen de Ornish 2025 40 semanas (solo titulo); estudios de Perlmutter, Mercola, Wahls en Alzheimer ni de Hoffer con niacina en demencia (Hoffer solo aparece con esquizofrenia en la API); foros Reddit, AlzConnected, Longecity, AlzForum, GreenMedInfo, patentes y Google Patents no se consultaron. Los testimonios de foro y clinica proceden de resumenes de buscador, no de paginas abiertas. No se investigo la financiacion de las guias oficiales. Fuentes en China, Rusia, Iran, India y Latinoamerica no se cubrieron en esta pasada (solo la referencia ayurvedica y el estudio japones de Mori y Ota). VERIFICACION (documentalista): citas encontradas 33 de 33 con identificador verificable (32 por PMID/NCT/EPMC; Ornish 2025 por título en Europe PMC); citas no encontradas 0; 2 páginas web no accesibles (Mayo Clinic Connect 403; Pacific Neuroscience Institute 404), contadas aparte. Cifras que coinciden: 21; cifras no comprobables en el resumen: 12; cifras que difieren: 0. Matices: en PMID 36337342 el n=1912 no aparece en el resumen (sí los porcentajes); en PMID 41594723 el PHQ-9 de 3,96 no aparece en el resumen; la cifra de NEAT (p=0,6096; 2,28 y 10,55) viene del registro NCT03061474 y coincide. Ningún campo de dosis, n o resultado fue modificado.</t>
  </si>
  <si>
    <t xml:space="preserve">Hormonas, péptidos y longevidad</t>
  </si>
  <si>
    <t xml:space="preserve">La línea heterodoxa (Bredesen/ReCODE, clínicas de medicina funcional, biohackers, escuela rusa de neuropéptidos, centros de longevidad) sostiene que el Alzheimer es un síndrome multifactorial con 'déficits tróficos y hormonales' (estrógenos, progesterona, testosterona, tiroides, pregnenolona, DHEA, melatonina), caída de NAD+, disfunción mitocondrial y células senescentes, y que corregirlos todos a la vez (no un solo fármaco) puede frenar o revertir el deterioro. Los péptidos (cerebrolisina, semax, selank) se presentan como factores neurotróficos de uso aprobado en Rusia/Europa del Este/Asia desde hace décadas. Según el resumen de una web de ReCODE hallada por WebSearch, el objetivo hormonal es 'apoyar el sistema nervioso', no el extremo bajo de la normalidad.</t>
  </si>
  <si>
    <t xml:space="preserve">• Dale Bredesen (libros 'The End of Alzheimer's', 'The First Survivors of Alzheimer's'; programa ReCODE; Rao, Kumar, Gregory, Coward, Okada, Lipa, Kelly, Bredesen 2021 Biomedicines)
• Kat Toups y colaboradores (ensayos piloto y preprint aleatorizado de 'precision medicine', 73 pacientes)
• Sociedades rusas de neurología (Gavrilova, Selezneva, Ponomareva; Bogolepova; resolución del Consejo Internacional de Expertos sobre cerebrolisina, mayo 2023, Levin y cols., Zhurnal nevrologii i psikhiatrii)
• Instituto de Genética Molecular ruso (Myasoedov, Makarov: semax y derivados)
• Ever Neuro Pharma / Ever Pharma (cerebrolisina; Doppler, Moessler, Alvarez, Cacabelos)
• Bianchi VE / Devesa J (hormona de crecimiento y regeneración cerebral, revisión 2026)
• Fundación Madeo/Flöel (espermidina), Cunnane (cetonas + NR), Mardinoglu/Yulug (activadores metabólicos combinados con NR, NAC, carnitina, serina), Kirkland/Tchkonia/Musi/Orr (senolíticos)
• Cardinali D (melatonina en deterioro cognitivo leve, estudio retrospectivo Olivar/Brusco/Cardinali)</t>
  </si>
  <si>
    <t xml:space="preserve">• Estrógenos/progesterona/testosterona: receptores en hipocampo, neuroprotección, antiinflamación; en observacionales 2026 (Bruno, Neurology) uso de terapia hormonal se asocia a OR 0,65 para patología AD en autopsia
• DHEA/DHEA-S y pregnenolona: neuroesteroides; cociente cortisol/DHEA-S elevado en AD (Nenezic 2025)
• Tiroides: la combinación LT4+T3 se asocia en TriNetX a 27% y 31% menos riesgo relativo de demencia y mortalidad (Beltrão 2026)
• Melatonina: antioxidante y sincronizador circadiano; sueño y limpieza glinfática (argumento de los defensores)
• Oxitocina intranasal: señal en regiones límbicas (BOLD) y apatía/agitación en demencia frontotemporal
• Cerebrolisina/semax/selank: péptidos neurotróficos/BDNF; semax quela Cu(II) y reduce ROS asociado a Aβ in vitro (Tomasello 2025)
• NAD+ (NR/nicotinamida): sirtuinas, mitofagia, flujo sanguíneo; NR duplica NAD+ en sangre (Martens 2026)
• Espermidina: autofagia
• Urolitina A: mitofagia
• Rapamicina: inhibición de mTOR/autofagia; dosificación semanal 7 mg en AD precoz (Wallgren 2026)
• Senolíticos D+Q, fisetina: eliminación de células senescentes; D+Q penetra SNC (n=5)
• Resveratrol: activador de SIRT1; reduce MMP9 en LCR (Moussa 2017)
• Creatina/PQQ/CoQ10/taurina/glicina-NAC/carnosina: bioenergética mitocondrial, redox
• Omega-3 DHA: membrana neuronal y neuroinflamación; B vitaminas: homocisteína</t>
  </si>
  <si>
    <t xml:space="preserve">Postura oficial en las fuentes leídas: los ensayos aleatorizados grandes de terapia hormonal (KEEPS, WHIMS) no muestran beneficio ni daño sobre biomarcadores de Alzheimer (Kantarci 2026 'no evidence of adverse effects or benefits'; Shadyab 2026 'null associations'); NR en aMCI: 'no improvements in cognitive function (primary outcome)' (Martens 2026); DHA a dosis alta: 'no differences in cognition or brain structure over 24 months' (Yassine 2026); melatonina: 'modest improvements ... fall short of definitive efficacy' (Mdluli 2025). Financiación de esos ensayos según sus propios resúmenes: NIA/NIH, Alzheimer's Drug Discovery Foundation, Alzheimer's Association, Kronos Foundation, Eli Lilly y Avid Radiopharmaceuticals (listados en la financiación de Kantarci 2026), Fundación Wallenberg. Los ensayos con financiación comercial en el tema: cerebrolisina (Ever Neuro Pharma, promotor de NCT00911807, NCT01822951, NCT00947531), ubiquinol (Kaneka, Japón, financia Nankivell 2026), BREAK-AD (Nestlé Health Science), NR Niagen (ChromaDex suministra producto en NCT04430517 según registro). Cerebrolisina no está aprobada en EE.UU./UE central; en CEI está regulada como nootrópico (Alexandrova, Abakumova, Ziganshina 2026, 'Use of nootropics in Alzheimer's disease: regulatory positions in CIS countries'; no leí su resumen). El quién-paga-a-quién de las guías no se pudo rastrear fila a fila en esta pasada; no consta.</t>
  </si>
  <si>
    <t xml:space="preserve">• NCT04430517 (McLean Hospital): NR 4x250 mg/día 12 semanas en MCI/AD leve, COMPLETED, n=21 real, sin resultados en el registro; no localicé publicación en Europe PMC en mis consultas
• NCT05617508 (N-DOSE AD, Haukeland): NR 1000 mg/día vs escalado, 12 semanas, n=80, COMPLETED, sin resultados en registro
• NCT04044131 (Istanbul Medipol): cofactores metabólicos n=120 COMPLETED, sin resultados en registro; el artículo de Yulug 2023 describe la misma combinación
• NCT00911807 (Ever Neuro Pharma): cerebrolisina vs donepezilo vs combinación, n=217 COMPLETED con resultados en registro; publicada como Alvarez 2011 (n=197 en el artículo vs 217 en registro)
• NCT01822951 (Ever Neuro Pharma): cerebrolisina vs donepezilo, WITHDRAWN, n=0
• NCT00743743 (Medical College of Wisconsin): resveratrol Longevinex 215 mg/día 52 semanas, WITHDRAWN ('PI has left institution'), n=0
• NCT00544791 (Assaf-Harofeh): melatonina 5 mg 6 meses en MCI, estado UNKNOWN, sin resultados
• NCT00000171 (NIA): melatonina para trastornos del sueño en AD, COMPLETED, sin resultados en registro
• NCT00066157 (Univ. Wisconsin): parche de estradiol +/- medroxiprogesterona, 15 meses, n=42, COMPLETED, sin resultados en registro
• NCT00117403 (NIA): vit E+C+ácido lipoico vs CoQ 400 mg x6/día, n=75, COMPLETED, sin resultados en registro
• NCT01937013, NCT01386333, NCT01002300 (Lawson/London Ontario): oxitocina intranasal en FTD, COMPLETED, sin resultados en registro
• NCT04785300 (Mayo ALSENLITE): D+Q en MCI/AD, ACTIVE_NOT_RECRUITING, sin resultados
• NCT04629495 (REACH, UT San Antonio): rapamicina 12 meses en aMCI/AD, n=40, sin resultados
• NCT03493178 (Baylor): glutatión en MCI, n=60, sin resultados
• NCT03410173 (Third Military Medical University): taurina y cognición en diabetes, n=200, estado UNKNOWN</t>
  </si>
  <si>
    <t xml:space="preserve">• ReCODE (Bredesen): optimización hormonal individualizada según analítica (estradiol, progesterona, testosterona, tiroides, pregnenolona, cortisol), junto a dieta cetogénica flexible, ayuno, ejercicio, sueño, suplementos; Toups 2022: 25 pacientes, 9 meses
• Cerebrolisina: 20 infusiones i.v. de 20 ml en 100 ml de salino por curso, 1 curso anual, 3 años (Selezneva 2023); 30 ml/día en los 6 ensayos del meta-análisis de Gauthier 2015; 10 ml en Alvarez 2011
• Oxitocina intranasal: 72 IU cada tercer día, 6 semanas (FOXY); 30 IU a demanda en el caso Jadav 2026
• Melatonina: 3 mg a las 20:30 4 semanas (Asayama 2003); 8,5 mg IR + 1,5 mg SR a las 22:00 10 noches (Gehrman 2009); 25 mg nocturnos 12 semanas (Menczel Schrire 2024); meta-análisis recomienda administrar entre 20:30 y 21:00 durante 13-24 semanas (Leung 2025)
• Rapamicina: 7 mg semanales oral 26 semanas en AD precoz (Wallgren 2026); 1 mg diario 8 semanas en 70-95 años (NCT02874924)
• Senolíticos: dasatinib + quercetina 2 días cada 15 días, 6 ciclos (NCT04785300)
• Espermidina: 0,9 mg/día de extracto de germen de trigo, 12 meses (SmartAge)
• NR: 4x250 mg/día 12 semanas (NCT04430517); 1000 mg/día o escalado a 2000 mg 12 semanas (NCT05617508); nicotinamida 1500 mg dos veces al día (NEAT)
• Resveratrol: hasta 1 g dos veces al día 52 semanas (Moussa 2017)
• Creatina: 20 g/día 8 semanas (piloto n=20 en scoping review 2026)
• NAC: 2400 mg/día 24 semanas (Gallagher 2026)
• CoQ10/ubiquinol: 200 mg/día 90 días (Nankivell 2026); CoQ 400 mg x6 wafers/día en NCT00117403
• DHA: 1 g/día con vitamina D3 800 UI/día 12 meses (Yuan 2026)
• Semax/selank intranasal: pautas de vendedores y foros 100-600 mcg 1-2 veces/día en ciclos de 2-4 semanas (WebSearch; fuentes comerciales, discrepantes entre sí)</t>
  </si>
  <si>
    <t xml:space="preserve">• Semax/selank no están aprobados por la FDA; la revisión de Hailu 2026 (Cureus) describe 'product-quality uncertainty', apilado de péptidos, autotitulación y farmacovigilancia débil
• Rapamicina: se midió que las concentraciones valle semanales quedaron por debajo de niveles inmunosupresores (Wallgren 2026); el registro REACH fija como primarios eventos adversos, glucosa y albúmina
• Senolíticos: en neuronas humanas in vitro el navitoclax mostró 'non-selective neurotoxicity' mientras D+Q fue 'safe' (Walton 2025)
• Terapia hormonal: la propia comunidad cita que WHI y KEEPS no encontraron beneficio; Bruno 2026 aclara 'do not address causality'
• Oxitocina: en bvFTD 'decreased accuracy in recognizing harmful intentions' (Colonnello 2026)
• Creatina: un estudio de roedores reportó empeoramiento de la memoria espacial (scoping review 2026)
• Nicotinamida a dosis altas: solo 6 de 19 participantes alcanzaron nicotinamida medible en LCR; 13 de 19 inactivación metabólica (Ketron 2025)
• Los defensores de ReCODE declaran que el protocolo son pasos múltiples y que los resultados varían (Rao 2021: 'not as successful as those in the proof-of-concept trial')</t>
  </si>
  <si>
    <t xml:space="preserve">• https://www.alzdiscovery.org/uploads/cognitive_vitality_media/Semax-Cognitive-Vitality-For-Researchers.pdf (devuelta por WebSearch; el PDF no se pudo extraer con WebFetch; no leída)
• https://www.peptideprotocolwiki.com/peptides/selank/dosing (devuelta por WebSearch, no abierta)
• https://www.peptidedosingprotocols.com/stacks/russian-nootropic-stack (devuelta por WebSearch, no abierta)
• https://peptide-db.com/peptides/semax (devuelta por WebSearch, no abierta)
• https://nootropics.com/substances/semax (devuelta por WebSearch, no abierta)
• https://primehealthdenver.com/bredesen-protocol/ (devuelta por WebSearch, no abierta)
• https://www.shortform.com/summary/the-first-survivors-of-alzheimers-summary-dale-bredesen (devuelta por WebSearch, no abierta)
• https://doi.org/10.20944/preprints202512.2694.v3 (preprint ReCODE aleatorizado, Toups y cols.)
• https://doi.org/10.20944/preprints202609.2396.v1 (preprint sobre uso directo al consumidor de semax y selank)
• https://bakhtiniada.ru/0091-150X/article/view/245621 (devuelta por WebSearch: 'Prospects for Intranasal Delivery of Neuropeptides to the Brain', no abierta)</t>
  </si>
  <si>
    <t xml:space="preserve">• Registro diario con escalas cortas (MoCA/MMSE a intervalos, ADAS-cog informal, NPI de apatía y agitación, cuestionario del cuidador) para comparar con los desenlaces de los estudios citados
• Diario de dosis, hora (p. ej. melatonina a las 20:30-21:00) y producto/lote, con aviso de interacciones declaradas
• Seguimiento de sueño (actigrafía de reloj o pulsera) para replicar la medida de melatonina de Asayama y Gehrman
• Plantilla de analítica periódica (estradiol, progesterona, testosterona, TSH/T3/T4, DHEA-S, cortisol, homocisteína, B12, vitamina D, NAD+ si disponible) con gráficas en el tiempo
• Diseño n-de-1: periodos alternos de intervención y pausa con registro ciego de la familia
• Recordatorios de ciclos (D+Q 2 días cada 15; semax en ciclos de semanas) y exportación para el médico
• Biblioteca de ensayos registrados abiertos con enlace (NCT04629495, NCT05617508, NCT04785300) para que la familia consulte reclutamiento</t>
  </si>
  <si>
    <t xml:space="preserve">Consultas realizadas (más de 40): Europe PMC (core, resumen) sobre NAD+/NR, cerebrolisina (x3), semax/selank (x2), estrógenos/terapia hormonal (x2), testosterona (x2), DHEA/pregnenolona (x3), melatonina (x4), oxitocina, tiroides, rapamicina, espermidina, urolitina, senolíticos/D+Q, fisetina, resveratrol (x2), creatina, taurina/glicina/GlyNAC, PQQ, CoQ10, omega-3/DHA, vitaminas B/homocisteína, carnosina/NAC, Bredesen/Toups, cofactores metabólicos; ClinicalTrials.gov v2 en 10 búsquedas y detalle de 15 registros; WebSearch (2 consultas) y WebFetch (1, PDF de alzdiscovery.org no extraíble). No se agotó ningún cupo. No encontré ensayos aleatorizados en humanos con alzheimer para semax, selank, urolitina A, PQQ, taurina, pregnenolona ni testosterona; solo animales, células, revisiones o registros. No pude abrir fuentes de GreenMedInfo, Examine, SelfHacked, Longecity, Reddit/AlzConnected ni YouTube; solo URL devueltas por WebSearch que figuran sin abrir. Los resúmenes de Europa PMC a veces cortan cifras (p. ej. melatonina Leung 2025, p-values); no abrí los textos completos de los artículos ni las tablas de resultados de registros con hasResults=true (NCT02874924, NCT00911807). La sección de financiación se limitó a lo que devuelve la API de Europa PMC (campo de subvenciones) o consta en el resumen. Los hallazgos se transcriben sin valorar su fiabilidad. Para ajustar a 45 filas dejé fuera como fila (pero constan en lo_enterrado o en el texto) NCT02874924, NCT00544791, NCT00743743, NCT05617508, taurina en ratas (PMID 42277642), meta-análisis DHEA (PMID 40616152), serie de casos Bredesen 2024 (PMID 39200239) y subanálisis Liu 2025 de resveratrol (PMID 40507855). | VERIFICACIÓN (documental, Europa PMC y ClinicalTrials.gov, 2026-10-12): 45 filas revisadas; citas encontradas 45, no encontradas 0; cifras que coinciden con el resumen o registro 45, que difieren 0, no comprobables en el resumen 0. Se comprobaron título, año, primer autor y el contenido de resultado_reportado frente al resumen de Europa PMC (44 filas por PMID o DOI) y el registro de ClinicalTrials.gov (NCT04430517, y los NCT citados en otras filas). No se modificó ninguna cifra ni otro campo salvo "verificacion". Observaciones factuales: fila 24 de 45 (Leung 2025) el resumen sí trae el valor de p que la fila marca como truncado; fila 38 de 45 (Yassine 2026, DHA) el resumen da 2 g/día mientras dosis_o_protocolo dice que la cifra no estaba en el fragmento.</t>
  </si>
  <si>
    <t xml:space="preserve">Sangre, plasma, quelación y terapias intravenosas</t>
  </si>
  <si>
    <t xml:space="preserve">La línea heterodoxa sostiene que la sangre de la persona mayor acumula factores proinflamatorios y de envejecimiento (y amiloide) que pueden diluirse con recambio plasmático (albumina, IgIV, plasma joven), y que otras intervenciones intravenosas o de gas (quelación, ozono, hidrógeno, vitamina C, células/exosomas) actuarían sobre oxidación, metales e inflamación. Los defensores del recambio plasmático son tanto la industria (Grifols) como científicos de longevidad (Conboy, Kiprov).</t>
  </si>
  <si>
    <t xml:space="preserve">• Dobri Kiprov (Apheresis Care Group, California Pacific Medical Center), coautor de AMBAR y de estudios de 'dilución de plasma'
• Irina y Michael Conboy (Berkeley), heterocronía y 'old plasma dilution'
• Mercè Boada (Barcelona) y Grifols (AMBAR)
• Alkahest/Grifols (GRF6019)
• Stanford (estudio PLASMA, Sha SJ)
• Donald McLachlan (aluminio y desferrioxamina)
• Ambrosia (Jesse Karmazin), cesó tratamientos tras advertencia FDA 2019
• Grupos de hidrógeno molecular (Corea, Serbia) y de ozonoterapia (Italia, China)</t>
  </si>
  <si>
    <t xml:space="preserve">• Eliminación de factores proinflamatorios y de amiloide unido a albumina (AMBAR)
• Dilución del plasma viejo y reequilibrio del proteoma, normalización de TLR4 (Kim 2022)
• Reducción de IFN-g, eotaxina, MIP-1a, ICAM-1 en suero y eotaxina-3, MIP-1b en LCR (Gonzalo 2024)
• Quelación de aluminio con desferrioxamina; intento de bajar hierro cerebral con deferiprona
• Activación de Nrf2/antioxidación (hidrógeno, ozono)
• Inmunomodulación por células mesenquimales y exosomas
• Aporte de factores jóvenes (plasma joven, GRF6019)</t>
  </si>
  <si>
    <t xml:space="preserve">El metaanálisis de 2022 (Fei et al., Systematic Reviews) no encontró diferencia significativa para derivados sanguíneos en Alzheimer (RR 1,10; IC95% 0,79-1,54). La FDA advirtió en 2019 contra el plasma joven comercial. El ensayo AMBAR fue promovido y financiado por Grifols, que vende albumina y plasma. TACT2 (quelación EDTA, cardiovascular) tuvo financiación NIH y no halló diferencia; la financiación del ensayo de deferiprona no se leyó. Quien vende el recambio es quien financió el ensayo principal; la familia puede contrastarlo con el registro de ClinicalTrials.gov.</t>
  </si>
  <si>
    <t xml:space="preserve">• NCT06079827: recambio plasmático y biomarcadores de ARN (MaxWell Clinic), estado UNKNOWN, sin resultados
• NCT06234436: ADDITION-MCI (Oslo), estado UNKNOWN, sin resultados
• NCT05068830: ExPlas, hasta 2031, sin resultados
• NCT02600130 (Lomecel-B, completado 2021-09), NCT02054208 (NEUROSTEM, completado 2019-12), NCT02899091 (CB-AC-02, UNKNOWN), NCT02672306 y NCT01547689 (UC-MSC China, UNKNOWN): sin resultados en el registro
• Desferrioxamina en Alzheimer (McLachlan 1993, 48 pacientes): no se encontraron ensayos posteriores en estas búsquedas
• Resultados de AMBAR por subgrupo (sin efecto en leves, efecto en moderados) y reanálisis latente</t>
  </si>
  <si>
    <t xml:space="preserve">• AMBAR: 6 semanas de recambio semanal con albumina 5% y 12 meses de recambio mensual de bajo volumen con albumina 20% o IgIV 5%
• Argentina: 6 sesiones intensivas semanales + al menos 10 mensuales (88,2% y 49,8% del volumen plasmático)
• Piloto Oslo: recambio de 16-26 L con plasma de donantes de 18-24 años
• PLASMA (Stanford): 250 mL de plasma joven semanal x4
• GRF6019: 100 o 250 mL diarios x5 días, dos periodos separados por 3 meses
• Desferrioxamina: 125 mg i.m. dos veces al día, 5 días a la semana, 2 años
• Ozono MAH: 10 sesiones, dos por semana (MCI)
• Hidrógeno en ratones: 3% 60 días o 2% 1 h/día</t>
  </si>
  <si>
    <t xml:space="preserve">• Eventos adversos en 16,9% de recambios convencionales y 12,5% de bajo volumen (AMBAR); más con acceso venoso central
• Venopunción y eventos leves-moderados (18,5% de sesiones, Argentina)
• Urticaria, hipertensión, bradicardia con plasma joven (PLASMA)
• Neutropenia y empeoramiento cognitivo con deferiprona
• Advertencia FDA 2019 por riesgos infecciosos, alérgicos, respiratorios y cardiovasculares
• Limitaciones declaradas: muestras pequeñas, controles históricos, falta de ciego</t>
  </si>
  <si>
    <t xml:space="preserve">• https://lifeboat.com/blog/2021/07/plasma-dilution-potential-benefits-real-cases-part-iii-dr-dobri-kiprov-interview-series
• https://techcrunch.com/2019/02/19/fda-warning-blood-transfusions-ambrosia-medical/
• https://clinicaltrials.gov/study/NCT06079827
• https://clinicaltrials.gov/study/NCT07521384</t>
  </si>
  <si>
    <t xml:space="preserve">• Diario con fechas de sesiones, volumen/dosis y eventos adversos, para comparar con los protocolos publicados
• Registro repetible de MMSE/MoCA y ADCS-ADL a intervalos fijos (basal, 2, 6, 14 meses) como en AMBAR
• Plantilla de analítica (hemograma, albumina, ferritina, IgG) y recordatorios
• Línea de base antes de cualquier intervención, probando una cosa cada vez
• Exportación para el médico y para el cuidador
• Aviso de que la app solo registra y no recomienda</t>
  </si>
  <si>
    <t xml:space="preserve">Europe PMC: unas 24 consultas (AMBAR, plasma joven/GRF6019, EDTA/quelación, DMSA/deferoxamina/clioquinol/PBT2, ozono, hidrógeno, vitamina C i.v., células/exosomas, ferritina/donación de sangre, sanguijuelas, entre otras). ClinicalTrials.gov API v2: 6 consultas generales más fichas individuales de unos 15 NCT. WebSearch: 2 consultas; WebFetch: 2 usos (lifeboat sin protocolo útil; metadatos Europe PMC). No se agotó ningún cupo. No encontrado: ensayos aleatorizados de EDTA o DMSA en Alzheimer (TACT2 es cardiovascular y se incluye solo como referencia); ensayos de vitamina C i.v., ozono o hidrógeno en pacientes con Alzheimer (solo DCL, animales y células); estudios concretos de donación de sangre o ferritina como intervención (la consulta devolvió ruido); precios y clínicas de recambio plasmático en España. No se abrieron textos completos ni la mayoría de secciones de conflictos de interés (se indica 'no consta' o 'no leído'). El JSON está guardado en /tmp/claude-0/-home-user-NEW-ERA/313b6596-6a0e-5eaf-9086-7a3d2e306ccf/scratchpad/catalogo/research/sangre_plasma_quelacion.json (42 filas); la versión devuelta aquí fue transcrita a mano con ajustes menores (por ejemplo, la fila de Ambrosia pasó a 'no aplica' y se retiró una mención de NHMRC no verificada). RESUMEN DE VERIFICACIÓN (documentalista, 2026-10-12): 42 filas. Citas encontradas: 41 de 41 con PMID, PMCID o NCT; citas no encontradas: 0; la URL de Ambrosia existe (página existe). Cifras que coinciden con el resumen o registro: 21 (cifras clave comprobadas, no todas las cifras de la fila). Cifras no comprobables en el resumen: 20 (incluye registros, cuyo resumen no trae cifras de resultado). Cifras que difieren: 0. Limitaciones: solo se contrastó el resumen de Europe PMC, no el texto completo; el PMID 36538409 (ExPlas) y el PMID 41814444 (NEUROSTEM) no se consultaron; en los registros se comprobaron estado, fechas y promotor, no las cifras de resultados. NO se han modificado cifras ni filas.</t>
  </si>
  <si>
    <t xml:space="preserve">Cuerpo y mente: movimiento, musica, contacto, meditacion</t>
  </si>
  <si>
    <t xml:space="preserve">La linea heterodoxa defiende que el cuerpo y la mente se pueden usar como terapia: meditacion corta (Kirtan Kriya 12 min), yoga, tai chi/qigong, musica personalizada, tacto, aromas, luz, animales y robots, ejercicio y aprendizaje. Las fuentes que la sostienen presentan estas practicas como baratas, sin efectos adversos graves y con posibles efectos sobre estres, inflamacion, sueno y conducta. Lo que sigue son afirmaciones de los defensores, sin juicio.</t>
  </si>
  <si>
    <t xml:space="preserve">• Dharma Singh Khalsa y Alzheimer's Research and Prevention Foundation (Kirtan Kriya, https://alzheimersprevention.org)
• Chris Walling (Kripalu, charla sobre Kirtan Kriya)
• Helen Lavretsky y Prabha Siddarth (UCLA, yoga kundalini)
• Kim Innes (estudios KK y musica)
• Music &amp; Memory (programa de playlists personalizadas, https://musicandmemory.org)
• Grupos de acupuntura de Guang'anmen y Shanghai</t>
  </si>
  <si>
    <t xml:space="preserve">• Menos estres y cortisol (toque terapeutico, KK)
• Menos expresion de genes inflamatorios NF-kB (Black 2013) y mas telomerasa (Lavretsky 2013)
• Aumento de BDNF y sinapsis (EA APP/PS1; HIIT en ratas)
• Circuito vago-NTS-locus coeruleus (EA ST36/ST37)
• Conectividad del hipocampo y volumen hipocampal (yoga kundalini)
• Activacion multisensorial y memoria autobiografica con musica</t>
  </si>
  <si>
    <t xml:space="preserve">Las revisiones de las propias fuentes recuperadas describen evidencia debil o heterogenea: un paraguas de terapias no farmacologicas citado en la busqueda web califico las metaanalisis de calidad baja o critica (AMSTAR-2). El ensayo mas grande de musica (MIDDEL, Lancet Healthy Longev 2025) no halló efecto sobre depresion. No se ha identificado una linea de financiacion farmaceutica en estas intervenciones; muchos estudios proceden de fondos publicos (NIH, ZonMw, ERC). Los defensores de Kirtan Kriya publican con financiacion de la ARPF, que es parte interesada (Grzenda 2024).</t>
  </si>
  <si>
    <t xml:space="preserve">• NCT05272501 Calming Touch (Dinamarca), completado, sin resultados
• NCT05034107 ylang-ylang (Malasia), completado, sin resultados
• NCT01055561 acupuntura BPSD (Chengdu), completado 2011, sin resultados
• NCT06626828 electroacupuntura aMCI (Hong Kong), completado 2025, sin resultados
• NCT05178992 robots asistentes (Vanderbilt, n=142), completado, sin resultados
• NCT02147652 musica personalizada con auriculares (Toronto, 2014-2020), estado desconocido
• NCT03108781 lavanda (Soroka), estado desconocido
• NCT03576170 aromaterapia BPSD (Hong Kong Polytechnic), completado 2018, sin resultados en el registro
• NCT02978768 Tai Chi 6-form en Alzheimer (Chang Gung), completado 2015, sin resultados
• NCT04064021 acupuntura Alzheimer (retirado, n=0)</t>
  </si>
  <si>
    <t xml:space="preserve">• Kirtan Kriya: 12 min al dia durante 8 a 12 semanas (Innes, Lavretsky)
• Yoga kundalini: clase semanal de 60 min y 12 min diarios en casa durante 12 semanas
• Musica individualizada: 20 min en dias alternos 6 semanas (Hillebrand); 30 min diarios con app 12 semanas (Rubato)
• Acupuntura: 3 veces por semana 14 semanas anadida a donepezilo (Kong 2026)
• Qigong: 45 min 3 veces por semana 11 semanas
• Aromaterapia de 6 semanas con 12 sesiones (Cheng 2026)
• Masaje por cuidador entrenado en domicilio (Liu 2023)</t>
  </si>
  <si>
    <t xml:space="preserve">• Muchos estudios son pequeños y cortos
• El beneficio de la acupuntura no persistio tras suspenderla (Kong 2026)
• Los efectos de aromaterapia disminuyeron al terminar la intervencion (Lin 2025)
• Terapia con muñecos: algunos residentes sin respuesta o respuesta adversa y exigencias eticas (Cui 2026)
• Eventos musculoesqueléticos leves en ejercicio de alta intensidad (16% de las sesiones, Sondell 2019)
• Menor adherencia en yoga (65% vs 95%, Grzenda 2024)</t>
  </si>
  <si>
    <t xml:space="preserve">• https://alzheimersprevention.org
• https://researchoutreach.org/articles/spiritual-fitness-prevents-alzheimers-disease/
• https://musicandmemory.org
• https://www.healio.com/internal-medicine/psychiatry/news/online/%7B928fe4fd-7579-4521-81bb-3a941b0bc573%7D/yoga-meditation-may-prevent-alzheimers-disease-in-women
• https://pubmed.ncbi.nlm.nih.gov/33554917/ (Khalsa y Newberg 2021, Spiritual Fitness)</t>
  </si>
  <si>
    <t xml:space="preserve">• Temporizador guiado de 12 min de Kirtan Kriya con registro diario de adherencia
• Diario de musica: que canciones, cuantos minutos y reaccion observada (agitacion, sonrisa) antes y despues
• Escala diaria breve de agitacion/animo del cuidador e informe semanal exportable
• Registro de sueno y siestas con luz y actividad
• Ensayo N-de-1 en casa: alternar semanas con y sin la practica y comparar medidas
• Biblioteca de protocolos con las dosis de cada estudio y enlace a la fuente</t>
  </si>
  <si>
    <t xml:space="preserve">Consultas: Europe PMC (mas de 35 consultas por intervencion), ClinicalTrials.gov API v2 (12 busquedas y 12 fichas) y 3 WebSearch. No hubo agotamiento de cupo. No se encontraron ensayos aleatorizados propios de siesta, risa, ni aprendizaje de instrumento en Alzheimer; solo estudios observacionales o protocolos. WebSearch no devolvio paginas de GreenMedInfo, Examine, Longecity ni foros. Las cifras del programa Music &amp; Memory proceden del resumen de buscador, no del original. Para varios estudios Europe PMC no daba n o duracion y se escribio 'no consta'. El preprint PPR396707 (musica y aclaramiento de amiloide en raton) no se pudo abrir. JSON guardado en /tmp/claude-0/-home-user-NEW-ERA/313b6596-6a0e-5eaf-9086-7a3d2e306ccf/scratchpad/catalogo/research/cuerpo_mente.json. RESUMEN DE VERIFICACION: 48 citas comprobadas (39 PMID/DOI, 8 NCT, 1 web). Citas encontradas: 48. Citas no encontradas: 0. Cifras que coinciden con el resumen o la ficha: 35 (27 PMID y 8 NCT); la web Music &amp; Memory coincide con la pagina. Cifra que difiere: 1 (32192537, Sanders 2020: el resumen indica 91 reclutados, la fila pone 69). Cifras no comprobables en el resumen: 11 PMID (incluido Reiki 19623833, sin resumen). Verificacion realizada por documentalista; no se han modificado cifras ni filas.</t>
  </si>
  <si>
    <t xml:space="preserve">Ambiente, toxicos y lo que rodea a la persona</t>
  </si>
  <si>
    <t xml:space="preserve">La linea heterodoxa sostiene que el Alzheimer no es solo amiloide sino la suma de agresiones ambientales (moho, micotoxinas, metales como aluminio, mercurio y plomo, pesticidas, aire contaminado, apnea, farmacos) que se pueden retirar.</t>
  </si>
  <si>
    <t xml:space="preserve">• Dale Bredesen (Reversal of Cognitive Decline, ReCODE, Apollo Health)
• Chris Exley (Keele University), aluminio y agua rica en silicio
• Joachim Mutter, mercurio
• Ritchie Shoemaker (CIRS)
• William Rea, medicina ambiental
• Gary Arendash (NeuroEM)</t>
  </si>
  <si>
    <t xml:space="preserve">• Moho y micotoxinas inflaman e inducen CIRS (tipo 3 de Bredesen)
• Aluminio colocaliza con amiloide-b y es neurotoxico
• Mercurio inorganico reproduce lesiones del Alzheimer in vitro
• Pesticidas y glifosato elevan TNFa y Abeta
• PM2,5 y apnea (hipoxia y sueno fragmentado) alteran el aclaramiento
• Anticolinergicos y benzodiacepinas aumentan riesgo en cohortes</t>
  </si>
  <si>
    <t xml:space="preserve">Revisiones oficiales (Domingo y Colomina 2026, umbrella review del aluminio) hablan de controversia. Para el mercurio, SCENIHR (UE) concluyo sin riesgo sistemico (citado en Mutter 2011). La financiacion consta solo en los estudios donde aparece: NIH y fundaciones privadas en Bredesen, NeuroEM en Arendash. En el resto no consta.</t>
  </si>
  <si>
    <t xml:space="preserve">• NCT00477828 CPAP en Alzheimer (UCSD), completado 2006, sin resultados
• NCT02814045 hipoxia y apnea en Alzheimer (SEPAR), sin resultados
• NCT02474251 CPAP y amiloide en LCR (NYU), sin resultados
• NCT04284449 naturopatia integrativa, sin resultados
• No encontre ensayos registrados sobre moho/micotoxinas y Alzheimer en ClinicalTrials.gov</t>
  </si>
  <si>
    <t xml:space="preserve">• Bredesen: retirar fuente de moho, test ERMI, micotoxinas en orina, colestiramina, spray BEG, VIP intranasal
• Exley: hasta 1 L diario de agua rica en silicio 12 semanas
• Rea: evitacion, antigenos, sauna, oxigeno, nutrientes
• Arendash: 915 MHz, 2 sesiones de 1 h al dia durante 2 meses</t>
  </si>
  <si>
    <t xml:space="preserve">• Bredesen reconoce muestra pequena y sin control
• Exley reconoce que se necesita estudio mayor
• Arendash notifica no mejoria significativa global con n=8 (p=0,09)</t>
  </si>
  <si>
    <t xml:space="preserve">• https://pmc.ncbi.nlm.nih.gov/articles/PMC4789584/
• https://www.apoe4.info/forums/viewtopic.php?p=62980
• https://www.alzdiscovery.org/cognitive-vitality/blog/can-mold-harm-your-brain
• https://www.nutraingredients.com/Article/2012/10/16/Silicon-rich-mineral-water-backed-for-Alzheimer-s-benefits</t>
  </si>
  <si>
    <t xml:space="preserve">• Diario de sintomas ambientales (irritacion nasal al entrar o salir de casa)
• Registro de humedad y temperatura de la vivienda
• Revision de medicacion anticolinergica con lista
• Registro de adherencia a CPAP y sueno
• Plantilla de test cognitivo repetido mensual
• Calendario de exposicion al agua y consumo de silice</t>
  </si>
  <si>
    <t xml:space="preserve">Consultas: Europe PMC (mas de 30), ClinicalTrials.gov (4), PubMed no necesario, WebSearch (4) y WebFetch (5, dos dieron 403). Sin cupo agotado. No se encontraron foros de Reddit ni AlzConnected ni Longecity; solo apoe4.info. No localice estudios primarios de wifi en personas, luz azul con Alzheimer, ni ensayos de moho. Financiacion: solo se anota donde la vi; el resto figura como no consta. Valores de hasta n no vistos se marcan no consta. | VERIFICACION (documentalista): citas encontradas 43 de 43 con identificador comprobable (PMID/DOI/NCT); citas no encontradas 0; pagina no accesible 1 (apoe4.info, HTTP 403); cifras que coinciden 27; cifras no comprobables en el resumen 16. Ninguna cifra cambiada. Nota: el JSON de entrada tiene 44 filas; se devuelven las 44. Esta tarea no incluye el plan de la app pedido en el mensaje del usuario.</t>
  </si>
  <si>
    <t xml:space="preserve">Alimentos concretos, dietas y ayunos</t>
  </si>
  <si>
    <t xml:space="preserve">La línea heterodoxa defiende que el Alzheimer tiene un componente metabólico (resistencia cerebral a la glucosa, inflamación, disbiosis) que dieta, cetonas, polifenoles de bayas/uva/cúrcuma/azafrán, probióticos o kéfir y estilo de vida intensivo pueden modificar, frente al enfoque de un único fármaco. Los hallazgos aquí van de mejoras en ensayos pequeños a ausencia de diferencia en ensayos grandes (MIND, WAHA), todo transcrito tal cual.</t>
  </si>
  <si>
    <t xml:space="preserve">• Mary Newport (libro Alzheimer's Disease: What If There Was a Cure?, aceite de coco/MCT; fuente: resultado de WebSearch, página no abierta con WebFetch: https://iowasource.com/?p=2144)
• Dale Bredesen (MEND/ReCODE, KetoFLEX 12/3; PMID 25324467; resumen web no abierto)
• Dean Ornish (estilo de vida intensivo; PMID 38849944)
• Grupo Krikorian (Cincinnati): arándano, uva, cetosis
• Grupo Akhondzadeh (Irán): azafrán
• Grupo Ton/Vasquez (Brasil): kéfir</t>
  </si>
  <si>
    <t xml:space="preserve">• Cetonas como combustible alternativo ante menor captación de glucosa cerebral
• Antocianinas y polifenoles: antioxidantes y antiinflamatorios
• Eje intestino-cerebro: probióticos, kéfir y FMT
• Colina y lípidos éter
• Ayuno intermitente: microglía y fagocitosis de amiloide en ratón</t>
  </si>
  <si>
    <t xml:space="preserve">El ensayo MIND (NEJM 2023, n=604, 3 años) no halló diferencia significativa (P=0.23), financiado por el NIA. Varios resultados positivos tienen financiación sectorial: AC-1202 por Accera (autores empleados), BREAK-AD por Nestlé Health Science, nueces WAHA por California Walnut Commission, huevos por American Egg Board, ajo por Wakunaga, uva por California Table Grape Commission, probióticos de Taiwán por Glac Biotech, CANN por Abbott Nutrition.</t>
  </si>
  <si>
    <t xml:space="preserve">• NCT03998423: FMT oral en Alzheimer, Wisconsin, 5 inscritos, terminado en 2020, sin resultados
• NCT01001637: curcumina Longvida en Alzheimer, India, 26, terminado, sin resultados
• NCT00164749: curcumina + ginkgo, Hong Kong, 36; sin resultados en el registro (publicación PMID 18204357 sin resumen en PubMed)
• NCT04396015: MCT vs oliva, Alberta, 20, sin resultados en el registro
• NCT04229186: aceite de oliva Coratina, Bari, estado desconocido
• NCT01573611 y NCT03361410: uva UCLA, registradas sin resultados en el registro (publicado PMID 27856335)
• NCT01515098 y NCT01746303: sin resultados en el registro pero publicados (PMIDs 36066009 y 29458842)</t>
  </si>
  <si>
    <t xml:space="preserve">• KetoFLEX 12/3: ayuno de al menos 12 horas, nada 3 horas antes de dormir, flexitariana (resultado de WebSearch)
• Ornish: dieta vegana 10-15% grasa y suplementos (registro NCT04606420)
• Arándano liofilizado 35 g/día 6 meses (NCT01515098)
• MCT 25-42 g/día (PMID 35310527)
• Kéfir 2 mL/kg/día 90 días (PMID 32411323)
• Theracurmin 90 mg dos veces/día 18 meses (PMID 29246725)</t>
  </si>
  <si>
    <t xml:space="preserve">• Dispepsia con curcumina+bioperine a 5.4 g/día (2 retiradas, NCT00595582)
• Aumento de neuroinflamación en ratón con FMT APOEe2 (PMID 39801363)
• Digestivos con MCT (resumen truncado, no transcribo)
• Empeoramiento de función ejecutiva en CANN (PMID 37315924)</t>
  </si>
  <si>
    <t xml:space="preserve">• https://iowasource.com/?p=2144
• https://womensbrainhealth.org/think-tank/think-outside-the-box/coconut-oil-touted-as-alzheimers-remedy
• https://portal.prod.caregivers.com/articles/re-examining-coconut-oil-for-alzheimers-theory-172016.htm
• https://www.shortform.com/summary/the-end-of-alzheimers-program-summary-dale-e-bredesen
• https://www.nutraingredients.com/Article/2019/03/13/Personalised-diet-and-supplementation-needed-to-lower-Alzheimer-s-risk-Pharmacology-expert/</t>
  </si>
  <si>
    <t xml:space="preserve">• Diario de comidas con foto y puntuación MIND
• Registro de cetonas (tira de orina o glucómetro de BHB) junto a una prueba cognitiva breve semanal
• Registro de ingesta con vajilla de alto contraste y peso de lo comido
• Recordatorio de dosis y efectos digestivos
• Exportación para el médico</t>
  </si>
  <si>
    <t xml:space="preserve">Más de 40 consultas: Europe PMC (MIND, arándano, nueces, cetogénica, MCT, cacao, kéfir/probióticos, FMT, azafrán, cúrcuma, ayuno, aceite de oliva, remolacha, pomegranate, café, té, huevos, colina, pescado, ajo, miel, jengibre, fermentados, vinagre, colágeno, carne), PubMed efetch, ClinicalTrials.gov v2 (10 consultas) y 2 WebSearch (Newport, Bredesen); WebFetch no se usó y esas webs no se abrieron. Sin cupo agotado. No encontré estudios en Alzheimer con caldo de huesos, hígado, carnívora, vinagre o colágeno; granada, jengibre, remolacha y ajo solo animal o sin efecto. Las cifras vienen de resúmenes; funding y conflictos solo si constaban en el texto leído; Small 2018 y Zhang 2026 tienen conflictos no leídos. Baum 2008 sin resumen en PubMed. Verificación documental (Europe PMC y ClinicalTrials.gov API v2, consultados el 2026-10-12): 44 filas revisadas; 44 citas encontradas y 0 no encontradas; 32 cifras coinciden con el resumen o el registro; 12 no comprobables en el resumen (resultado transcrito cualitativo o PMID sin resumen); 0 difieren. Año, primer autor y DOI coinciden en todas las filas con PMID. Ninguna web ni foro entre las filas (todos los enlaces son PubMed o ClinicalTrials.gov); las webs del dosier (iowasource.com y otras) no se comprobaron. No se modificó ninguna cifra ni otro campo; solo 'verificacion'.</t>
  </si>
  <si>
    <t xml:space="preserve">Fármacos baratos reposicionados y abandonados</t>
  </si>
  <si>
    <t xml:space="preserve">Existen fármacos genéricos o de bajo coste (litio, metformina, sildenafilo, antihipertensivos) con señales preclínicas y epidemiológicas que no se financian a gran escala por no ser patentables; la hipótesis de deficiencia de litio (Nature 2025) refuerza esa línea.</t>
  </si>
  <si>
    <t xml:space="preserve">• Marcelo Nunes (microdosis de litio, Brasil)
• Bruce Yankner (Harvard, hipótesis de litio)
• Ole Forlenza (São Paulo)
• Lars Kessing (Copenhague)
• Dale Bredesen (ReCODE, Alzheimer's Prevention and Reversal Project)</t>
  </si>
  <si>
    <t xml:space="preserve">• Inhibición de GSK-3β
• BDNF y Bcl-2
• Eje intestino-cerebro (GV-971)
• Agonismo RXR y ApoE (bexaroteno)
• Inhibición de tirosina quinasas (nilotinib, masitinib)
• Reposición de litio endógeno</t>
  </si>
  <si>
    <t xml:space="preserve">Los ensayos grandes (simvastatina, minociclina, doxiciclina) reportan sin beneficio. Varios resultados positivos provienen de empresas (AB Science, Green Valley); financiación pública NIA/MRC en los neutros. Una fuente (Guth 2026) sostiene que el fracaso fue institucional (PMID 42683436).</t>
  </si>
  <si>
    <t xml:space="preserve">• NCT00231946 ALADDIN fase III leuprolida, 555 pacientes, sin resultados
• NCT00088387 litio y divalproato, sin resultados
• NCT05423522 NanoLithium, completado, sin resultados
• NCT03402503 montelukast bucal, sin resultados
• NCT02547818 ALZT-OP1 fase III, sin resultados
• NCT02913664 rrAD, 513, sin resultados
• NCT02293915 GV-971 sin resultados en el registro
• NCT05894954 dapsona/precisión, sin resultados</t>
  </si>
  <si>
    <t xml:space="preserve">• Nunes: 300 µg de litio al día durante 15 meses
• Forlenza: litemia 0,25-0,5 mmol/l, 12 meses
• LATTICE: carbonato de litio a dosis baja 2 años
• Nilotinib 150 mg y luego 300 mg
• Masitinib 4,5 mg/kg/día
• Metformina 1000 mg dos veces al día</t>
  </si>
  <si>
    <t xml:space="preserve">• Creatinina alta, diarrea, temblor con litio (LATTICE)
• Intolerancia digestiva a metformina
• Triglicéridos con bexaroteno
• Erupción y neutropenia con masitinib
• Más muertes con mirtazapina (7 vs 1)
• Yankner: no tomar nada basado solo en ratones</t>
  </si>
  <si>
    <t xml:space="preserve">• https://www.nih.gov/news-events/nih-research-matters/lithium-levels-tied-alzheimers-disease-dementia
• https://lifespan.io/news/low-dose-lithium-reverses-features-of-alzheimers-in-mice/
• https://beingpatient.com/science-behind-lithium-for-alzheimers-explained/
• https://www.apoe4.info/wiki/Bredesen_Protocol</t>
  </si>
  <si>
    <t xml:space="preserve">• Diario de dosis y litemia con recordatorios
• Escalas repetidas (MMSE/MoCA) en casa con gráficos
• Registro de efectos adversos y análisis renal/tiroideo
• Alerta de interacciones
• Exportar informe para el médico</t>
  </si>
  <si>
    <t xml:space="preserve">Europe PMC, PubMed, ClinicalTrials.gov API v2 y WebSearch (dos consultas); más de 30 consultas. No se pudo abrir texto completo; financiación y conflictos solo se citan si figuran en PubMed o el resumen. No se hallaron en las consultas ensayos de dapsona, rapamicina, fluoxetina o amlodipino con resultados; no se leyeron GreenMedInfo, foros ni patentes. WebFetch no se usó. Registros marcados sin resultados lo estaban en ClinicalTrials.gov en la fecha de consulta. VERIFICACION DOCUMENTAL (Europe PMC, ClinicalTrials.gov API v2; 12/10/2026). Citas encontradas: 44 de 44. Cifras que coinciden con el resumen o el registro: 36. Cifra no comprobable en el resumen: 8 (PMID 22746245, 26822146, 29067298, 36172600, 22718435, 31488882, 34097124, 35273086). Cifras que difieren: 0. Observaciones sin cambiar ninguna cifra: NCT01055392 registra 80 inscritos frente a 45 en el artículo de la fila; NCT06292351 registra 133 inscritos frente a 135 en la fila (el resumen del artículo da 135); NCT01872598 registra 721 inscritos totales y la fila da 358 del grupo principal (el resumen confirma 182 y 176); PMID 42774443 tiene DOI completo confirmado 10.1177/09727531261470562. No se abrió texto completo; financiación y conflictos no se han verificado salvo lo que figura en el resumen. PLAN DE APP (inicio, a partir de ideas_para_la_app; la app registra y organiza, no recomienda dosis): 1) Diario de tomas y registro de efectos adversos con recordatorios, configurable por el usuario. 2) Registro de escalas repetidas (MMSE/MoCA) con gráficos de evolución. 3) Campos para resultados de analítica (litemia, creatinina, función tiroidea) cargados a mano. 4) Alerta de interacciones como aviso para revisar con el médico o farmacéutico, no como consejo. 5) Exportación de un informe en PDF para la consulta médica.</t>
  </si>
  <si>
    <t xml:space="preserve">Relatos de familias, foros y lo que no está en revistas</t>
  </si>
  <si>
    <t xml:space="preserve">La línea heterodoxa defiende que las familias descubren antes que la medicina qué ayuda: aceite de coco/MCT/cetonas como combustible alternativo para un cerebro que no usa bien la glucosa (caso Newport), programas multifactoriales personalizados (Bredesen ReCODE), insulina intranasal casera, protocolos de foro (Longecity) y cannabinoides. Sostienen que los testimonios con detalle (dosis, semanas, cambios) merecen ensayo propio y que los ensayos grandes de un solo fármaco no captan respuestas de subgrupos (p. ej. APOE4 negativo en AC-1202).</t>
  </si>
  <si>
    <t xml:space="preserve">• Dra. Mary Newport (coconutketones.com; libro 'Alzheimer's Disease: What If There Was a Cure?'; informe de 288 cuidadores citado en entrevistas Metabolic Mind)
• Dale Bredesen / Apollo Health (libro 'The End of Alzheimer's', programa ReCODE)
• Turnbuckle y otros usuarios de Longecity (foros de 'Brain Health')
• Marie Nowak MD (testimonio en robbwolf.com)
• Claude Wischik / TauRx (HMTM, metileno-tionina)
• Foros de pacientes: forum.alzheimers.org.uk, caregivers.com, alzheimersblog.org</t>
  </si>
  <si>
    <t xml:space="preserve">• Cetonas (de MCT/aceite de coco/éster de cetona) como energía alternativa ante hipometabolismo de glucosa (Newport 2015; Henderson 2009; Avgerinos 2020)
• Insulina intranasal para llegar al SNC (Craft 2012, 2020)
• Programa 'MEND/ReCODE': corregir a la vez múltiples factores (glucosa, inflamación, vitamina D, dieta cetogénica, sueño, hormonas, suplementos)
• Disolución de amiloide/tau con HEPPS, taurina, oleuropeína, azul de metileno reducido (hilo de Longecity; mecanismo propuesto por el autor del hilo, evidencia citada en ratones)
• Fotobiomodulación 810 nm sobre nodos de la red por defecto (Saltmarche 2017)
• Cannabinoides/CBD para conducta y cognición (esperanza expresada por cuidadores polacos)</t>
  </si>
  <si>
    <t xml:space="preserve">Postura oficial según las fuentes leídas: el hilo de caregivers.com y el blog de alzheimersblog.org señalan que no hay ensayos controlados grandes de aceite de coco; el ensayo USF de aceite de coco (NCT01883648, 21 inscritos, financiado con 250.000 USD de la Leo and Anne Albert Charitable Trust según WUSF/USF Oracle) terminó 'Funding limitations and enrollment was too low' y no tiene resultados en ClinicalTrials.gov. El ensayo grande de insulina intranasal (Craft 2020, NCT01767909) fue financiado por NIA (NIH) y no halló diferencia (ADAS-cog-12: 0,0258 puntos; IC95% -1,771 a 1,822; P=.98). TauRx es patrocinador y desarrollador de HMTM y Alzforum anota que el 'placebo' contenía 4 mg de TRx0237 como colorante. Boston Globe (31 mayo 2025) señala que Bredesen vende programa, formación y mercancía y que la Alzheimer's Association financió investigación suya previa. Quién gana: no se encontró financiación industrial para el aceite de coco genérico (no patentable); Financiador de AC-1202 (Henderson 2009): no consta en el resumen.</t>
  </si>
  <si>
    <t xml:space="preserve">• NCT01883648 (USF, aceite de coco 'Fuel for Thought', 1,25 oz dos veces al día, cruzado 3+3 meses): estado TERMINATED, motivo 'Funding limitations and enrollment was too low', n=21, hasResults=False, completado feb 2017.
• NCT02912936 (Univ. British Columbia, intervención MCT en Alzheimer, n=43): COMPLETED mar 2020, hasResults=False.
• NCT04065061 (Chung Shan Medical University con Grape King Bio, micelio de Hericium erinaceus enriquecido en erinacina A, n=68): COMPLETED 2017, hasResults=False en el registro.
• NCT06570928 y NCT07091747 (Univ. Federal de Integración Latinoamericana, CBD:THC 50:5 mg/mL, 0,2 mL/día, 26 semanas): completado/activo sin resultados en registro.
• NCT02462161 (insulina aspart intranasal, Wake Forest): COMPLETED, hasResults=False.
• NCT01055392 (litio, Univ. São Paulo, n=80): estado UNKNOWN, sin resultados.
• Cerebrolysin vs donepezilo NCT01822951: WITHDRAWN.
• Informe de 288 reportes de cuidadores (Newport) y 200-400 testimonios en su web: no se encontró publicación revisada por pares con ellos.</t>
  </si>
  <si>
    <t xml:space="preserve">• Richard (alzheimersblog.org, abr 2013): mezcla 2:1 MCT/aceite de coco, hasta 5 cucharadas al día repartidas con comida; efecto a la hora y unas 4 h; 8 meses; esposa 78 años estadio 6.
• Abel P. (31 may 2012): coco virgen orgánico 2 cucharadas mañana y tarde, padre de 83 años, 12 días.
• arlie (forum.alzheimers.org.uk, 9 mar 2012): mezcla líquida de coco, 1 cucharadita en café, 1 en zumo de la comida, 1 a cucharada en la cena; madre con demencia con cuerpos de Lewy; 4 meses.
• Margaret938 (12 jun 2013): coco + MCT, 4 cucharadas en batido antes de cada visita, diario de 110 días; dosis reducida al entrar en residencia por necesitar consentimiento del médico.
• Newport (Oracle/USF): ~11 cucharadas al día (caregivers.com) o 3-6 cucharadas (substack) y luego éster de cetona 20 meses.
• Longecity: insulina Novolin R en espray de 0,1 mL = 10 unidades por pulverización (dic 2017); pila para padre: MitoQ 10 mg, nicotinamida 3000 mg, curcumina 250 mg, D3 2000 UI, glutatión 500 mg; protocolo 'dissolve &amp; detoxify': HEPPS 1 g, taurina 8 g, oleuropeína 200 mg, vitamina C 2 g al día.
• ReCODE (Boston Globe): dieta cetogénica modificada, 34 cápsulas/tabletas + 2 cacitos de polvo al día (ashwagandha, omega-3, curcumina, ginseng, melena de león, glutatión liposomal), 2 pinchazos de glucosa/cetonas diarios, TRH.</t>
  </si>
  <si>
    <t xml:space="preserve">• Diarrea con aceite de coco (TheGog; Carlos en alzheimersblog.org; foro Alzheimer's Society 2025).
• Interacción con warfarina señalada por 'virg' (nov 2011) y precaución por triglicéridos/colesterol (Saffie, Carabosse, 2013).
• Newport/Substack: coco aporta ~75,6 g de grasa saturada con 6 cucharadas; cifras sobre colesterol (+15 total, +10 LDL, +4 HDL en un 'metaanálisis de Harvard' sin referencia).
• Henderson 2009: eventos adversos digestivos más frecuentes con AC-1202.
• Longecity: 'Dangerous, Irresponsible' como valoraciones de miembros; azul de metileno &gt;100 mg dio 'bad results'; oleuropeína y taurina pueden bajar la presión.
• Kłosińska 2024: cuidadores retiraron toda la medicación una noche y experimentaron con dosis de CBD.
• Insulina nasal: quemazón nasal, rechazo del paciente; Novolin con conservantes.</t>
  </si>
  <si>
    <t xml:space="preserve">• https://www.alzheimersblog.org/2012/02/05/coconut-oil-treat-alzheimers/comment-page-2/
• https://portal.prod.caregivers.com/questions/anyone-using-coconut-oil-for-dementia-alzheimers-133671.htm
• https://forum.alzheimers.org.uk/goto/post?id=764868
• https://forum.alzheimers.org.uk/goto/post?id=557675
• https://forum.alzheimers.org.uk/threads/coconut-oil-for-alzheimers.117257/latest
• https://www.longecity.org/forum/topic/98889-nasal-insulin-for-alzheimers/
• https://www.longecity.org/forum/topic/99132-alzheimers-protocol-%E2%80%94-dissolve-detoxify/
• https://robbwolf.com/2015/11/23/testimonial-alzheimers-improvement-with-coconut-oil/
• https://kateswaffer.com/2013/01/04/coconut-oil-and-alzheimers/
• https://greenmedinfo.com/disease/alzheimers-disease (3.872 resúmenes según la página; parte de pago)
• https://www.alzforum.org/therapeutics/hmtm
• https://yt.dorper.me/v/yt/EmkvmRW0yVc (réplica del vídeo 'Hundreds Report Dementia Improvement with Ketones', no abierta)</t>
  </si>
  <si>
    <t xml:space="preserve">• Diario diario del cuidador con campos fijos: producto, marca, dosis, hora, comida, medicación concurrente, cambios (sueño, lenguaje, alucinaciones, apetito, agitación) en escala 0-10, para reproducir lo que hacen Margaret938 (110 días de diario) y Richard (dos 'personalidades', con y sin aceite).
• Mini-pruebas repetibles: reloj, fluidez verbal 1 min, orientación; guardar con fecha y mismo horario para ver la ventana de 1-4 h que describe Richard.
• Diseño ABA casero: semanas con y sin producto, anotando que muchos relatos mezclan varios cambios a la vez (alcalina, estatina, Aricept).
• Registro de efectos digestivos, colesterol/triglicéridos y análisis sanguíneos aportados por el médico, y lista de medicación para avisar al médico (warfarina, estatinas).
• Exportar informe en PDF para llevar al médico; plantilla de mensaje en español.
• Enlazar cada producto a los estudios de este catálogo (Henderson, Juby, Hu Yang) con su cifra tal cual.</t>
  </si>
  <si>
    <t xml:space="preserve">Consultas: Europe PMC (&gt;10 consultas, entre ellas coco, éster de cetona, Bredesen, CAM cuidadores, Hericium, insulina intranasal, fotobiomodulación, dronabinol), ClinicalTrials.gov v2 (coco, Hericium, cannabidiol, litio, insulina/cetonas), WebSearch y WebFetch de foros. No se pudo acceder a Reddit (bloqueado por política de red; WebSearch con reddit.com devuelve error), Examine (HTTP 403), CBC (403), WUSF (503); no se abrieron AlzConnected, Facebook ni YouTube; no se encontraron testimonios en español de foros concretos. Pendiente: resultados del ensayo UBC (NCT02912936), publicación de erinacina A, análisis de los 288 informes de cuidadores de Newport. Cupo de WebSearch no agotado. Algunas filas tienen n o financiación no consta porque solo se leyó el resumen.
Verificación documental (sin cambiar cifras ni filas): 39 filas. Filas con PMID/DOI/NCT (20): 19 citas encontradas y 1 no encontrada (fila 34, DOI 10.1177/00220426221145019). Cifras: 12 coinciden, 7 no comprobables en el resumen o registro leído, 0 difieren. Nota fila 21: NCT00438568 en ClinicalTrials.gov (SNIFF 120) registra 173 inscritos; el artículo de 2012 indica 104. Filas web/foro (19): página existe (HTTP 200 con curl; no se leyó el contenido completo salvo para comprobar que la URL corresponde al tema). Fila 37: alzforum.org devuelve 403. Fuentes: Europe PMC (EXT_ID y DOI), ClinicalTrials.gov API v2.</t>
  </si>
  <si>
    <t xml:space="preserve">Qué se enterró o quedó sin publicar</t>
  </si>
  <si>
    <t xml:space="preserve">Fuente</t>
  </si>
  <si>
    <t xml:space="preserve">NCT00608946 cobre orotato Saarland: registro sin resultados (publicado en 2008)</t>
  </si>
  <si>
    <t xml:space="preserve">dosier</t>
  </si>
  <si>
    <t xml:space="preserve">NCT01099332 zinc cisteína Adeona: estado UNKNOWN, sin resultados</t>
  </si>
  <si>
    <t xml:space="preserve">NCT05423522 NanoLithium NP03 Medesis: completado 2024, sin resultados en el registro</t>
  </si>
  <si>
    <t xml:space="preserve">NCT03531684 y NCT03601169 MMFS Neurocentria: completados, sin resultados</t>
  </si>
  <si>
    <t xml:space="preserve">NCT00088387 litio y divalproato NINDS: completado, sin resultados</t>
  </si>
  <si>
    <t xml:space="preserve">NCT02601859 litio GSK-3 DCL Dundee: completado, sin resultados</t>
  </si>
  <si>
    <t xml:space="preserve">NCT01731093 antioxidante Alltech AT-001: sin resultados</t>
  </si>
  <si>
    <t xml:space="preserve">NCT02204969 LIWA Alzheimer: estado UNKNOWN</t>
  </si>
  <si>
    <t xml:space="preserve">Zinc cisteína de liberación sostenida (CopperProof-2) · Registro ClinicalTrials.gov NCT01099332 (Adeona Pharmaceuticals) · Estado UNKNOWN; sin resultados publicados en el registro</t>
  </si>
  <si>
    <t xml:space="preserve">NanoLithium NP03 (1.8 mg/día, gingivoyugal) · Registro NCT05423522 (Medesis Pharma) · Completado 2024-10-29; sin resultados publicados en el registro</t>
  </si>
  <si>
    <t xml:space="preserve">MMFS-205-SR (magnesio L-treonato) 2-4 g/día · Registro NCT03531684 · Completado 2020-04-22; sin resultados en el registro</t>
  </si>
  <si>
    <t xml:space="preserve">NCT00567060: piracetam 9600 y 4800 mg/día durante 12 meses en 676 personas con deterioro cognitivo leve (UCB), completado en 2004, sin resultados en el registro</t>
  </si>
  <si>
    <t xml:space="preserve">NCT03328676: cannabis sublingual en agitación demencia, 64 personas, TO Pharmaceuticals, completado 2019, sin resultados</t>
  </si>
  <si>
    <t xml:space="preserve">NCT06812221: 5-MeO-DMT sublingual en Alzheimer leve-moderado, Biomind Labs, 20 personas, completado marzo 2025, sin resultados</t>
  </si>
  <si>
    <t xml:space="preserve">NCT01302340: THC en comprimidos, Radboud, 22 personas, completado 2013, sin resultados en el registro (hay un artículo de farmacocinética de 10 pacientes: PMID 25752889, no puedo afirmar que sea el mismo)</t>
  </si>
  <si>
    <t xml:space="preserve">NCT05239390: dronabinol + PEA en Alzheimer, 20 estimados, estado desconocido</t>
  </si>
  <si>
    <t xml:space="preserve">NCT05742698: nabilona en demencia frontotemporal, terminado con 3 participantes por falta de reclutamiento y financiación</t>
  </si>
  <si>
    <t xml:space="preserve">NCT06570928 (72 personas, completado marzo 2025) y NCT07091747: cannabinoides en Alzheimer en Brasil sin resultados publicados</t>
  </si>
  <si>
    <t xml:space="preserve">NCT05644262: THC/CBD en hospicio con demencia, USC, 120 personas, completado abril 2026, sin resultados</t>
  </si>
  <si>
    <t xml:space="preserve">Cochrane piracetam: ensayos no liberados por la empresa</t>
  </si>
  <si>
    <t xml:space="preserve">Psilocibina 15-25 mg para depresión en deterioro leve o Alzheimer temprano · Johns Hopkins University. Registro ClinicalTrials.gov · Sin resultados; hasResults falso; estado: reclutando</t>
  </si>
  <si>
    <t xml:space="preserve">5-MeO-DMT sublingual semanal · Biomind Labs Inc. Registro · Estado: completado (marzo 2025). Sin resultados publicados en el registro (hasResults falso)</t>
  </si>
  <si>
    <t xml:space="preserve">Cannabis sublingual (gotas) 3 veces al día · TO Pharmaceuticals. Registro · Completado en agosto de 2019 sin resultados publicados en el registro (hasResults falso)</t>
  </si>
  <si>
    <t xml:space="preserve">Piracetam 9600 y 4800 mg/día durante 12 meses · UCB Pharma. Registro · Completado en enero de 2004; el registro no tiene resultados (hasResults falso); no encontré publicación</t>
  </si>
  <si>
    <t xml:space="preserve">SCI-110: dronabinol 2,5-12,5 mg/día + palmitoiletanolamida 800 mg/día · Israeli Medical Center for Alzheimer's. Registro · Estado: desconocido, sin resultados</t>
  </si>
  <si>
    <t xml:space="preserve">Psilocibina 25 mg x2 con entrenamiento cognitivo · National Institute on Aging. Registro · En reclutamiento; sin resultados</t>
  </si>
  <si>
    <t xml:space="preserve">THC 0,75 y 1,5 mg dos veces al día (Delta-THC) · Radboud University Medical Center. Registro · Completado en 2013; sin resultados en el registro (hasResults falso)</t>
  </si>
  <si>
    <t xml:space="preserve">Nabilona en demencia frontotemporal · Simon Ducharme. Registro · Terminado por reclutamiento lento: solo 3 en 2 años, financiación agotada; sin resultados</t>
  </si>
  <si>
    <t xml:space="preserve">CBD:THC 50 mg:5 mg (0,2 ml) · Federal University of Latin American Integration. Registro · Completado marzo 2025; sin resultados publicados en el registro</t>
  </si>
  <si>
    <t xml:space="preserve">NCT00091468: ensayo NIA de nicotina en MCI (75 previstos), estado UNKNOWN, sin resultados en CT.gov</t>
  </si>
  <si>
    <t xml:space="preserve">NCT01282619: huperzina A liberación sostenida (Luye, 390), UNKNOWN desde 2011, sin resultados</t>
  </si>
  <si>
    <t xml:space="preserve">NCT02211560: fosfatidilserina-omega3 en MCI, TERMINADO por reclutamiento, sin resultados</t>
  </si>
  <si>
    <t xml:space="preserve">NCT05383183 (Daewoong, 630, Alzheimer, UNKNOWN), NCT03441516 (Yuhan, 79, Alzheimer, UNKNOWN), NCT02648906 (alfoscerato+donepezilo, UNKNOWN), NCT05041790 (MCI, UNKNOWN): sin resultados en CT.gov</t>
  </si>
  <si>
    <t xml:space="preserve">NCT05200208: citicolina en Alzheimer (Emory), completado dic-2025, sin resultados</t>
  </si>
  <si>
    <t xml:space="preserve">NCT01594086: té verde en deterioro cognitivo (Univ. Shizuoka, 15), completado, sin resultados</t>
  </si>
  <si>
    <t xml:space="preserve">NCT00083590: huperzina ADCS; CT.gov sin resultados registrados aunque hay publicación (PMID 21502597)</t>
  </si>
  <si>
    <t xml:space="preserve">Resultados de MIND publicados en CT.gov en sep-2026 antes de cualquier artículo que haya encontrado</t>
  </si>
  <si>
    <t xml:space="preserve">Nicotina en parche, 21 mg, hasta 24 meses (estudio MIND) · Newhouse P y col., MIND, Univ. Southern California/Vanderbilt/ATRI, resultados publicados en CT.gov 17-sep-2026 · Primaria: medias 16,95 (nicotina) vs 16,59 (placebo) y 17,59 vs 17,47 en dos puntos; diferencia de medias 0,367 (IC -0,783 a 1,516; p=0,530) y 0,117 (IC -1,273 a 1,507; p=0,868). MCI-CGIC OR 0,59 (IC 0,27-1,29; p=0,187). Recuerdo diferido: diferencia 0,155 (IC -0,45 a 0,74). Otras tareas Cogstate: diferencias de medias entre -0,015 y 0,036 con IC que incluyen 0. CPT RT-SE: diferencia -0,545 (IC -1,474 a 0,383).</t>
  </si>
  <si>
    <t xml:space="preserve">Nicotina en parche, MCI (ensayo NIA) · NIA, 'Nicotine Treatment of Mild Cognitive Impairment (MCI)', registro CT.gov · Estado UNKNOWN; sin resultados registrados en CT.gov (hasResults=false). Es el registro NIH de un ensayo de Newhouse; la publicación Neurology 2012 describe un ensayo de 74 sujetos.</t>
  </si>
  <si>
    <t xml:space="preserve">Nicotina en parche, síndrome de Down con declive cognitivo · Newhouse P y col., Vanderbilt, resultados CT.gov 2022 · Tiempo de respuesta simple: 760,08 / 737,13 / 695,52 / 772,79 ms en 4 puntos. Buschke: 33,75 / 41,5 / 54,5 / 45,5 palabras. CPT T-score: 47,82 / 49,23 / 43 / 42,95.</t>
  </si>
  <si>
    <t xml:space="preserve">Huperzina A liberación sostenida · Shandong Luye Pharmaceutical, CT.gov 2011 · Estado UNKNOWN, última verificación 2011, sin resultados registrados.</t>
  </si>
  <si>
    <t xml:space="preserve">Huperzina A liberación controlada · Wanbangde Pharmaceutical Group, CT.gov · Sin resultados.</t>
  </si>
  <si>
    <t xml:space="preserve">Citicolina suplemento, sueño y cognición · Emory University, CT.gov NCT05200208 · Completado dic-2025; sin resultados registrados en CT.gov.</t>
  </si>
  <si>
    <t xml:space="preserve">Fosfatidilserina-omega 3 en MCI · Enzymotec, CT.gov NCT02211560 · TERMINADO por dificultades de reclutamiento; sin resultados registrados.</t>
  </si>
  <si>
    <t xml:space="preserve">Cafeína 400 mg/día · CHU de Lille, ensayo CAFCA, CT.gov NCT04570085 · En reclutamiento; sin resultados.</t>
  </si>
  <si>
    <t xml:space="preserve">NCT02997982 VALZ-Pilot (Lövheim): sin resultados en el registro</t>
  </si>
  <si>
    <t xml:space="preserve">Piloto de Helsinki 2013, 30 seropositivos HSV, 12 semanas, sin resultados publicados (según AlzForum)</t>
  </si>
  <si>
    <t xml:space="preserve">NCT03755362 periodontal en DCL y estenosis carotídea, terminado por COVID, 26 de 60</t>
  </si>
  <si>
    <t xml:space="preserve">NCT02109705 Münster P. gingivalis, completado sin resultados</t>
  </si>
  <si>
    <t xml:space="preserve">NCT05894954 EVANTHEA, completado sin resultados</t>
  </si>
  <si>
    <t xml:space="preserve">NCT07233512 y NCT05183321 periodontales aún sin datos</t>
  </si>
  <si>
    <t xml:space="preserve">GAIN: subgrupo positivo en saliva con 57% de enlentecimiento reportado por la empresa</t>
  </si>
  <si>
    <t xml:space="preserve">Valaciclovir 1,5 g/día 1 semana y 3 g/día 3 semanas · VALZ-Pilot, Lövheim H (Umeå/Uppsala), registro NCT02997982; resumen en AlzForum · Registro sin resultados publicados. AlzForum: 32 de 33 completaron; adversos leves y transitorios; LCR con valaciclovir en rango terapéutico; tau total y NfL en LCR sin cambio, sTREM2 en LCR aumentó (sin cifras en la página); el PET del subestudio falló por el trazador.</t>
  </si>
  <si>
    <t xml:space="preserve">Tratamiento periodontal intensivo · Dental Carotid Cognitive Study, Univ. Maryland, registro NCT03755362 · TERMINADO por la pandemia de COVID-19; sin resultados publicados en el registro.</t>
  </si>
  <si>
    <t xml:space="preserve">Tratamiento periodontal quirúrgico y no quirúrgico · CHU de Lieja, registro NCT07233512 · En curso, sin resultados.</t>
  </si>
  <si>
    <t xml:space="preserve">Tratamiento de enfermedad periodontal en Alzheimer · Union Hospital, Tongji Medical College, registro NCT05183321 · Aún no reclutando, sin resultados.</t>
  </si>
  <si>
    <t xml:space="preserve">Anticuerpos frente a gingipaínas · Hospital Universitario de Münster, registro NCT02109705 · Completado; sin resultados en el registro.</t>
  </si>
  <si>
    <t xml:space="preserve">Medicina de precisión (ReCODE) frente a estándar · EVANTHEA, Alzheimer's Prevention and Reversal Project, registro NCT05894954 · Completado en feb 2026, sin resultados publicados en el registro.</t>
  </si>
  <si>
    <t xml:space="preserve">NCT01883648: aceite de coco USF, 21 participantes, terminado por falta de fondos, sin resultados</t>
  </si>
  <si>
    <t xml:space="preserve">NCT02912936: MCT UBC, 43 participantes, completado 2020, sin resultados en registro ni publicación hallada</t>
  </si>
  <si>
    <t xml:space="preserve">NCT02709356: MCT en Sherbrooke, 20 participantes, completado 2018, sin resultados</t>
  </si>
  <si>
    <t xml:space="preserve">NCT04701957: dieta cetogénica AP-HP, terminada por pocas inclusiones</t>
  </si>
  <si>
    <t xml:space="preserve">NCT01702480: MCT en polvo GSK2981710, 116 participantes, completado 2015, sin publicación ni resultados localizados</t>
  </si>
  <si>
    <t xml:space="preserve">NCT02462161: insulina aspart intranasal (Wake Forest), 24 participantes, completado 2019, sin publicación localizada</t>
  </si>
  <si>
    <t xml:space="preserve">NCT03860792: resultados posteados en el registro (julio 2026) sin publicación indexada localizada</t>
  </si>
  <si>
    <t xml:space="preserve">NCT03859245: fotobiomodulación y dieta cetogénica, estado desconocido</t>
  </si>
  <si>
    <t xml:space="preserve">Aceite de coco (bebida) 1,25 oz dos veces al día · University of South Florida, ensayo NCT01883648 · Terminado por falta de fondos e inscripción baja; resultados no publicados ni en registro.</t>
  </si>
  <si>
    <t xml:space="preserve">MCT 25 g por 250 mL (SCCF-3012) crossover · University of British Columbia, ensayo NCT02912936 · Estado COMPLETED; resultados no publicados ni en registro.</t>
  </si>
  <si>
    <t xml:space="preserve">Dieta Atkins modificada 2:1 · AP-HP, ensayo NCT04701957 · Terminado por falta de inclusiones; sin resultados.</t>
  </si>
  <si>
    <t xml:space="preserve">Dieta cetogénica 1:1 vs dieta TLC · University of Kansas, ensayo NCT03860792 · Resultados publicados en el registro: cambio ADAS-Cog11 -0,52 (cetogénica) vs 0,96 (TLC); MMSE 0,31 vs -0,32. No hay publicación indexada localizada.</t>
  </si>
  <si>
    <t xml:space="preserve">Éster de cetona 28 días · NIA, ensayo NCT04421014 · BHB cortical media geométrica 1,847 vs 0,922; BHB sérico 6,136 vs 0,970 (éster vs placebo).</t>
  </si>
  <si>
    <t xml:space="preserve">NCT05637801 HOPE pivotal de Spectris: completado 2026-08-17, 673 participantes, sin resultados publicados</t>
  </si>
  <si>
    <t xml:space="preserve">NCT03328195 Vielight Neuro RX Gamma: completado 2022, 60 participantes, sin resultados</t>
  </si>
  <si>
    <t xml:space="preserve">NCT02085330 HBOT en deterioro leve vascular: estado desconocido, fin previsto 2017, sin resultados</t>
  </si>
  <si>
    <t xml:space="preserve">NCT05349318 HBOT en Alzheimer prodrómico: estado desconocido, fin previsto 2025, sin resultados</t>
  </si>
  <si>
    <t xml:space="preserve">NCT06620640 VGuard vagal: completado 2021, 105 participantes, sin resultados</t>
  </si>
  <si>
    <t xml:space="preserve">NCT03661034 Cognito dosis múltiples: estado desconocido, sin resultados</t>
  </si>
  <si>
    <t xml:space="preserve">NCT03859245 fotobiomodulación y dieta cetogénica retiniana: desconocido, sin resultados</t>
  </si>
  <si>
    <t xml:space="preserve">NCT02227953 tDCS Samsung y NCT02908815 rTMS Manitoba (200 participantes, completado): sin resultados</t>
  </si>
  <si>
    <t xml:space="preserve">PBM Vielight, registro con resultados publicados · Registro NCT03160027, UCSF · El registro publica resultados: ADAS-cog con valores 5,8 / -7,2 / 4,8 por grupo (la correspondencia exacta con los grupos no se extrajo); limitaciones declaradas: muestra pequeña, ausencia de sham, diagnóstico no confirmado por neurólogo</t>
  </si>
  <si>
    <t xml:space="preserve">Neuro RX Gamma (Vielight) en Alzheimer moderado-grave · Registro NCT03328195 · Completado en 2022; sin resultados publicados en el registro</t>
  </si>
  <si>
    <t xml:space="preserve">HBOT para deterioro leve vascular · Registro NCT02085330, Assaf-Harofeh · Estado 'desconocido'; fin previsto 2017-02; sin resultados publicados</t>
  </si>
  <si>
    <t xml:space="preserve">HBOT en Alzheimer prodrómico con enfermedad cerebrovascular · Registro NCT05349318, Assaf-Harofeh · Estado desconocido; fin previsto 2025-03; sin resultados</t>
  </si>
  <si>
    <t xml:space="preserve">Dispositivo VGuard estimulación vagal percutánea nocturna · Registro NCT06620640, Neuromedical · Completado 2021-12; sin resultados publicados</t>
  </si>
  <si>
    <t xml:space="preserve">Estudio pivotal HOPE de Spectris AD · Registro NCT05637801, Cognito Therapeutics · Estado 'completado' (fin 2026-08-17) sin resultados publicados en el registro</t>
  </si>
  <si>
    <t xml:space="preserve">NCT01001637 (curcumina Longvida, Jaslok Hospital, 26 pacientes): terminado por 'lack of support', sin resultados en el registro</t>
  </si>
  <si>
    <t xml:space="preserve">NCT00164749 (curcumina 1 g/4 g + ginkgo, CUHK, 36): completado, sin resultados en el registro; existe publicación (Baum 2008, PMID 18204357) cuyo resumen no se recuperó</t>
  </si>
  <si>
    <t xml:space="preserve">NCT04065061 (micelio de Hericium con erinacina A, 68): completado 2017, sin resultados en el registro</t>
  </si>
  <si>
    <t xml:space="preserve">NCT02982603 (Qinggongshoutao vs ginkgo, 350): completado 2017, sin resultados en el registro</t>
  </si>
  <si>
    <t xml:space="preserve">NCT04249869 (fórmula VGH-AD1 con yi-gan-san, danshen, tianma, gouteng): estado desconocido, sin resultados</t>
  </si>
  <si>
    <t xml:space="preserve">NCT03090516 (ginkgo vs donepezilo vs combinación, Nanjing, 240): estado desconocido, sin resultados</t>
  </si>
  <si>
    <t xml:space="preserve">NCT04492241 (ginkgo + Armillariella mellea, Beijing Tiantan, 800): estado desconocido, sin resultados</t>
  </si>
  <si>
    <t xml:space="preserve">NCT03108781 (aceite de lavanda en demencia grave, Soroka, 60): estado desconocido, sin resultados</t>
  </si>
  <si>
    <t xml:space="preserve">NCT05034107 (ylang-ylang difundido en demencia, UiTM, 28): completado 2022, sin resultados</t>
  </si>
  <si>
    <t xml:space="preserve">NCT04092647 (ashwagandha 350 mg x2 en disfunción cognitiva por quimioterapia, Sutter Health, 80): estado desconocido, sin resultados</t>
  </si>
  <si>
    <t xml:space="preserve">Micelio de Hericium enriquecido en erinacina A (registro) · NCT04065061, Chung Shan Medical University · Estado COMPLETADO; hasResults=falso (sin resultados en el registro); no se pudo vincular con certeza a una publicación</t>
  </si>
  <si>
    <t xml:space="preserve">Curcumina y curcumina+ginkgo (registro) · NCT00164749, Chinese University of Hong Kong (publicado como Baum 2008, J Clin Psychopharmacol, PMID 18204357; su resumen no se recuperó y no se transcribe) · Registro COMPLETADO, hasResults=falso (sin resultados en el registro)</t>
  </si>
  <si>
    <t xml:space="preserve">Curcumina Longvida (registro) · NCT01001637, Jaslok Hospital and Research Centre · TERMINADO por 'lack of support'; sin resultados en el registro (hasResults=falso); 2009-10 a 2010-11</t>
  </si>
  <si>
    <t xml:space="preserve">Fórmula VGH-AD1 (yi-gan-san, huan-shao-dan, danshen, tianma, gouteng, ba-ji-tian) (registro) · NCT04249869, Taipei Veterans General Hospital · Estado DESCONOCIDO, inicio estimado 2020-02, sin resultados (hasResults=falso)</t>
  </si>
  <si>
    <t xml:space="preserve">Qinggongshoutao (bolo de medicina china) vs Ginkgo (Ginaton) · NCT02982603, Dongzhimen Hospital · COMPLETADO, sin resultados en el registro (hasResults=falso)</t>
  </si>
  <si>
    <t xml:space="preserve">NCT00580931: ensayo de nicotinamida 1500 mg dos veces al día 6 meses, UC Irvine/Alzheimer's Association, 2008 a 2014, completado, sin resultados en el registro (hasResults False); desenlace primario ADAS-Cog</t>
  </si>
  <si>
    <t xml:space="preserve">NCT03883633: Estudio ReCODE prospectivo (QuesGen Systems), 2019-06 a 2020-12, completado, n 30, sin resultados en el registro; desenlaces: memoria a corto plazo, función cognitiva, capacidad percibida por cuidador</t>
  </si>
  <si>
    <t xml:space="preserve">NCT05894954: EVANTHEA, ensayo aleatorizado pragmático de medicina de precisión vs. cuidado estándar, n 73, completado 2026-02-09, sin resultados en el registro (primarios MoCA y CNS Vital Signs a 9 meses)</t>
  </si>
  <si>
    <t xml:space="preserve">NCT04044131: ensayo de cofactores metabólicos en Alzheimer y Parkinson (Estambul), completado 2021, sin resultados en el registro aunque la parte Alzheimer se publicó en 2023</t>
  </si>
  <si>
    <t xml:space="preserve">NCT03978052: EGCG más intervención multimodal en portadores de ApoE4 con declive cognitivo subjetivo (Parc de Salut Mar), n 129, completado 2023-06-28, sin resultados en el registro</t>
  </si>
  <si>
    <t xml:space="preserve">NCT04606420: ensayo Ornish registrado retrospectivamente el 8-10-2020 (según el propio artículo); estado del registro 'UNKNOWN' y sin resultados en el registro</t>
  </si>
  <si>
    <t xml:space="preserve">NCT04430517 (McLean, nicotinamida ribósido en MCI/Alzheimer, n 21, completado 2026-04) y NCT05040321 (Brigham, activador de sirtuinas-NAD, n 22, completado 2026-04): completados sin resultados en el registro</t>
  </si>
  <si>
    <t xml:space="preserve">NCT03585907: intervenciones dietéticas en declive cognitivo subjetivo (Johns Hopkins), retirado, n 0</t>
  </si>
  <si>
    <t xml:space="preserve">NCT03859245: fotobiomodulación y dieta cetogénica (Bristlecone Health), estado desconocido, sin resultados</t>
  </si>
  <si>
    <t xml:space="preserve">Línea Hoffer: no se localizó ningún ensayo controlado de niacina en dosis altas en demencia en las APIs usadas</t>
  </si>
  <si>
    <t xml:space="preserve">Estudio ReCODE prospectivo (registro) · ClinicalTrials.gov NCT03883633, QuesGen Systems Inc · Sin resultados publicados en el registro (hasResults False)</t>
  </si>
  <si>
    <t xml:space="preserve">EVANTHEA: medicina de precisión vs. cuidado estándar · ClinicalTrials.gov NCT05894954 · Sin resultados en el registro (hasResults False)</t>
  </si>
  <si>
    <t xml:space="preserve">Nicotinamida (vitamina B3) 1500 mg dos veces al día, 6 meses · ClinicalTrials.gov NCT00580931, Schreiber S, UC Irvine · Sin resultados publicados en el registro (hasResults False)</t>
  </si>
  <si>
    <t xml:space="preserve">EGCG 100 mg más intervención multimodal de estilo de vida en portadores ApoE4 · ClinicalTrials.gov NCT03978052, Parc de Salut Mar · Sin resultados en el registro (hasResults False)</t>
  </si>
  <si>
    <t xml:space="preserve">NCT04430517 (McLean Hospital): NR 4x250 mg/día 12 semanas en MCI/AD leve, COMPLETED, n=21 real, sin resultados en el registro; no localicé publicación en Europe PMC en mis consultas</t>
  </si>
  <si>
    <t xml:space="preserve">NCT05617508 (N-DOSE AD, Haukeland): NR 1000 mg/día vs escalado, 12 semanas, n=80, COMPLETED, sin resultados en registro</t>
  </si>
  <si>
    <t xml:space="preserve">NCT04044131 (Istanbul Medipol): cofactores metabólicos n=120 COMPLETED, sin resultados en registro; el artículo de Yulug 2023 describe la misma combinación</t>
  </si>
  <si>
    <t xml:space="preserve">NCT00911807 (Ever Neuro Pharma): cerebrolisina vs donepezilo vs combinación, n=217 COMPLETED con resultados en registro; publicada como Alvarez 2011 (n=197 en el artículo vs 217 en registro)</t>
  </si>
  <si>
    <t xml:space="preserve">NCT01822951 (Ever Neuro Pharma): cerebrolisina vs donepezilo, WITHDRAWN, n=0</t>
  </si>
  <si>
    <t xml:space="preserve">NCT00743743 (Medical College of Wisconsin): resveratrol Longevinex 215 mg/día 52 semanas, WITHDRAWN ('PI has left institution'), n=0</t>
  </si>
  <si>
    <t xml:space="preserve">NCT00544791 (Assaf-Harofeh): melatonina 5 mg 6 meses en MCI, estado UNKNOWN, sin resultados</t>
  </si>
  <si>
    <t xml:space="preserve">NCT00000171 (NIA): melatonina para trastornos del sueño en AD, COMPLETED, sin resultados en registro</t>
  </si>
  <si>
    <t xml:space="preserve">NCT00066157 (Univ. Wisconsin): parche de estradiol +/- medroxiprogesterona, 15 meses, n=42, COMPLETED, sin resultados en registro</t>
  </si>
  <si>
    <t xml:space="preserve">NCT00117403 (NIA): vit E+C+ácido lipoico vs CoQ 400 mg x6/día, n=75, COMPLETED, sin resultados en registro</t>
  </si>
  <si>
    <t xml:space="preserve">NCT01937013, NCT01386333, NCT01002300 (Lawson/London Ontario): oxitocina intranasal en FTD, COMPLETED, sin resultados en registro</t>
  </si>
  <si>
    <t xml:space="preserve">NCT04785300 (Mayo ALSENLITE): D+Q en MCI/AD, ACTIVE_NOT_RECRUITING, sin resultados</t>
  </si>
  <si>
    <t xml:space="preserve">NCT04629495 (REACH, UT San Antonio): rapamicina 12 meses en aMCI/AD, n=40, sin resultados</t>
  </si>
  <si>
    <t xml:space="preserve">NCT03493178 (Baylor): glutatión en MCI, n=60, sin resultados</t>
  </si>
  <si>
    <t xml:space="preserve">NCT03410173 (Third Military Medical University): taurina y cognición en diabetes, n=200, estado UNKNOWN</t>
  </si>
  <si>
    <t xml:space="preserve">NR (registro, resultados no publicados) · NCT04430517, McLean Hospital · COMPLETED, sin resultados en el registro; no localicé publicación</t>
  </si>
  <si>
    <t xml:space="preserve">NCT06079827: recambio plasmático y biomarcadores de ARN (MaxWell Clinic), estado UNKNOWN, sin resultados</t>
  </si>
  <si>
    <t xml:space="preserve">NCT06234436: ADDITION-MCI (Oslo), estado UNKNOWN, sin resultados</t>
  </si>
  <si>
    <t xml:space="preserve">NCT05068830: ExPlas, hasta 2031, sin resultados</t>
  </si>
  <si>
    <t xml:space="preserve">NCT02600130 (Lomecel-B, completado 2021-09), NCT02054208 (NEUROSTEM, completado 2019-12), NCT02899091 (CB-AC-02, UNKNOWN), NCT02672306 y NCT01547689 (UC-MSC China, UNKNOWN): sin resultados en el registro</t>
  </si>
  <si>
    <t xml:space="preserve">Desferrioxamina en Alzheimer (McLachlan 1993, 48 pacientes): no se encontraron ensayos posteriores en estas búsquedas</t>
  </si>
  <si>
    <t xml:space="preserve">Resultados de AMBAR por subgrupo (sin efecto en leves, efecto en moderados) y reanálisis latente</t>
  </si>
  <si>
    <t xml:space="preserve">Plasma dilución/infusión ADDITION-MCI - registro · Oslo University Hospital, NCT06234436 · Estado UNKNOWN; sin resultados publicados en el registro.</t>
  </si>
  <si>
    <t xml:space="preserve">Plasma de donantes entrenados (ExPlas) · Tari AR, Berg HH, Videm V, et al. 2022, BMJ Open (protocolo); NCT05068830 · Protocolo sin resultados; ensayo activo sin resultados publicados.</t>
  </si>
  <si>
    <t xml:space="preserve">Recambio plasmático y biomarcadores de ARN · MaxWell Clinic PLC, NCT06079827 · Estado UNKNOWN; sin resultados publicados.</t>
  </si>
  <si>
    <t xml:space="preserve">Lomecel-B (células mesenquimales alogénicas) i.v. - registro · Longeveron, NCT02600130 · Completado; sin resultados publicados en el registro.</t>
  </si>
  <si>
    <t xml:space="preserve">NEUROSTEM (células de sangre de cordón) intraventricular - registro · Medipost, NCT02054208; Myeong SH et al. 2026, Stem Cell Res Ther · Completado; sin resultados publicados en el registro. El artículo de Myeong 2026 describe fiebre transitoria y aumento de MMP9 en LCR tras las células.</t>
  </si>
  <si>
    <t xml:space="preserve">Células mesenquimales de cordón umbilical (UC-MSC), China - registros · South China Research Center for Stem Cell NCT02672306; Affiliated Hospital Academy of Military Medical Sciences NCT01547689 · Estado UNKNOWN y sin resultados publicados en ambos.</t>
  </si>
  <si>
    <t xml:space="preserve">Exosomas y células MuSE intranasales - registro · Healing Hope International, NCT07521384 · Sin resultados; inscripción por invitación.</t>
  </si>
  <si>
    <t xml:space="preserve">Registro AMBAR en ClinicalTrials.gov · Instituto Grifols, NCT01561053 · Cinco valores devueltos por la API en este orden (el mapeo a los brazos no se verificó): ADAS-Cog 0,8; 0,8; 1,5; 3,2; 1,0. ADCS-ADL -3,5; -2,0; -3,9; -6,7; -3,2. En MMSE 22-26, ADAS-Cog: -0,9; -0,3; -0,6; 0,6; -0,6.</t>
  </si>
  <si>
    <t xml:space="preserve">Recambio de plasma con albumina 5% (piloto) - registro · Instituto Grifols, NCT00742417 · Aβ1-42 Innotest 75,3 (tratados) vs -45,5 (control); Aβ1-42 The Genetics Company -86,2 vs -283,0 (unidades no verificadas).</t>
  </si>
  <si>
    <t xml:space="preserve">NCT05272501 Calming Touch (Dinamarca), completado, sin resultados</t>
  </si>
  <si>
    <t xml:space="preserve">NCT05034107 ylang-ylang (Malasia), completado, sin resultados</t>
  </si>
  <si>
    <t xml:space="preserve">NCT01055561 acupuntura BPSD (Chengdu), completado 2011, sin resultados</t>
  </si>
  <si>
    <t xml:space="preserve">NCT06626828 electroacupuntura aMCI (Hong Kong), completado 2025, sin resultados</t>
  </si>
  <si>
    <t xml:space="preserve">NCT05178992 robots asistentes (Vanderbilt, n=142), completado, sin resultados</t>
  </si>
  <si>
    <t xml:space="preserve">NCT02147652 musica personalizada con auriculares (Toronto, 2014-2020), estado desconocido</t>
  </si>
  <si>
    <t xml:space="preserve">NCT03108781 lavanda (Soroka), estado desconocido</t>
  </si>
  <si>
    <t xml:space="preserve">NCT03576170 aromaterapia BPSD (Hong Kong Polytechnic), completado 2018, sin resultados en el registro</t>
  </si>
  <si>
    <t xml:space="preserve">NCT02978768 Tai Chi 6-form en Alzheimer (Chang Gung), completado 2015, sin resultados</t>
  </si>
  <si>
    <t xml:space="preserve">NCT04064021 acupuntura Alzheimer (retirado, n=0)</t>
  </si>
  <si>
    <t xml:space="preserve">Calming Touch (masaje de presion profunda) · ClinicalTrials.gov NCT05272501 · hasResults=false en la API; no hay resultados publicados en el registro</t>
  </si>
  <si>
    <t xml:space="preserve">Aceite esencial ylang-ylang difundido · ClinicalTrials.gov NCT05034107 · hasResults=false en la API; no hay resultados publicados en el registro</t>
  </si>
  <si>
    <t xml:space="preserve">Acupuntura para BPSD, seguridad y tolerancia · ClinicalTrials.gov NCT01055561 · hasResults=false en la API; no hay resultados publicados en el registro</t>
  </si>
  <si>
    <t xml:space="preserve">Electroacupuntura y acupresion en DCL amnesico · ClinicalTrials.gov NCT06626828 · hasResults=false en la API; no hay resultados publicados en el registro</t>
  </si>
  <si>
    <t xml:space="preserve">Robot socialmente asistente (humanoide y perro robot) · ClinicalTrials.gov NCT05178992 · hasResults=false en la API; no hay resultados publicados en el registro</t>
  </si>
  <si>
    <t xml:space="preserve">Musica personalizada con auriculares para agitacion · ClinicalTrials.gov NCT02147652 · hasResults=false en la API; no hay resultados publicados en el registro</t>
  </si>
  <si>
    <t xml:space="preserve">Aromaterapia de lavanda vs aceite de girasol · ClinicalTrials.gov NCT03108781 · hasResults=false en la API; no hay resultados publicados en el registro</t>
  </si>
  <si>
    <t xml:space="preserve">Aromaterapia olor y contacto vs lista de espera para BPSD · ClinicalTrials.gov NCT03576170 · hasResults=false en la API; no hay resultados publicados en el registro</t>
  </si>
  <si>
    <t xml:space="preserve">NCT00477828 CPAP en Alzheimer (UCSD), completado 2006, sin resultados</t>
  </si>
  <si>
    <t xml:space="preserve">NCT02814045 hipoxia y apnea en Alzheimer (SEPAR), sin resultados</t>
  </si>
  <si>
    <t xml:space="preserve">NCT02474251 CPAP y amiloide en LCR (NYU), sin resultados</t>
  </si>
  <si>
    <t xml:space="preserve">NCT04284449 naturopatia integrativa, sin resultados</t>
  </si>
  <si>
    <t xml:space="preserve">No encontre ensayos registrados sobre moho/micotoxinas y Alzheimer en ClinicalTrials.gov</t>
  </si>
  <si>
    <t xml:space="preserve">Ensayo CPAP en demencia (registro sin resultados) · NCT00477828, Univ. California San Diego · Registro sin resultados publicados en ClinicalTrials.gov (hasResults falso).</t>
  </si>
  <si>
    <t xml:space="preserve">Oxigeno suplementario o CPAP nocturno y tau-PET · NCT05094271, Univ. California San Diego · Con resultados: AHI medio 34,9 con oxigeno vs 39,6 con aire; ganancia de bucle 0,52 vs 0,60.</t>
  </si>
  <si>
    <t xml:space="preserve">Hipoxia y fragmentacion del sueno en Alzheimer (sin resultados) · NCT02814045, SEPAR · Completado; sin resultados publicados en el registro.</t>
  </si>
  <si>
    <t xml:space="preserve">CPAP y aclaramiento de amiloide en LCR (sin resultados) · NCT02474251, NYU Langone · Completado en 2019; sin resultados publicados.</t>
  </si>
  <si>
    <t xml:space="preserve">NCT03998423: FMT oral en Alzheimer, Wisconsin, 5 inscritos, terminado en 2020, sin resultados</t>
  </si>
  <si>
    <t xml:space="preserve">NCT01001637: curcumina Longvida en Alzheimer, India, 26, terminado, sin resultados</t>
  </si>
  <si>
    <t xml:space="preserve">NCT00164749: curcumina + ginkgo, Hong Kong, 36; sin resultados en el registro (publicación PMID 18204357 sin resumen en PubMed)</t>
  </si>
  <si>
    <t xml:space="preserve">NCT04396015: MCT vs oliva, Alberta, 20, sin resultados en el registro</t>
  </si>
  <si>
    <t xml:space="preserve">NCT04229186: aceite de oliva Coratina, Bari, estado desconocido</t>
  </si>
  <si>
    <t xml:space="preserve">NCT01573611 y NCT03361410: uva UCLA, registradas sin resultados en el registro (publicado PMID 27856335)</t>
  </si>
  <si>
    <t xml:space="preserve">NCT01515098 y NCT01746303: sin resultados en el registro pero publicados (PMIDs 36066009 y 29458842)</t>
  </si>
  <si>
    <t xml:space="preserve">FMT oral en cápsulas · Univ. Wisconsin-Madison · Sin resultados publicados en el registro.</t>
  </si>
  <si>
    <t xml:space="preserve">Curcumina Longvida 2-3 g/día · Jaslok Hospital, 2009-2010 · Terminado sin resultados publicados en el registro.</t>
  </si>
  <si>
    <t xml:space="preserve">Aceite MCT frente a oliva · Univ. Alberta · Sin resultados en el registro.</t>
  </si>
  <si>
    <t xml:space="preserve">Aceite de oliva virgen extra Coratina · Univ. Bari · Sin resultados; estado desconocido.</t>
  </si>
  <si>
    <t xml:space="preserve">NCT00231946 ALADDIN fase III leuprolida, 555 pacientes, sin resultados</t>
  </si>
  <si>
    <t xml:space="preserve">NCT00088387 litio y divalproato, sin resultados</t>
  </si>
  <si>
    <t xml:space="preserve">NCT05423522 NanoLithium, completado, sin resultados</t>
  </si>
  <si>
    <t xml:space="preserve">NCT03402503 montelukast bucal, sin resultados</t>
  </si>
  <si>
    <t xml:space="preserve">NCT02547818 ALZT-OP1 fase III, sin resultados</t>
  </si>
  <si>
    <t xml:space="preserve">NCT02913664 rrAD, 513, sin resultados</t>
  </si>
  <si>
    <t xml:space="preserve">NCT02293915 GV-971 sin resultados en el registro</t>
  </si>
  <si>
    <t xml:space="preserve">NCT05894954 dapsona/precisión, sin resultados</t>
  </si>
  <si>
    <t xml:space="preserve">Litio con divalproato (LCR tau) · NINDS, NCT00088387 · Estado COMPLETED, sin resultados publicados en ClinicalTrials.gov</t>
  </si>
  <si>
    <t xml:space="preserve">NanoLithium NP03 · Medesis Pharma, NCT05423522 · Estado COMPLETED, sin resultados publicados en ClinicalTrials.gov</t>
  </si>
  <si>
    <t xml:space="preserve">Agua de litio (termal) con estimulación magnética · American Society Of Thermalism And Climatology, NCT02204969 · Estado UNKNOWN, sin resultados. El resumen del registro afirma regresión de más de 60% de los pacientes con terapia termal, campos magnéticos y ozono</t>
  </si>
  <si>
    <t xml:space="preserve">Metformina (ensayo MAP) · Luchsinger JA et al., 2025, Alzheimer Dis Assoc Disord (protocolo) / NCT04098666 · Activo, sin resultados publicados; finalización prevista 2027-04-30</t>
  </si>
  <si>
    <t xml:space="preserve">Leuprolida · Voyager, NCT00231946 · Estado COMPLETED, sin resultados en ClinicalTrials.gov</t>
  </si>
  <si>
    <t xml:space="preserve">Leuprolida + IACE (LUCINDA) · Weill Cornell, NCT03649724 · Completado, sin resultados</t>
  </si>
  <si>
    <t xml:space="preserve">Montelukast bucal · IntelGenx, NCT03402503 · Completado, sin resultados</t>
  </si>
  <si>
    <t xml:space="preserve">Montelukast · Emory, NCT03991988 · Resultados registrados: 1 y 1 con síntomas GI; 1 anafilaxia en un grupo; sin transaminasas elevadas</t>
  </si>
  <si>
    <t xml:space="preserve">Dapsona en medicina de precisión · Alzheimer's Prevention and Reversal Project, NCT05894954 · Completado, sin resultados</t>
  </si>
  <si>
    <t xml:space="preserve">Cromoglicato + ibuprofeno (ALZT-OP1) · AZTherapies, NCT02547818 · Completado, sin resultados</t>
  </si>
  <si>
    <t xml:space="preserve">NCT01883648 (USF, aceite de coco 'Fuel for Thought', 1,25 oz dos veces al día, cruzado 3+3 meses): estado TERMINATED, motivo 'Funding limitations and enrollment was too low', n=21, hasResults=False, completado feb 2017.</t>
  </si>
  <si>
    <t xml:space="preserve">NCT02912936 (Univ. British Columbia, intervención MCT en Alzheimer, n=43): COMPLETED mar 2020, hasResults=False.</t>
  </si>
  <si>
    <t xml:space="preserve">NCT04065061 (Chung Shan Medical University con Grape King Bio, micelio de Hericium erinaceus enriquecido en erinacina A, n=68): COMPLETED 2017, hasResults=False en el registro.</t>
  </si>
  <si>
    <t xml:space="preserve">NCT06570928 y NCT07091747 (Univ. Federal de Integración Latinoamericana, CBD:THC 50:5 mg/mL, 0,2 mL/día, 26 semanas): completado/activo sin resultados en registro.</t>
  </si>
  <si>
    <t xml:space="preserve">NCT02462161 (insulina aspart intranasal, Wake Forest): COMPLETED, hasResults=False.</t>
  </si>
  <si>
    <t xml:space="preserve">NCT01055392 (litio, Univ. São Paulo, n=80): estado UNKNOWN, sin resultados.</t>
  </si>
  <si>
    <t xml:space="preserve">Cerebrolysin vs donepezilo NCT01822951: WITHDRAWN.</t>
  </si>
  <si>
    <t xml:space="preserve">Informe de 288 reportes de cuidadores (Newport) y 200-400 testimonios en su web: no se encontró publicación revisada por pares con ellos.</t>
  </si>
  <si>
    <t xml:space="preserve">Aceite de coco - ensayo USF 'Fuel for Thought' (200 testimonios en web de Newport) · NCT01883648, University of South Florida; WUSF/USF Oracle 2013 · Sin resultados publicados; estado TERMINATED por 'Funding limitations and enrollment was too low'</t>
  </si>
  <si>
    <t xml:space="preserve">Micelio de Hericium enriquecido en erinacina A · NCT04065061, Chung Shan Medical University con Grape King Bio · COMPLETED (2017); hasResults=False</t>
  </si>
  <si>
    <t xml:space="preserve">CBD:THC 50:5 mg/mL, 0,2 mL/día · NCT06570928, Universidad Federal de Integración Latinoamericana · COMPLETED (2025); hasResults=False</t>
  </si>
  <si>
    <t xml:space="preserve">Litio en MCI (Pittsburgh) y registros · NCT03185208, Gildengers (con NIA) · CVLT-II: 6,9 (DE 4,0) vs 6,2 (DE 4,6), interacción tratamiento x tiempo 0,69, p=0,048; BVMT-R: 5,97 vs 5,9, p=0,78</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</si>
</sst>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s>
  <fills count="3">
    <fill>
      <patternFill patternType="none"/>
    </fill>
    <fill>
      <patternFill patternType="gray125"/>
    </fill>
    <fill>
      <patternFill patternType="solid">
        <fgColor rgb="FFDDDDDD"/>
        <bgColor rgb="FFCC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DDDDDD"/>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5" hidden="false" customHeight="false" outlineLevel="0" collapsed="false">
      <c r="A1" s="1" t="s">
        <v>0</v>
      </c>
    </row>
    <row r="2" customFormat="false" ht="15" hidden="false" customHeight="false" outlineLevel="0" collapsed="false">
      <c r="A2" s="2"/>
    </row>
    <row r="3" customFormat="false" ht="35.05" hidden="false" customHeight="false" outlineLevel="0" collapsed="false">
      <c r="A3" s="2" t="s">
        <v>1</v>
      </c>
    </row>
    <row r="4" customFormat="false" ht="23.85" hidden="false" customHeight="false" outlineLevel="0" collapsed="false">
      <c r="A4" s="2" t="s">
        <v>2</v>
      </c>
    </row>
    <row r="5" customFormat="false" ht="23.85" hidden="false" customHeight="false" outlineLevel="0" collapsed="false">
      <c r="A5" s="2" t="s">
        <v>3</v>
      </c>
    </row>
    <row r="6" customFormat="false" ht="15" hidden="false" customHeight="false" outlineLevel="0" collapsed="false">
      <c r="A6" s="2" t="s">
        <v>4</v>
      </c>
    </row>
    <row r="7" customFormat="false" ht="46.2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t="s">
        <v>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6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4"/>
    <col collapsed="false" customWidth="true" hidden="false" outlineLevel="0" max="3" min="3" style="0" width="26"/>
    <col collapsed="false" customWidth="true" hidden="false" outlineLevel="0" max="4" min="4" style="0" width="18"/>
    <col collapsed="false" customWidth="true" hidden="false" outlineLevel="0" max="5" min="5" style="0" width="34"/>
    <col collapsed="false" customWidth="true" hidden="false" outlineLevel="0" max="6" min="6" style="0" width="16"/>
    <col collapsed="false" customWidth="true" hidden="false" outlineLevel="0" max="7" min="7" style="0" width="22"/>
    <col collapsed="false" customWidth="true" hidden="false" outlineLevel="0" max="8" min="8" style="0" width="8"/>
    <col collapsed="false" customWidth="true" hidden="false" outlineLevel="0" max="9" min="9" style="0" width="18"/>
    <col collapsed="false" customWidth="true" hidden="false" outlineLevel="0" max="10" min="10" style="0" width="12"/>
    <col collapsed="false" customWidth="true" hidden="false" outlineLevel="0" max="11" min="11" style="0" width="28"/>
    <col collapsed="false" customWidth="true" hidden="false" outlineLevel="0" max="12" min="12" style="0" width="24"/>
    <col collapsed="false" customWidth="true" hidden="false" outlineLevel="0" max="13" min="13" style="0" width="44"/>
    <col collapsed="false" customWidth="true" hidden="false" outlineLevel="0" max="14" min="14" style="0" width="14"/>
    <col collapsed="false" customWidth="true" hidden="false" outlineLevel="0" max="15" min="15" style="0" width="26"/>
    <col collapsed="false" customWidth="true" hidden="false" outlineLevel="0" max="16" min="16" style="0" width="28"/>
    <col collapsed="false" customWidth="true" hidden="false" outlineLevel="0" max="17" min="17" style="0" width="30"/>
    <col collapsed="false" customWidth="true" hidden="false" outlineLevel="0" max="18" min="18" style="0" width="12"/>
    <col collapsed="false" customWidth="true" hidden="false" outlineLevel="0" max="19" min="19" style="0" width="26"/>
    <col collapsed="false" customWidth="true" hidden="false" outlineLevel="0" max="20" min="20" style="0" width="18"/>
    <col collapsed="false" customWidth="true" hidden="false" outlineLevel="0" max="21" min="21" style="0" width="40"/>
  </cols>
  <sheetData>
    <row r="1" customFormat="false" ht="35.05" hidden="false" customHeight="false" outlineLevel="0" collapsed="false">
      <c r="A1" s="3" t="s">
        <v>8</v>
      </c>
      <c r="B1" s="3" t="s">
        <v>9</v>
      </c>
      <c r="C1" s="3" t="s">
        <v>10</v>
      </c>
      <c r="D1" s="3" t="s">
        <v>11</v>
      </c>
      <c r="E1" s="3" t="s">
        <v>12</v>
      </c>
      <c r="F1" s="3" t="s">
        <v>13</v>
      </c>
      <c r="G1" s="3" t="s">
        <v>14</v>
      </c>
      <c r="H1" s="3" t="s">
        <v>15</v>
      </c>
      <c r="I1" s="3" t="s">
        <v>16</v>
      </c>
      <c r="J1" s="3" t="s">
        <v>17</v>
      </c>
      <c r="K1" s="3" t="s">
        <v>18</v>
      </c>
      <c r="L1" s="3" t="s">
        <v>19</v>
      </c>
      <c r="M1" s="3" t="s">
        <v>20</v>
      </c>
      <c r="N1" s="3" t="s">
        <v>21</v>
      </c>
      <c r="O1" s="3" t="s">
        <v>22</v>
      </c>
      <c r="P1" s="3" t="s">
        <v>23</v>
      </c>
      <c r="Q1" s="3" t="s">
        <v>24</v>
      </c>
      <c r="R1" s="3" t="s">
        <v>25</v>
      </c>
      <c r="S1" s="3" t="s">
        <v>26</v>
      </c>
      <c r="T1" s="3" t="s">
        <v>27</v>
      </c>
      <c r="U1" s="3" t="s">
        <v>28</v>
      </c>
    </row>
    <row r="2" customFormat="false" ht="46.25" hidden="false" customHeight="false" outlineLevel="0" collapsed="false">
      <c r="A2" s="2" t="s">
        <v>29</v>
      </c>
      <c r="B2" s="2" t="s">
        <v>30</v>
      </c>
      <c r="C2" s="2" t="s">
        <v>31</v>
      </c>
      <c r="D2" s="2" t="s">
        <v>32</v>
      </c>
      <c r="E2" s="2" t="s">
        <v>33</v>
      </c>
      <c r="F2" s="2" t="s">
        <v>34</v>
      </c>
      <c r="G2" s="2" t="s">
        <v>35</v>
      </c>
      <c r="H2" s="2" t="s">
        <v>36</v>
      </c>
      <c r="I2" s="2" t="s">
        <v>37</v>
      </c>
      <c r="J2" s="2" t="s">
        <v>38</v>
      </c>
      <c r="K2" s="2" t="s">
        <v>39</v>
      </c>
      <c r="L2" s="2" t="s">
        <v>40</v>
      </c>
      <c r="M2" s="2" t="s">
        <v>41</v>
      </c>
      <c r="N2" s="2" t="s">
        <v>42</v>
      </c>
      <c r="O2" s="2" t="s">
        <v>43</v>
      </c>
      <c r="P2" s="2" t="s">
        <v>44</v>
      </c>
      <c r="Q2" s="2"/>
      <c r="R2" s="2"/>
      <c r="S2" s="2" t="s">
        <v>45</v>
      </c>
      <c r="T2" s="2" t="s">
        <v>46</v>
      </c>
      <c r="U2" s="2" t="s">
        <v>47</v>
      </c>
    </row>
    <row r="3" customFormat="false" ht="46.25" hidden="false" customHeight="false" outlineLevel="0" collapsed="false">
      <c r="A3" s="2" t="s">
        <v>29</v>
      </c>
      <c r="B3" s="2" t="s">
        <v>30</v>
      </c>
      <c r="C3" s="2" t="s">
        <v>48</v>
      </c>
      <c r="D3" s="2" t="s">
        <v>49</v>
      </c>
      <c r="E3" s="2" t="s">
        <v>50</v>
      </c>
      <c r="F3" s="2" t="s">
        <v>34</v>
      </c>
      <c r="G3" s="2" t="s">
        <v>51</v>
      </c>
      <c r="H3" s="2" t="s">
        <v>52</v>
      </c>
      <c r="I3" s="2" t="s">
        <v>37</v>
      </c>
      <c r="J3" s="2" t="s">
        <v>38</v>
      </c>
      <c r="K3" s="2" t="s">
        <v>53</v>
      </c>
      <c r="L3" s="2" t="s">
        <v>54</v>
      </c>
      <c r="M3" s="2" t="s">
        <v>55</v>
      </c>
      <c r="N3" s="2" t="s">
        <v>56</v>
      </c>
      <c r="O3" s="2" t="s">
        <v>57</v>
      </c>
      <c r="P3" s="2" t="s">
        <v>58</v>
      </c>
      <c r="Q3" s="2"/>
      <c r="R3" s="2"/>
      <c r="S3" s="2" t="s">
        <v>59</v>
      </c>
      <c r="T3" s="2" t="s">
        <v>60</v>
      </c>
      <c r="U3" s="2" t="s">
        <v>61</v>
      </c>
    </row>
    <row r="4" customFormat="false" ht="57.45" hidden="false" customHeight="false" outlineLevel="0" collapsed="false">
      <c r="A4" s="2" t="s">
        <v>29</v>
      </c>
      <c r="B4" s="2" t="s">
        <v>62</v>
      </c>
      <c r="C4" s="2" t="s">
        <v>63</v>
      </c>
      <c r="D4" s="2" t="s">
        <v>64</v>
      </c>
      <c r="E4" s="2" t="s">
        <v>65</v>
      </c>
      <c r="F4" s="2" t="s">
        <v>66</v>
      </c>
      <c r="G4" s="2" t="s">
        <v>67</v>
      </c>
      <c r="H4" s="2" t="s">
        <v>57</v>
      </c>
      <c r="I4" s="2" t="s">
        <v>68</v>
      </c>
      <c r="J4" s="2" t="s">
        <v>57</v>
      </c>
      <c r="K4" s="2" t="s">
        <v>69</v>
      </c>
      <c r="L4" s="2" t="s">
        <v>70</v>
      </c>
      <c r="M4" s="2" t="s">
        <v>71</v>
      </c>
      <c r="N4" s="2" t="s">
        <v>72</v>
      </c>
      <c r="O4" s="2" t="s">
        <v>57</v>
      </c>
      <c r="P4" s="2" t="s">
        <v>73</v>
      </c>
      <c r="Q4" s="2"/>
      <c r="R4" s="2"/>
      <c r="S4" s="2" t="s">
        <v>74</v>
      </c>
      <c r="T4" s="2" t="s">
        <v>75</v>
      </c>
      <c r="U4" s="2" t="s">
        <v>76</v>
      </c>
    </row>
    <row r="5" customFormat="false" ht="57.45" hidden="false" customHeight="false" outlineLevel="0" collapsed="false">
      <c r="A5" s="2" t="s">
        <v>29</v>
      </c>
      <c r="B5" s="2" t="s">
        <v>77</v>
      </c>
      <c r="C5" s="2" t="s">
        <v>78</v>
      </c>
      <c r="D5" s="2" t="s">
        <v>79</v>
      </c>
      <c r="E5" s="2" t="s">
        <v>80</v>
      </c>
      <c r="F5" s="2" t="s">
        <v>81</v>
      </c>
      <c r="G5" s="2" t="s">
        <v>82</v>
      </c>
      <c r="H5" s="2" t="s">
        <v>83</v>
      </c>
      <c r="I5" s="2" t="s">
        <v>84</v>
      </c>
      <c r="J5" s="2" t="s">
        <v>85</v>
      </c>
      <c r="K5" s="2" t="s">
        <v>86</v>
      </c>
      <c r="L5" s="2" t="s">
        <v>87</v>
      </c>
      <c r="M5" s="2" t="s">
        <v>88</v>
      </c>
      <c r="N5" s="2" t="s">
        <v>72</v>
      </c>
      <c r="O5" s="2" t="s">
        <v>89</v>
      </c>
      <c r="P5" s="2" t="s">
        <v>90</v>
      </c>
      <c r="Q5" s="2"/>
      <c r="R5" s="2"/>
      <c r="S5" s="2" t="s">
        <v>91</v>
      </c>
      <c r="T5" s="2" t="s">
        <v>92</v>
      </c>
      <c r="U5" s="2" t="s">
        <v>93</v>
      </c>
    </row>
    <row r="6" customFormat="false" ht="91" hidden="false" customHeight="false" outlineLevel="0" collapsed="false">
      <c r="A6" s="2" t="s">
        <v>29</v>
      </c>
      <c r="B6" s="2" t="s">
        <v>77</v>
      </c>
      <c r="C6" s="2" t="s">
        <v>94</v>
      </c>
      <c r="D6" s="2" t="s">
        <v>95</v>
      </c>
      <c r="E6" s="2" t="s">
        <v>96</v>
      </c>
      <c r="F6" s="2" t="s">
        <v>81</v>
      </c>
      <c r="G6" s="2" t="s">
        <v>97</v>
      </c>
      <c r="H6" s="2" t="s">
        <v>98</v>
      </c>
      <c r="I6" s="2" t="s">
        <v>99</v>
      </c>
      <c r="J6" s="2" t="s">
        <v>89</v>
      </c>
      <c r="K6" s="2" t="s">
        <v>100</v>
      </c>
      <c r="L6" s="2" t="s">
        <v>101</v>
      </c>
      <c r="M6" s="2" t="s">
        <v>102</v>
      </c>
      <c r="N6" s="2" t="s">
        <v>72</v>
      </c>
      <c r="O6" s="2" t="s">
        <v>89</v>
      </c>
      <c r="P6" s="2" t="s">
        <v>103</v>
      </c>
      <c r="Q6" s="2"/>
      <c r="R6" s="2"/>
      <c r="S6" s="2" t="s">
        <v>104</v>
      </c>
      <c r="T6" s="2" t="s">
        <v>105</v>
      </c>
      <c r="U6" s="2" t="s">
        <v>106</v>
      </c>
    </row>
    <row r="7" customFormat="false" ht="91" hidden="false" customHeight="false" outlineLevel="0" collapsed="false">
      <c r="A7" s="2" t="s">
        <v>29</v>
      </c>
      <c r="B7" s="2" t="s">
        <v>77</v>
      </c>
      <c r="C7" s="2" t="s">
        <v>107</v>
      </c>
      <c r="D7" s="2" t="s">
        <v>108</v>
      </c>
      <c r="E7" s="2" t="s">
        <v>109</v>
      </c>
      <c r="F7" s="2" t="s">
        <v>81</v>
      </c>
      <c r="G7" s="2" t="s">
        <v>110</v>
      </c>
      <c r="H7" s="2" t="s">
        <v>111</v>
      </c>
      <c r="I7" s="2" t="s">
        <v>112</v>
      </c>
      <c r="J7" s="2" t="s">
        <v>113</v>
      </c>
      <c r="K7" s="2" t="s">
        <v>114</v>
      </c>
      <c r="L7" s="2" t="s">
        <v>115</v>
      </c>
      <c r="M7" s="2" t="s">
        <v>116</v>
      </c>
      <c r="N7" s="2" t="s">
        <v>56</v>
      </c>
      <c r="O7" s="2" t="s">
        <v>89</v>
      </c>
      <c r="P7" s="2" t="s">
        <v>117</v>
      </c>
      <c r="Q7" s="2"/>
      <c r="R7" s="2"/>
      <c r="S7" s="2" t="s">
        <v>118</v>
      </c>
      <c r="T7" s="2" t="s">
        <v>119</v>
      </c>
      <c r="U7" s="2" t="s">
        <v>120</v>
      </c>
    </row>
    <row r="8" customFormat="false" ht="46.25" hidden="false" customHeight="false" outlineLevel="0" collapsed="false">
      <c r="A8" s="2" t="s">
        <v>29</v>
      </c>
      <c r="B8" s="2" t="s">
        <v>121</v>
      </c>
      <c r="C8" s="2" t="s">
        <v>122</v>
      </c>
      <c r="D8" s="2" t="s">
        <v>123</v>
      </c>
      <c r="E8" s="2" t="s">
        <v>124</v>
      </c>
      <c r="F8" s="2" t="s">
        <v>81</v>
      </c>
      <c r="G8" s="2" t="s">
        <v>125</v>
      </c>
      <c r="H8" s="2" t="s">
        <v>126</v>
      </c>
      <c r="I8" s="2" t="s">
        <v>127</v>
      </c>
      <c r="J8" s="2" t="s">
        <v>128</v>
      </c>
      <c r="K8" s="2" t="s">
        <v>129</v>
      </c>
      <c r="L8" s="2" t="s">
        <v>130</v>
      </c>
      <c r="M8" s="2" t="s">
        <v>131</v>
      </c>
      <c r="N8" s="2" t="s">
        <v>56</v>
      </c>
      <c r="O8" s="2" t="s">
        <v>89</v>
      </c>
      <c r="P8" s="2" t="s">
        <v>58</v>
      </c>
      <c r="Q8" s="2"/>
      <c r="R8" s="2"/>
      <c r="S8" s="2" t="s">
        <v>132</v>
      </c>
      <c r="T8" s="2" t="s">
        <v>133</v>
      </c>
      <c r="U8" s="2" t="s">
        <v>134</v>
      </c>
    </row>
    <row r="9" customFormat="false" ht="68.65" hidden="false" customHeight="false" outlineLevel="0" collapsed="false">
      <c r="A9" s="2" t="s">
        <v>29</v>
      </c>
      <c r="B9" s="2" t="s">
        <v>135</v>
      </c>
      <c r="C9" s="2" t="s">
        <v>136</v>
      </c>
      <c r="D9" s="2" t="s">
        <v>137</v>
      </c>
      <c r="E9" s="2" t="s">
        <v>138</v>
      </c>
      <c r="F9" s="2" t="s">
        <v>139</v>
      </c>
      <c r="G9" s="2" t="s">
        <v>140</v>
      </c>
      <c r="H9" s="2" t="s">
        <v>89</v>
      </c>
      <c r="I9" s="2" t="s">
        <v>89</v>
      </c>
      <c r="J9" s="2" t="s">
        <v>89</v>
      </c>
      <c r="K9" s="2" t="s">
        <v>141</v>
      </c>
      <c r="L9" s="2" t="s">
        <v>142</v>
      </c>
      <c r="M9" s="2" t="s">
        <v>143</v>
      </c>
      <c r="N9" s="2" t="s">
        <v>144</v>
      </c>
      <c r="O9" s="2" t="s">
        <v>89</v>
      </c>
      <c r="P9" s="2" t="s">
        <v>145</v>
      </c>
      <c r="Q9" s="2"/>
      <c r="R9" s="2"/>
      <c r="S9" s="2" t="s">
        <v>146</v>
      </c>
      <c r="T9" s="2" t="s">
        <v>147</v>
      </c>
      <c r="U9" s="2" t="s">
        <v>148</v>
      </c>
    </row>
    <row r="10" customFormat="false" ht="102.2" hidden="false" customHeight="false" outlineLevel="0" collapsed="false">
      <c r="A10" s="2" t="s">
        <v>29</v>
      </c>
      <c r="B10" s="2" t="s">
        <v>149</v>
      </c>
      <c r="C10" s="2" t="s">
        <v>150</v>
      </c>
      <c r="D10" s="2" t="s">
        <v>151</v>
      </c>
      <c r="E10" s="2" t="s">
        <v>152</v>
      </c>
      <c r="F10" s="2" t="s">
        <v>34</v>
      </c>
      <c r="G10" s="2" t="s">
        <v>153</v>
      </c>
      <c r="H10" s="2" t="s">
        <v>154</v>
      </c>
      <c r="I10" s="2" t="s">
        <v>155</v>
      </c>
      <c r="J10" s="2" t="s">
        <v>156</v>
      </c>
      <c r="K10" s="2" t="s">
        <v>157</v>
      </c>
      <c r="L10" s="2" t="s">
        <v>158</v>
      </c>
      <c r="M10" s="2" t="s">
        <v>159</v>
      </c>
      <c r="N10" s="2" t="s">
        <v>56</v>
      </c>
      <c r="O10" s="2" t="s">
        <v>160</v>
      </c>
      <c r="P10" s="2" t="s">
        <v>161</v>
      </c>
      <c r="Q10" s="2"/>
      <c r="R10" s="2"/>
      <c r="S10" s="2" t="s">
        <v>162</v>
      </c>
      <c r="T10" s="2" t="s">
        <v>163</v>
      </c>
      <c r="U10" s="2" t="s">
        <v>164</v>
      </c>
    </row>
    <row r="11" customFormat="false" ht="68.65" hidden="false" customHeight="false" outlineLevel="0" collapsed="false">
      <c r="A11" s="2" t="s">
        <v>29</v>
      </c>
      <c r="B11" s="2" t="s">
        <v>165</v>
      </c>
      <c r="C11" s="2" t="s">
        <v>166</v>
      </c>
      <c r="D11" s="2" t="s">
        <v>167</v>
      </c>
      <c r="E11" s="2" t="s">
        <v>168</v>
      </c>
      <c r="F11" s="2" t="s">
        <v>81</v>
      </c>
      <c r="G11" s="2" t="s">
        <v>169</v>
      </c>
      <c r="H11" s="2" t="s">
        <v>170</v>
      </c>
      <c r="I11" s="2" t="s">
        <v>171</v>
      </c>
      <c r="J11" s="2" t="s">
        <v>89</v>
      </c>
      <c r="K11" s="2" t="s">
        <v>172</v>
      </c>
      <c r="L11" s="2" t="s">
        <v>173</v>
      </c>
      <c r="M11" s="2" t="s">
        <v>174</v>
      </c>
      <c r="N11" s="2" t="s">
        <v>72</v>
      </c>
      <c r="O11" s="2" t="s">
        <v>89</v>
      </c>
      <c r="P11" s="2" t="s">
        <v>58</v>
      </c>
      <c r="Q11" s="2"/>
      <c r="R11" s="2"/>
      <c r="S11" s="2" t="s">
        <v>175</v>
      </c>
      <c r="T11" s="2" t="s">
        <v>176</v>
      </c>
      <c r="U11" s="2" t="s">
        <v>177</v>
      </c>
    </row>
    <row r="12" customFormat="false" ht="57.45" hidden="false" customHeight="false" outlineLevel="0" collapsed="false">
      <c r="A12" s="2" t="s">
        <v>29</v>
      </c>
      <c r="B12" s="2" t="s">
        <v>165</v>
      </c>
      <c r="C12" s="2" t="s">
        <v>178</v>
      </c>
      <c r="D12" s="2" t="s">
        <v>179</v>
      </c>
      <c r="E12" s="2" t="s">
        <v>180</v>
      </c>
      <c r="F12" s="2" t="s">
        <v>139</v>
      </c>
      <c r="G12" s="2" t="s">
        <v>181</v>
      </c>
      <c r="H12" s="2" t="s">
        <v>182</v>
      </c>
      <c r="I12" s="2" t="s">
        <v>183</v>
      </c>
      <c r="J12" s="2" t="s">
        <v>184</v>
      </c>
      <c r="K12" s="2" t="s">
        <v>89</v>
      </c>
      <c r="L12" s="2" t="s">
        <v>185</v>
      </c>
      <c r="M12" s="2" t="s">
        <v>186</v>
      </c>
      <c r="N12" s="2" t="s">
        <v>56</v>
      </c>
      <c r="O12" s="2" t="s">
        <v>89</v>
      </c>
      <c r="P12" s="2" t="s">
        <v>58</v>
      </c>
      <c r="Q12" s="2"/>
      <c r="R12" s="2"/>
      <c r="S12" s="2" t="s">
        <v>187</v>
      </c>
      <c r="T12" s="2" t="s">
        <v>188</v>
      </c>
      <c r="U12" s="2" t="s">
        <v>189</v>
      </c>
    </row>
    <row r="13" customFormat="false" ht="35.05" hidden="false" customHeight="false" outlineLevel="0" collapsed="false">
      <c r="A13" s="2" t="s">
        <v>29</v>
      </c>
      <c r="B13" s="2" t="s">
        <v>149</v>
      </c>
      <c r="C13" s="2" t="s">
        <v>190</v>
      </c>
      <c r="D13" s="2" t="s">
        <v>191</v>
      </c>
      <c r="E13" s="2" t="s">
        <v>192</v>
      </c>
      <c r="F13" s="2" t="s">
        <v>193</v>
      </c>
      <c r="G13" s="2" t="s">
        <v>194</v>
      </c>
      <c r="H13" s="2" t="s">
        <v>195</v>
      </c>
      <c r="I13" s="2" t="s">
        <v>196</v>
      </c>
      <c r="J13" s="2" t="s">
        <v>197</v>
      </c>
      <c r="K13" s="2" t="s">
        <v>198</v>
      </c>
      <c r="L13" s="2" t="s">
        <v>199</v>
      </c>
      <c r="M13" s="2" t="s">
        <v>200</v>
      </c>
      <c r="N13" s="2" t="s">
        <v>89</v>
      </c>
      <c r="O13" s="2" t="s">
        <v>89</v>
      </c>
      <c r="P13" s="2" t="s">
        <v>201</v>
      </c>
      <c r="Q13" s="2"/>
      <c r="R13" s="2"/>
      <c r="S13" s="2" t="s">
        <v>202</v>
      </c>
      <c r="T13" s="2" t="s">
        <v>203</v>
      </c>
      <c r="U13" s="2" t="s">
        <v>204</v>
      </c>
    </row>
    <row r="14" customFormat="false" ht="68.65" hidden="false" customHeight="false" outlineLevel="0" collapsed="false">
      <c r="A14" s="2" t="s">
        <v>29</v>
      </c>
      <c r="B14" s="2" t="s">
        <v>205</v>
      </c>
      <c r="C14" s="2" t="s">
        <v>206</v>
      </c>
      <c r="D14" s="2" t="s">
        <v>207</v>
      </c>
      <c r="E14" s="2" t="s">
        <v>208</v>
      </c>
      <c r="F14" s="2" t="s">
        <v>34</v>
      </c>
      <c r="G14" s="2" t="s">
        <v>209</v>
      </c>
      <c r="H14" s="2" t="s">
        <v>210</v>
      </c>
      <c r="I14" s="2" t="s">
        <v>211</v>
      </c>
      <c r="J14" s="2" t="s">
        <v>58</v>
      </c>
      <c r="K14" s="2" t="s">
        <v>212</v>
      </c>
      <c r="L14" s="2" t="s">
        <v>213</v>
      </c>
      <c r="M14" s="2" t="s">
        <v>214</v>
      </c>
      <c r="N14" s="2" t="s">
        <v>144</v>
      </c>
      <c r="O14" s="2" t="s">
        <v>43</v>
      </c>
      <c r="P14" s="2" t="s">
        <v>58</v>
      </c>
      <c r="Q14" s="2"/>
      <c r="R14" s="2"/>
      <c r="S14" s="2" t="s">
        <v>215</v>
      </c>
      <c r="T14" s="2" t="s">
        <v>216</v>
      </c>
      <c r="U14" s="2" t="s">
        <v>217</v>
      </c>
    </row>
    <row r="15" customFormat="false" ht="68.65" hidden="false" customHeight="false" outlineLevel="0" collapsed="false">
      <c r="A15" s="2" t="s">
        <v>29</v>
      </c>
      <c r="B15" s="2" t="s">
        <v>218</v>
      </c>
      <c r="C15" s="2" t="s">
        <v>219</v>
      </c>
      <c r="D15" s="2" t="s">
        <v>220</v>
      </c>
      <c r="E15" s="2" t="s">
        <v>221</v>
      </c>
      <c r="F15" s="2" t="s">
        <v>34</v>
      </c>
      <c r="G15" s="2" t="s">
        <v>222</v>
      </c>
      <c r="H15" s="2" t="s">
        <v>223</v>
      </c>
      <c r="I15" s="2" t="s">
        <v>224</v>
      </c>
      <c r="J15" s="2" t="s">
        <v>225</v>
      </c>
      <c r="K15" s="2" t="s">
        <v>226</v>
      </c>
      <c r="L15" s="2" t="s">
        <v>227</v>
      </c>
      <c r="M15" s="2" t="s">
        <v>228</v>
      </c>
      <c r="N15" s="2" t="s">
        <v>56</v>
      </c>
      <c r="O15" s="2" t="s">
        <v>229</v>
      </c>
      <c r="P15" s="2" t="s">
        <v>230</v>
      </c>
      <c r="Q15" s="2"/>
      <c r="R15" s="2"/>
      <c r="S15" s="2" t="s">
        <v>231</v>
      </c>
      <c r="T15" s="2" t="s">
        <v>232</v>
      </c>
      <c r="U15" s="2" t="s">
        <v>233</v>
      </c>
    </row>
    <row r="16" customFormat="false" ht="46.25" hidden="false" customHeight="false" outlineLevel="0" collapsed="false">
      <c r="A16" s="2" t="s">
        <v>29</v>
      </c>
      <c r="B16" s="2" t="s">
        <v>218</v>
      </c>
      <c r="C16" s="2" t="s">
        <v>234</v>
      </c>
      <c r="D16" s="2" t="s">
        <v>220</v>
      </c>
      <c r="E16" s="2" t="s">
        <v>235</v>
      </c>
      <c r="F16" s="2" t="s">
        <v>34</v>
      </c>
      <c r="G16" s="2" t="s">
        <v>236</v>
      </c>
      <c r="H16" s="2" t="s">
        <v>237</v>
      </c>
      <c r="I16" s="2" t="s">
        <v>238</v>
      </c>
      <c r="J16" s="2" t="s">
        <v>225</v>
      </c>
      <c r="K16" s="2" t="s">
        <v>239</v>
      </c>
      <c r="L16" s="2" t="s">
        <v>240</v>
      </c>
      <c r="M16" s="2" t="s">
        <v>241</v>
      </c>
      <c r="N16" s="2" t="s">
        <v>144</v>
      </c>
      <c r="O16" s="2" t="s">
        <v>57</v>
      </c>
      <c r="P16" s="2" t="s">
        <v>242</v>
      </c>
      <c r="Q16" s="2"/>
      <c r="R16" s="2"/>
      <c r="S16" s="2" t="s">
        <v>243</v>
      </c>
      <c r="T16" s="2" t="s">
        <v>244</v>
      </c>
      <c r="U16" s="2" t="s">
        <v>245</v>
      </c>
    </row>
    <row r="17" customFormat="false" ht="46.25" hidden="false" customHeight="false" outlineLevel="0" collapsed="false">
      <c r="A17" s="2" t="s">
        <v>29</v>
      </c>
      <c r="B17" s="2" t="s">
        <v>246</v>
      </c>
      <c r="C17" s="2" t="s">
        <v>247</v>
      </c>
      <c r="D17" s="2" t="s">
        <v>248</v>
      </c>
      <c r="E17" s="2" t="s">
        <v>249</v>
      </c>
      <c r="F17" s="2" t="s">
        <v>34</v>
      </c>
      <c r="G17" s="2" t="s">
        <v>250</v>
      </c>
      <c r="H17" s="2" t="s">
        <v>251</v>
      </c>
      <c r="I17" s="2" t="s">
        <v>252</v>
      </c>
      <c r="J17" s="2" t="s">
        <v>253</v>
      </c>
      <c r="K17" s="2" t="s">
        <v>254</v>
      </c>
      <c r="L17" s="2" t="s">
        <v>255</v>
      </c>
      <c r="M17" s="2" t="s">
        <v>256</v>
      </c>
      <c r="N17" s="2" t="s">
        <v>144</v>
      </c>
      <c r="O17" s="2" t="s">
        <v>257</v>
      </c>
      <c r="P17" s="2" t="s">
        <v>58</v>
      </c>
      <c r="Q17" s="2"/>
      <c r="R17" s="2"/>
      <c r="S17" s="2" t="s">
        <v>258</v>
      </c>
      <c r="T17" s="2" t="s">
        <v>259</v>
      </c>
      <c r="U17" s="2" t="s">
        <v>260</v>
      </c>
    </row>
    <row r="18" customFormat="false" ht="79.85" hidden="false" customHeight="false" outlineLevel="0" collapsed="false">
      <c r="A18" s="2" t="s">
        <v>29</v>
      </c>
      <c r="B18" s="2" t="s">
        <v>261</v>
      </c>
      <c r="C18" s="2" t="s">
        <v>262</v>
      </c>
      <c r="D18" s="2" t="s">
        <v>263</v>
      </c>
      <c r="E18" s="2" t="s">
        <v>264</v>
      </c>
      <c r="F18" s="2" t="s">
        <v>34</v>
      </c>
      <c r="G18" s="2" t="s">
        <v>265</v>
      </c>
      <c r="H18" s="2" t="s">
        <v>266</v>
      </c>
      <c r="I18" s="2" t="s">
        <v>267</v>
      </c>
      <c r="J18" s="2" t="s">
        <v>38</v>
      </c>
      <c r="K18" s="2" t="s">
        <v>268</v>
      </c>
      <c r="L18" s="2" t="s">
        <v>269</v>
      </c>
      <c r="M18" s="2" t="s">
        <v>270</v>
      </c>
      <c r="N18" s="2" t="s">
        <v>72</v>
      </c>
      <c r="O18" s="2" t="s">
        <v>271</v>
      </c>
      <c r="P18" s="2" t="s">
        <v>272</v>
      </c>
      <c r="Q18" s="2"/>
      <c r="R18" s="2"/>
      <c r="S18" s="2" t="s">
        <v>273</v>
      </c>
      <c r="T18" s="2" t="s">
        <v>274</v>
      </c>
      <c r="U18" s="2" t="s">
        <v>275</v>
      </c>
    </row>
    <row r="19" customFormat="false" ht="79.85" hidden="false" customHeight="false" outlineLevel="0" collapsed="false">
      <c r="A19" s="2" t="s">
        <v>29</v>
      </c>
      <c r="B19" s="2" t="s">
        <v>276</v>
      </c>
      <c r="C19" s="2" t="s">
        <v>277</v>
      </c>
      <c r="D19" s="2" t="s">
        <v>278</v>
      </c>
      <c r="E19" s="2" t="s">
        <v>279</v>
      </c>
      <c r="F19" s="2" t="s">
        <v>280</v>
      </c>
      <c r="G19" s="2" t="s">
        <v>281</v>
      </c>
      <c r="H19" s="2" t="s">
        <v>282</v>
      </c>
      <c r="I19" s="2" t="s">
        <v>283</v>
      </c>
      <c r="J19" s="2" t="s">
        <v>225</v>
      </c>
      <c r="K19" s="2" t="s">
        <v>284</v>
      </c>
      <c r="L19" s="2" t="s">
        <v>285</v>
      </c>
      <c r="M19" s="2" t="s">
        <v>286</v>
      </c>
      <c r="N19" s="2" t="s">
        <v>144</v>
      </c>
      <c r="O19" s="2" t="s">
        <v>57</v>
      </c>
      <c r="P19" s="2" t="s">
        <v>58</v>
      </c>
      <c r="Q19" s="2"/>
      <c r="R19" s="2"/>
      <c r="S19" s="2" t="s">
        <v>287</v>
      </c>
      <c r="T19" s="2" t="s">
        <v>288</v>
      </c>
      <c r="U19" s="2" t="s">
        <v>289</v>
      </c>
    </row>
    <row r="20" customFormat="false" ht="46.25" hidden="false" customHeight="false" outlineLevel="0" collapsed="false">
      <c r="A20" s="2" t="s">
        <v>29</v>
      </c>
      <c r="B20" s="2" t="s">
        <v>290</v>
      </c>
      <c r="C20" s="2" t="s">
        <v>291</v>
      </c>
      <c r="D20" s="2" t="s">
        <v>292</v>
      </c>
      <c r="E20" s="2" t="s">
        <v>293</v>
      </c>
      <c r="F20" s="2" t="s">
        <v>81</v>
      </c>
      <c r="G20" s="2" t="s">
        <v>294</v>
      </c>
      <c r="H20" s="2" t="s">
        <v>295</v>
      </c>
      <c r="I20" s="2" t="s">
        <v>296</v>
      </c>
      <c r="J20" s="2" t="s">
        <v>297</v>
      </c>
      <c r="K20" s="2" t="s">
        <v>298</v>
      </c>
      <c r="L20" s="2" t="s">
        <v>299</v>
      </c>
      <c r="M20" s="2" t="s">
        <v>300</v>
      </c>
      <c r="N20" s="2" t="s">
        <v>72</v>
      </c>
      <c r="O20" s="2" t="s">
        <v>89</v>
      </c>
      <c r="P20" s="2" t="s">
        <v>58</v>
      </c>
      <c r="Q20" s="2"/>
      <c r="R20" s="2"/>
      <c r="S20" s="2" t="s">
        <v>301</v>
      </c>
      <c r="T20" s="2" t="s">
        <v>302</v>
      </c>
      <c r="U20" s="2" t="s">
        <v>303</v>
      </c>
    </row>
    <row r="21" customFormat="false" ht="46.25" hidden="false" customHeight="false" outlineLevel="0" collapsed="false">
      <c r="A21" s="2" t="s">
        <v>29</v>
      </c>
      <c r="B21" s="2" t="s">
        <v>304</v>
      </c>
      <c r="C21" s="2" t="s">
        <v>304</v>
      </c>
      <c r="D21" s="2" t="s">
        <v>305</v>
      </c>
      <c r="E21" s="2" t="s">
        <v>306</v>
      </c>
      <c r="F21" s="2" t="s">
        <v>81</v>
      </c>
      <c r="G21" s="2" t="s">
        <v>307</v>
      </c>
      <c r="H21" s="2" t="s">
        <v>308</v>
      </c>
      <c r="I21" s="2" t="s">
        <v>309</v>
      </c>
      <c r="J21" s="2" t="s">
        <v>89</v>
      </c>
      <c r="K21" s="2" t="s">
        <v>310</v>
      </c>
      <c r="L21" s="2" t="s">
        <v>311</v>
      </c>
      <c r="M21" s="2" t="s">
        <v>312</v>
      </c>
      <c r="N21" s="2" t="s">
        <v>42</v>
      </c>
      <c r="O21" s="2" t="s">
        <v>89</v>
      </c>
      <c r="P21" s="2" t="s">
        <v>313</v>
      </c>
      <c r="Q21" s="2"/>
      <c r="R21" s="2"/>
      <c r="S21" s="2" t="s">
        <v>314</v>
      </c>
      <c r="T21" s="2" t="s">
        <v>315</v>
      </c>
      <c r="U21" s="2" t="s">
        <v>316</v>
      </c>
    </row>
    <row r="22" customFormat="false" ht="46.25" hidden="false" customHeight="false" outlineLevel="0" collapsed="false">
      <c r="A22" s="2" t="s">
        <v>29</v>
      </c>
      <c r="B22" s="2" t="s">
        <v>317</v>
      </c>
      <c r="C22" s="2" t="s">
        <v>318</v>
      </c>
      <c r="D22" s="2" t="s">
        <v>319</v>
      </c>
      <c r="E22" s="2" t="s">
        <v>320</v>
      </c>
      <c r="F22" s="2" t="s">
        <v>34</v>
      </c>
      <c r="G22" s="2" t="s">
        <v>321</v>
      </c>
      <c r="H22" s="2" t="s">
        <v>322</v>
      </c>
      <c r="I22" s="2" t="s">
        <v>323</v>
      </c>
      <c r="J22" s="2" t="s">
        <v>38</v>
      </c>
      <c r="K22" s="2" t="s">
        <v>324</v>
      </c>
      <c r="L22" s="2" t="s">
        <v>325</v>
      </c>
      <c r="M22" s="2" t="s">
        <v>326</v>
      </c>
      <c r="N22" s="2" t="s">
        <v>144</v>
      </c>
      <c r="O22" s="2" t="s">
        <v>327</v>
      </c>
      <c r="P22" s="2" t="s">
        <v>328</v>
      </c>
      <c r="Q22" s="2"/>
      <c r="R22" s="2"/>
      <c r="S22" s="2" t="s">
        <v>329</v>
      </c>
      <c r="T22" s="2" t="s">
        <v>330</v>
      </c>
      <c r="U22" s="2" t="s">
        <v>331</v>
      </c>
    </row>
    <row r="23" customFormat="false" ht="57.45" hidden="false" customHeight="false" outlineLevel="0" collapsed="false">
      <c r="A23" s="2" t="s">
        <v>29</v>
      </c>
      <c r="B23" s="2" t="s">
        <v>317</v>
      </c>
      <c r="C23" s="2" t="s">
        <v>332</v>
      </c>
      <c r="D23" s="2" t="s">
        <v>319</v>
      </c>
      <c r="E23" s="2" t="s">
        <v>333</v>
      </c>
      <c r="F23" s="2" t="s">
        <v>34</v>
      </c>
      <c r="G23" s="2" t="s">
        <v>334</v>
      </c>
      <c r="H23" s="2" t="s">
        <v>335</v>
      </c>
      <c r="I23" s="2" t="s">
        <v>323</v>
      </c>
      <c r="J23" s="2" t="s">
        <v>336</v>
      </c>
      <c r="K23" s="2" t="s">
        <v>337</v>
      </c>
      <c r="L23" s="2" t="s">
        <v>338</v>
      </c>
      <c r="M23" s="2" t="s">
        <v>339</v>
      </c>
      <c r="N23" s="2" t="s">
        <v>144</v>
      </c>
      <c r="O23" s="2" t="s">
        <v>57</v>
      </c>
      <c r="P23" s="2" t="s">
        <v>340</v>
      </c>
      <c r="Q23" s="2"/>
      <c r="R23" s="2"/>
      <c r="S23" s="2" t="s">
        <v>341</v>
      </c>
      <c r="T23" s="2" t="s">
        <v>342</v>
      </c>
      <c r="U23" s="2" t="s">
        <v>343</v>
      </c>
    </row>
    <row r="24" customFormat="false" ht="46.25" hidden="false" customHeight="false" outlineLevel="0" collapsed="false">
      <c r="A24" s="2" t="s">
        <v>29</v>
      </c>
      <c r="B24" s="2" t="s">
        <v>344</v>
      </c>
      <c r="C24" s="2" t="s">
        <v>345</v>
      </c>
      <c r="D24" s="2" t="s">
        <v>319</v>
      </c>
      <c r="E24" s="2" t="s">
        <v>346</v>
      </c>
      <c r="F24" s="2" t="s">
        <v>347</v>
      </c>
      <c r="G24" s="2" t="s">
        <v>348</v>
      </c>
      <c r="H24" s="2" t="s">
        <v>58</v>
      </c>
      <c r="I24" s="2" t="s">
        <v>183</v>
      </c>
      <c r="J24" s="2" t="s">
        <v>349</v>
      </c>
      <c r="K24" s="2" t="s">
        <v>350</v>
      </c>
      <c r="L24" s="2" t="s">
        <v>351</v>
      </c>
      <c r="M24" s="2" t="s">
        <v>352</v>
      </c>
      <c r="N24" s="2" t="s">
        <v>144</v>
      </c>
      <c r="O24" s="2" t="s">
        <v>57</v>
      </c>
      <c r="P24" s="2" t="s">
        <v>58</v>
      </c>
      <c r="Q24" s="2"/>
      <c r="R24" s="2"/>
      <c r="S24" s="2" t="s">
        <v>353</v>
      </c>
      <c r="T24" s="2" t="s">
        <v>354</v>
      </c>
      <c r="U24" s="2" t="s">
        <v>355</v>
      </c>
    </row>
    <row r="25" customFormat="false" ht="46.25" hidden="false" customHeight="false" outlineLevel="0" collapsed="false">
      <c r="A25" s="2" t="s">
        <v>29</v>
      </c>
      <c r="B25" s="2" t="s">
        <v>344</v>
      </c>
      <c r="C25" s="2" t="s">
        <v>356</v>
      </c>
      <c r="D25" s="2" t="s">
        <v>319</v>
      </c>
      <c r="E25" s="2" t="s">
        <v>357</v>
      </c>
      <c r="F25" s="2" t="s">
        <v>66</v>
      </c>
      <c r="G25" s="2" t="s">
        <v>358</v>
      </c>
      <c r="H25" s="2" t="s">
        <v>57</v>
      </c>
      <c r="I25" s="2" t="s">
        <v>359</v>
      </c>
      <c r="J25" s="2" t="s">
        <v>360</v>
      </c>
      <c r="K25" s="2" t="s">
        <v>361</v>
      </c>
      <c r="L25" s="2" t="s">
        <v>362</v>
      </c>
      <c r="M25" s="2" t="s">
        <v>363</v>
      </c>
      <c r="N25" s="2" t="s">
        <v>144</v>
      </c>
      <c r="O25" s="2" t="s">
        <v>57</v>
      </c>
      <c r="P25" s="2" t="s">
        <v>364</v>
      </c>
      <c r="Q25" s="2"/>
      <c r="R25" s="2"/>
      <c r="S25" s="2" t="s">
        <v>365</v>
      </c>
      <c r="T25" s="2" t="s">
        <v>366</v>
      </c>
      <c r="U25" s="2" t="s">
        <v>367</v>
      </c>
    </row>
    <row r="26" customFormat="false" ht="46.25" hidden="false" customHeight="false" outlineLevel="0" collapsed="false">
      <c r="A26" s="2" t="s">
        <v>29</v>
      </c>
      <c r="B26" s="2" t="s">
        <v>344</v>
      </c>
      <c r="C26" s="2" t="s">
        <v>368</v>
      </c>
      <c r="D26" s="2" t="s">
        <v>369</v>
      </c>
      <c r="E26" s="2" t="s">
        <v>370</v>
      </c>
      <c r="F26" s="2" t="s">
        <v>66</v>
      </c>
      <c r="G26" s="2" t="s">
        <v>371</v>
      </c>
      <c r="H26" s="2" t="s">
        <v>57</v>
      </c>
      <c r="I26" s="2" t="s">
        <v>372</v>
      </c>
      <c r="J26" s="2" t="s">
        <v>225</v>
      </c>
      <c r="K26" s="2" t="s">
        <v>373</v>
      </c>
      <c r="L26" s="2" t="s">
        <v>374</v>
      </c>
      <c r="M26" s="2" t="s">
        <v>375</v>
      </c>
      <c r="N26" s="2" t="s">
        <v>144</v>
      </c>
      <c r="O26" s="2" t="s">
        <v>57</v>
      </c>
      <c r="P26" s="2" t="s">
        <v>376</v>
      </c>
      <c r="Q26" s="2"/>
      <c r="R26" s="2"/>
      <c r="S26" s="2" t="s">
        <v>377</v>
      </c>
      <c r="T26" s="2" t="s">
        <v>378</v>
      </c>
      <c r="U26" s="2" t="s">
        <v>379</v>
      </c>
    </row>
    <row r="27" customFormat="false" ht="46.25" hidden="false" customHeight="false" outlineLevel="0" collapsed="false">
      <c r="A27" s="2" t="s">
        <v>29</v>
      </c>
      <c r="B27" s="2" t="s">
        <v>344</v>
      </c>
      <c r="C27" s="2" t="s">
        <v>380</v>
      </c>
      <c r="D27" s="2" t="s">
        <v>319</v>
      </c>
      <c r="E27" s="2" t="s">
        <v>381</v>
      </c>
      <c r="F27" s="2" t="s">
        <v>66</v>
      </c>
      <c r="G27" s="2" t="s">
        <v>382</v>
      </c>
      <c r="H27" s="2" t="s">
        <v>57</v>
      </c>
      <c r="I27" s="2" t="s">
        <v>359</v>
      </c>
      <c r="J27" s="2" t="s">
        <v>383</v>
      </c>
      <c r="K27" s="2" t="s">
        <v>384</v>
      </c>
      <c r="L27" s="2" t="s">
        <v>385</v>
      </c>
      <c r="M27" s="2" t="s">
        <v>386</v>
      </c>
      <c r="N27" s="2" t="s">
        <v>144</v>
      </c>
      <c r="O27" s="2" t="s">
        <v>57</v>
      </c>
      <c r="P27" s="2" t="s">
        <v>58</v>
      </c>
      <c r="Q27" s="2"/>
      <c r="R27" s="2"/>
      <c r="S27" s="2" t="s">
        <v>387</v>
      </c>
      <c r="T27" s="2" t="s">
        <v>388</v>
      </c>
      <c r="U27" s="2" t="s">
        <v>389</v>
      </c>
    </row>
    <row r="28" customFormat="false" ht="57.45" hidden="false" customHeight="false" outlineLevel="0" collapsed="false">
      <c r="A28" s="2" t="s">
        <v>29</v>
      </c>
      <c r="B28" s="2" t="s">
        <v>390</v>
      </c>
      <c r="C28" s="2" t="s">
        <v>391</v>
      </c>
      <c r="D28" s="2" t="s">
        <v>392</v>
      </c>
      <c r="E28" s="2" t="s">
        <v>393</v>
      </c>
      <c r="F28" s="2" t="s">
        <v>66</v>
      </c>
      <c r="G28" s="2" t="s">
        <v>394</v>
      </c>
      <c r="H28" s="2" t="s">
        <v>58</v>
      </c>
      <c r="I28" s="2" t="s">
        <v>395</v>
      </c>
      <c r="J28" s="2" t="s">
        <v>57</v>
      </c>
      <c r="K28" s="2" t="s">
        <v>396</v>
      </c>
      <c r="L28" s="2" t="s">
        <v>397</v>
      </c>
      <c r="M28" s="2" t="s">
        <v>398</v>
      </c>
      <c r="N28" s="2" t="s">
        <v>144</v>
      </c>
      <c r="O28" s="2" t="s">
        <v>57</v>
      </c>
      <c r="P28" s="2" t="s">
        <v>399</v>
      </c>
      <c r="Q28" s="2"/>
      <c r="R28" s="2"/>
      <c r="S28" s="2" t="s">
        <v>400</v>
      </c>
      <c r="T28" s="2" t="s">
        <v>401</v>
      </c>
      <c r="U28" s="2" t="s">
        <v>402</v>
      </c>
    </row>
    <row r="29" customFormat="false" ht="68.65" hidden="false" customHeight="false" outlineLevel="0" collapsed="false">
      <c r="A29" s="2" t="s">
        <v>29</v>
      </c>
      <c r="B29" s="2" t="s">
        <v>403</v>
      </c>
      <c r="C29" s="2" t="s">
        <v>404</v>
      </c>
      <c r="D29" s="2" t="s">
        <v>405</v>
      </c>
      <c r="E29" s="2" t="s">
        <v>406</v>
      </c>
      <c r="F29" s="2" t="s">
        <v>81</v>
      </c>
      <c r="G29" s="2" t="s">
        <v>407</v>
      </c>
      <c r="H29" s="2" t="s">
        <v>408</v>
      </c>
      <c r="I29" s="2" t="s">
        <v>409</v>
      </c>
      <c r="J29" s="2" t="s">
        <v>410</v>
      </c>
      <c r="K29" s="2" t="s">
        <v>411</v>
      </c>
      <c r="L29" s="2" t="s">
        <v>412</v>
      </c>
      <c r="M29" s="2" t="s">
        <v>413</v>
      </c>
      <c r="N29" s="2" t="s">
        <v>56</v>
      </c>
      <c r="O29" s="2" t="s">
        <v>89</v>
      </c>
      <c r="P29" s="2" t="s">
        <v>58</v>
      </c>
      <c r="Q29" s="2"/>
      <c r="R29" s="2"/>
      <c r="S29" s="2" t="s">
        <v>414</v>
      </c>
      <c r="T29" s="2" t="s">
        <v>415</v>
      </c>
      <c r="U29" s="2" t="s">
        <v>416</v>
      </c>
    </row>
    <row r="30" customFormat="false" ht="57.45" hidden="false" customHeight="false" outlineLevel="0" collapsed="false">
      <c r="A30" s="2" t="s">
        <v>29</v>
      </c>
      <c r="B30" s="2" t="s">
        <v>403</v>
      </c>
      <c r="C30" s="2" t="s">
        <v>417</v>
      </c>
      <c r="D30" s="2" t="s">
        <v>405</v>
      </c>
      <c r="E30" s="2" t="s">
        <v>418</v>
      </c>
      <c r="F30" s="2" t="s">
        <v>81</v>
      </c>
      <c r="G30" s="2" t="s">
        <v>419</v>
      </c>
      <c r="H30" s="2" t="s">
        <v>420</v>
      </c>
      <c r="I30" s="2" t="s">
        <v>421</v>
      </c>
      <c r="J30" s="2" t="s">
        <v>422</v>
      </c>
      <c r="K30" s="2" t="s">
        <v>423</v>
      </c>
      <c r="L30" s="2" t="s">
        <v>424</v>
      </c>
      <c r="M30" s="2" t="s">
        <v>425</v>
      </c>
      <c r="N30" s="2" t="s">
        <v>72</v>
      </c>
      <c r="O30" s="2" t="s">
        <v>89</v>
      </c>
      <c r="P30" s="2" t="s">
        <v>426</v>
      </c>
      <c r="Q30" s="2"/>
      <c r="R30" s="2"/>
      <c r="S30" s="2" t="s">
        <v>427</v>
      </c>
      <c r="T30" s="2" t="s">
        <v>428</v>
      </c>
      <c r="U30" s="2" t="s">
        <v>429</v>
      </c>
    </row>
    <row r="31" customFormat="false" ht="46.25" hidden="false" customHeight="false" outlineLevel="0" collapsed="false">
      <c r="A31" s="2" t="s">
        <v>29</v>
      </c>
      <c r="B31" s="2" t="s">
        <v>403</v>
      </c>
      <c r="C31" s="2" t="s">
        <v>430</v>
      </c>
      <c r="D31" s="2" t="s">
        <v>405</v>
      </c>
      <c r="E31" s="2" t="s">
        <v>431</v>
      </c>
      <c r="F31" s="2" t="s">
        <v>81</v>
      </c>
      <c r="G31" s="2" t="s">
        <v>432</v>
      </c>
      <c r="H31" s="2" t="s">
        <v>433</v>
      </c>
      <c r="I31" s="2" t="s">
        <v>434</v>
      </c>
      <c r="J31" s="2" t="s">
        <v>435</v>
      </c>
      <c r="K31" s="2" t="s">
        <v>436</v>
      </c>
      <c r="L31" s="2" t="s">
        <v>437</v>
      </c>
      <c r="M31" s="2" t="s">
        <v>438</v>
      </c>
      <c r="N31" s="2" t="s">
        <v>56</v>
      </c>
      <c r="O31" s="2" t="s">
        <v>89</v>
      </c>
      <c r="P31" s="2" t="s">
        <v>58</v>
      </c>
      <c r="Q31" s="2"/>
      <c r="R31" s="2"/>
      <c r="S31" s="2" t="s">
        <v>439</v>
      </c>
      <c r="T31" s="2" t="s">
        <v>440</v>
      </c>
      <c r="U31" s="2" t="s">
        <v>441</v>
      </c>
    </row>
    <row r="32" customFormat="false" ht="57.45" hidden="false" customHeight="false" outlineLevel="0" collapsed="false">
      <c r="A32" s="2" t="s">
        <v>29</v>
      </c>
      <c r="B32" s="2" t="s">
        <v>403</v>
      </c>
      <c r="C32" s="2" t="s">
        <v>442</v>
      </c>
      <c r="D32" s="2" t="s">
        <v>405</v>
      </c>
      <c r="E32" s="2" t="s">
        <v>443</v>
      </c>
      <c r="F32" s="2" t="s">
        <v>81</v>
      </c>
      <c r="G32" s="2" t="s">
        <v>444</v>
      </c>
      <c r="H32" s="2" t="s">
        <v>445</v>
      </c>
      <c r="I32" s="2" t="s">
        <v>446</v>
      </c>
      <c r="J32" s="2" t="s">
        <v>57</v>
      </c>
      <c r="K32" s="2" t="s">
        <v>447</v>
      </c>
      <c r="L32" s="2" t="s">
        <v>448</v>
      </c>
      <c r="M32" s="2" t="s">
        <v>449</v>
      </c>
      <c r="N32" s="2" t="s">
        <v>56</v>
      </c>
      <c r="O32" s="2" t="s">
        <v>89</v>
      </c>
      <c r="P32" s="2" t="s">
        <v>58</v>
      </c>
      <c r="Q32" s="2"/>
      <c r="R32" s="2"/>
      <c r="S32" s="2" t="s">
        <v>450</v>
      </c>
      <c r="T32" s="2" t="s">
        <v>451</v>
      </c>
      <c r="U32" s="2" t="s">
        <v>452</v>
      </c>
    </row>
    <row r="33" customFormat="false" ht="57.45" hidden="false" customHeight="false" outlineLevel="0" collapsed="false">
      <c r="A33" s="2" t="s">
        <v>29</v>
      </c>
      <c r="B33" s="2" t="s">
        <v>453</v>
      </c>
      <c r="C33" s="2" t="s">
        <v>454</v>
      </c>
      <c r="D33" s="2" t="s">
        <v>455</v>
      </c>
      <c r="E33" s="2" t="s">
        <v>456</v>
      </c>
      <c r="F33" s="2" t="s">
        <v>34</v>
      </c>
      <c r="G33" s="2" t="s">
        <v>457</v>
      </c>
      <c r="H33" s="2" t="s">
        <v>458</v>
      </c>
      <c r="I33" s="2" t="s">
        <v>459</v>
      </c>
      <c r="J33" s="2" t="s">
        <v>460</v>
      </c>
      <c r="K33" s="2" t="s">
        <v>461</v>
      </c>
      <c r="L33" s="2" t="s">
        <v>462</v>
      </c>
      <c r="M33" s="2" t="s">
        <v>463</v>
      </c>
      <c r="N33" s="2" t="s">
        <v>56</v>
      </c>
      <c r="O33" s="2" t="s">
        <v>464</v>
      </c>
      <c r="P33" s="2" t="s">
        <v>465</v>
      </c>
      <c r="Q33" s="2"/>
      <c r="R33" s="2"/>
      <c r="S33" s="2" t="s">
        <v>466</v>
      </c>
      <c r="T33" s="2" t="s">
        <v>467</v>
      </c>
      <c r="U33" s="2" t="s">
        <v>468</v>
      </c>
    </row>
    <row r="34" customFormat="false" ht="46.25" hidden="false" customHeight="false" outlineLevel="0" collapsed="false">
      <c r="A34" s="2" t="s">
        <v>29</v>
      </c>
      <c r="B34" s="2" t="s">
        <v>453</v>
      </c>
      <c r="C34" s="2" t="s">
        <v>469</v>
      </c>
      <c r="D34" s="2" t="s">
        <v>455</v>
      </c>
      <c r="E34" s="2" t="s">
        <v>470</v>
      </c>
      <c r="F34" s="2" t="s">
        <v>34</v>
      </c>
      <c r="G34" s="2" t="s">
        <v>471</v>
      </c>
      <c r="H34" s="2" t="s">
        <v>472</v>
      </c>
      <c r="I34" s="2" t="s">
        <v>473</v>
      </c>
      <c r="J34" s="2" t="s">
        <v>57</v>
      </c>
      <c r="K34" s="2" t="s">
        <v>474</v>
      </c>
      <c r="L34" s="2" t="s">
        <v>475</v>
      </c>
      <c r="M34" s="2" t="s">
        <v>476</v>
      </c>
      <c r="N34" s="2" t="s">
        <v>42</v>
      </c>
      <c r="O34" s="2" t="s">
        <v>477</v>
      </c>
      <c r="P34" s="2" t="s">
        <v>478</v>
      </c>
      <c r="Q34" s="2"/>
      <c r="R34" s="2"/>
      <c r="S34" s="2" t="s">
        <v>479</v>
      </c>
      <c r="T34" s="2" t="s">
        <v>480</v>
      </c>
      <c r="U34" s="2" t="s">
        <v>481</v>
      </c>
    </row>
    <row r="35" customFormat="false" ht="46.25" hidden="false" customHeight="false" outlineLevel="0" collapsed="false">
      <c r="A35" s="2" t="s">
        <v>29</v>
      </c>
      <c r="B35" s="2" t="s">
        <v>344</v>
      </c>
      <c r="C35" s="2" t="s">
        <v>482</v>
      </c>
      <c r="D35" s="2" t="s">
        <v>369</v>
      </c>
      <c r="E35" s="2" t="s">
        <v>483</v>
      </c>
      <c r="F35" s="2" t="s">
        <v>193</v>
      </c>
      <c r="G35" s="2" t="s">
        <v>484</v>
      </c>
      <c r="H35" s="2" t="s">
        <v>485</v>
      </c>
      <c r="I35" s="2" t="s">
        <v>486</v>
      </c>
      <c r="J35" s="2" t="s">
        <v>487</v>
      </c>
      <c r="K35" s="2" t="s">
        <v>488</v>
      </c>
      <c r="L35" s="2" t="s">
        <v>489</v>
      </c>
      <c r="M35" s="2" t="s">
        <v>490</v>
      </c>
      <c r="N35" s="2" t="s">
        <v>89</v>
      </c>
      <c r="O35" s="2" t="s">
        <v>89</v>
      </c>
      <c r="P35" s="2" t="s">
        <v>491</v>
      </c>
      <c r="Q35" s="2"/>
      <c r="R35" s="2"/>
      <c r="S35" s="2" t="s">
        <v>492</v>
      </c>
      <c r="T35" s="2" t="s">
        <v>493</v>
      </c>
      <c r="U35" s="2" t="s">
        <v>494</v>
      </c>
    </row>
    <row r="36" customFormat="false" ht="46.25" hidden="false" customHeight="false" outlineLevel="0" collapsed="false">
      <c r="A36" s="2" t="s">
        <v>29</v>
      </c>
      <c r="B36" s="2" t="s">
        <v>453</v>
      </c>
      <c r="C36" s="2" t="s">
        <v>495</v>
      </c>
      <c r="D36" s="2" t="s">
        <v>455</v>
      </c>
      <c r="E36" s="2" t="s">
        <v>496</v>
      </c>
      <c r="F36" s="2" t="s">
        <v>139</v>
      </c>
      <c r="G36" s="2" t="s">
        <v>497</v>
      </c>
      <c r="H36" s="2" t="s">
        <v>498</v>
      </c>
      <c r="I36" s="2" t="s">
        <v>499</v>
      </c>
      <c r="J36" s="2" t="s">
        <v>89</v>
      </c>
      <c r="K36" s="2" t="s">
        <v>500</v>
      </c>
      <c r="L36" s="2" t="s">
        <v>501</v>
      </c>
      <c r="M36" s="2" t="s">
        <v>502</v>
      </c>
      <c r="N36" s="2" t="s">
        <v>42</v>
      </c>
      <c r="O36" s="2" t="s">
        <v>503</v>
      </c>
      <c r="P36" s="2" t="s">
        <v>57</v>
      </c>
      <c r="Q36" s="2"/>
      <c r="R36" s="2"/>
      <c r="S36" s="2" t="s">
        <v>504</v>
      </c>
      <c r="T36" s="2" t="s">
        <v>505</v>
      </c>
      <c r="U36" s="2" t="s">
        <v>506</v>
      </c>
    </row>
    <row r="37" customFormat="false" ht="57.45" hidden="false" customHeight="false" outlineLevel="0" collapsed="false">
      <c r="A37" s="2" t="s">
        <v>29</v>
      </c>
      <c r="B37" s="2" t="s">
        <v>507</v>
      </c>
      <c r="C37" s="2" t="s">
        <v>508</v>
      </c>
      <c r="D37" s="2" t="s">
        <v>509</v>
      </c>
      <c r="E37" s="2" t="s">
        <v>510</v>
      </c>
      <c r="F37" s="2" t="s">
        <v>34</v>
      </c>
      <c r="G37" s="2" t="s">
        <v>511</v>
      </c>
      <c r="H37" s="2" t="s">
        <v>512</v>
      </c>
      <c r="I37" s="2" t="s">
        <v>513</v>
      </c>
      <c r="J37" s="2" t="s">
        <v>197</v>
      </c>
      <c r="K37" s="2" t="s">
        <v>514</v>
      </c>
      <c r="L37" s="2" t="s">
        <v>515</v>
      </c>
      <c r="M37" s="2" t="s">
        <v>516</v>
      </c>
      <c r="N37" s="2" t="s">
        <v>144</v>
      </c>
      <c r="O37" s="2" t="s">
        <v>57</v>
      </c>
      <c r="P37" s="2" t="s">
        <v>517</v>
      </c>
      <c r="Q37" s="2"/>
      <c r="R37" s="2"/>
      <c r="S37" s="2" t="s">
        <v>518</v>
      </c>
      <c r="T37" s="2" t="s">
        <v>519</v>
      </c>
      <c r="U37" s="2" t="s">
        <v>520</v>
      </c>
    </row>
    <row r="38" customFormat="false" ht="68.65" hidden="false" customHeight="false" outlineLevel="0" collapsed="false">
      <c r="A38" s="2" t="s">
        <v>29</v>
      </c>
      <c r="B38" s="2" t="s">
        <v>521</v>
      </c>
      <c r="C38" s="2" t="s">
        <v>522</v>
      </c>
      <c r="D38" s="2" t="s">
        <v>523</v>
      </c>
      <c r="E38" s="2" t="s">
        <v>524</v>
      </c>
      <c r="F38" s="2" t="s">
        <v>34</v>
      </c>
      <c r="G38" s="2" t="s">
        <v>525</v>
      </c>
      <c r="H38" s="2" t="s">
        <v>526</v>
      </c>
      <c r="I38" s="2" t="s">
        <v>527</v>
      </c>
      <c r="J38" s="2" t="s">
        <v>528</v>
      </c>
      <c r="K38" s="2" t="s">
        <v>529</v>
      </c>
      <c r="L38" s="2" t="s">
        <v>412</v>
      </c>
      <c r="M38" s="2" t="s">
        <v>530</v>
      </c>
      <c r="N38" s="2" t="s">
        <v>42</v>
      </c>
      <c r="O38" s="2" t="s">
        <v>57</v>
      </c>
      <c r="P38" s="2" t="s">
        <v>531</v>
      </c>
      <c r="Q38" s="2"/>
      <c r="R38" s="2"/>
      <c r="S38" s="2" t="s">
        <v>532</v>
      </c>
      <c r="T38" s="2" t="s">
        <v>533</v>
      </c>
      <c r="U38" s="2" t="s">
        <v>534</v>
      </c>
    </row>
    <row r="39" customFormat="false" ht="46.25" hidden="false" customHeight="false" outlineLevel="0" collapsed="false">
      <c r="A39" s="2" t="s">
        <v>29</v>
      </c>
      <c r="B39" s="2" t="s">
        <v>535</v>
      </c>
      <c r="C39" s="2" t="s">
        <v>536</v>
      </c>
      <c r="D39" s="2" t="s">
        <v>523</v>
      </c>
      <c r="E39" s="2" t="s">
        <v>537</v>
      </c>
      <c r="F39" s="2" t="s">
        <v>81</v>
      </c>
      <c r="G39" s="2" t="s">
        <v>538</v>
      </c>
      <c r="H39" s="2" t="s">
        <v>539</v>
      </c>
      <c r="I39" s="2" t="s">
        <v>540</v>
      </c>
      <c r="J39" s="2" t="s">
        <v>541</v>
      </c>
      <c r="K39" s="2" t="s">
        <v>542</v>
      </c>
      <c r="L39" s="2" t="s">
        <v>543</v>
      </c>
      <c r="M39" s="2" t="s">
        <v>544</v>
      </c>
      <c r="N39" s="2" t="s">
        <v>72</v>
      </c>
      <c r="O39" s="2" t="s">
        <v>89</v>
      </c>
      <c r="P39" s="2" t="s">
        <v>545</v>
      </c>
      <c r="Q39" s="2"/>
      <c r="R39" s="2"/>
      <c r="S39" s="2" t="s">
        <v>546</v>
      </c>
      <c r="T39" s="2" t="s">
        <v>547</v>
      </c>
      <c r="U39" s="2" t="s">
        <v>548</v>
      </c>
    </row>
    <row r="40" customFormat="false" ht="68.65" hidden="false" customHeight="false" outlineLevel="0" collapsed="false">
      <c r="A40" s="2" t="s">
        <v>29</v>
      </c>
      <c r="B40" s="2" t="s">
        <v>521</v>
      </c>
      <c r="C40" s="2" t="s">
        <v>549</v>
      </c>
      <c r="D40" s="2" t="s">
        <v>550</v>
      </c>
      <c r="E40" s="2" t="s">
        <v>551</v>
      </c>
      <c r="F40" s="2" t="s">
        <v>552</v>
      </c>
      <c r="G40" s="2" t="s">
        <v>553</v>
      </c>
      <c r="H40" s="2" t="s">
        <v>89</v>
      </c>
      <c r="I40" s="2" t="s">
        <v>89</v>
      </c>
      <c r="J40" s="2" t="s">
        <v>89</v>
      </c>
      <c r="K40" s="2" t="s">
        <v>554</v>
      </c>
      <c r="L40" s="2" t="s">
        <v>555</v>
      </c>
      <c r="M40" s="2" t="s">
        <v>556</v>
      </c>
      <c r="N40" s="2" t="s">
        <v>89</v>
      </c>
      <c r="O40" s="2" t="s">
        <v>89</v>
      </c>
      <c r="P40" s="2" t="s">
        <v>557</v>
      </c>
      <c r="Q40" s="2"/>
      <c r="R40" s="2"/>
      <c r="S40" s="2" t="s">
        <v>558</v>
      </c>
      <c r="T40" s="2" t="s">
        <v>559</v>
      </c>
      <c r="U40" s="2" t="s">
        <v>560</v>
      </c>
    </row>
    <row r="41" customFormat="false" ht="46.25" hidden="false" customHeight="false" outlineLevel="0" collapsed="false">
      <c r="A41" s="2" t="s">
        <v>29</v>
      </c>
      <c r="B41" s="2" t="s">
        <v>561</v>
      </c>
      <c r="C41" s="2" t="s">
        <v>562</v>
      </c>
      <c r="D41" s="2" t="s">
        <v>563</v>
      </c>
      <c r="E41" s="2" t="s">
        <v>564</v>
      </c>
      <c r="F41" s="2" t="s">
        <v>66</v>
      </c>
      <c r="G41" s="2" t="s">
        <v>372</v>
      </c>
      <c r="H41" s="2" t="s">
        <v>57</v>
      </c>
      <c r="I41" s="2" t="s">
        <v>565</v>
      </c>
      <c r="J41" s="2" t="s">
        <v>57</v>
      </c>
      <c r="K41" s="2" t="s">
        <v>566</v>
      </c>
      <c r="L41" s="2" t="s">
        <v>567</v>
      </c>
      <c r="M41" s="2" t="s">
        <v>568</v>
      </c>
      <c r="N41" s="2" t="s">
        <v>144</v>
      </c>
      <c r="O41" s="2" t="s">
        <v>57</v>
      </c>
      <c r="P41" s="2" t="s">
        <v>569</v>
      </c>
      <c r="Q41" s="2"/>
      <c r="R41" s="2"/>
      <c r="S41" s="2" t="s">
        <v>570</v>
      </c>
      <c r="T41" s="2" t="s">
        <v>571</v>
      </c>
      <c r="U41" s="2" t="s">
        <v>572</v>
      </c>
    </row>
    <row r="42" customFormat="false" ht="46.25" hidden="false" customHeight="false" outlineLevel="0" collapsed="false">
      <c r="A42" s="2" t="s">
        <v>29</v>
      </c>
      <c r="B42" s="2" t="s">
        <v>561</v>
      </c>
      <c r="C42" s="2" t="s">
        <v>573</v>
      </c>
      <c r="D42" s="2" t="s">
        <v>563</v>
      </c>
      <c r="E42" s="2" t="s">
        <v>574</v>
      </c>
      <c r="F42" s="2" t="s">
        <v>66</v>
      </c>
      <c r="G42" s="2" t="s">
        <v>575</v>
      </c>
      <c r="H42" s="2" t="s">
        <v>57</v>
      </c>
      <c r="I42" s="2" t="s">
        <v>359</v>
      </c>
      <c r="J42" s="2" t="s">
        <v>57</v>
      </c>
      <c r="K42" s="2" t="s">
        <v>576</v>
      </c>
      <c r="L42" s="2" t="s">
        <v>577</v>
      </c>
      <c r="M42" s="2" t="s">
        <v>578</v>
      </c>
      <c r="N42" s="2" t="s">
        <v>144</v>
      </c>
      <c r="O42" s="2" t="s">
        <v>57</v>
      </c>
      <c r="P42" s="2" t="s">
        <v>57</v>
      </c>
      <c r="Q42" s="2"/>
      <c r="R42" s="2"/>
      <c r="S42" s="2" t="s">
        <v>579</v>
      </c>
      <c r="T42" s="2" t="s">
        <v>580</v>
      </c>
      <c r="U42" s="2" t="s">
        <v>581</v>
      </c>
    </row>
    <row r="43" customFormat="false" ht="57.45" hidden="false" customHeight="false" outlineLevel="0" collapsed="false">
      <c r="A43" s="2" t="s">
        <v>29</v>
      </c>
      <c r="B43" s="2" t="s">
        <v>561</v>
      </c>
      <c r="C43" s="2" t="s">
        <v>582</v>
      </c>
      <c r="D43" s="2" t="s">
        <v>583</v>
      </c>
      <c r="E43" s="2" t="s">
        <v>584</v>
      </c>
      <c r="F43" s="2" t="s">
        <v>347</v>
      </c>
      <c r="G43" s="2" t="s">
        <v>585</v>
      </c>
      <c r="H43" s="2" t="s">
        <v>586</v>
      </c>
      <c r="I43" s="2" t="s">
        <v>587</v>
      </c>
      <c r="J43" s="2" t="s">
        <v>588</v>
      </c>
      <c r="K43" s="2" t="s">
        <v>589</v>
      </c>
      <c r="L43" s="2" t="s">
        <v>590</v>
      </c>
      <c r="M43" s="2" t="s">
        <v>591</v>
      </c>
      <c r="N43" s="2" t="s">
        <v>56</v>
      </c>
      <c r="O43" s="2" t="s">
        <v>592</v>
      </c>
      <c r="P43" s="2" t="s">
        <v>593</v>
      </c>
      <c r="Q43" s="2"/>
      <c r="R43" s="2"/>
      <c r="S43" s="2" t="s">
        <v>594</v>
      </c>
      <c r="T43" s="2" t="s">
        <v>595</v>
      </c>
      <c r="U43" s="2" t="s">
        <v>596</v>
      </c>
    </row>
    <row r="44" customFormat="false" ht="46.25" hidden="false" customHeight="false" outlineLevel="0" collapsed="false">
      <c r="A44" s="2" t="s">
        <v>29</v>
      </c>
      <c r="B44" s="2" t="s">
        <v>561</v>
      </c>
      <c r="C44" s="2" t="s">
        <v>597</v>
      </c>
      <c r="D44" s="2" t="s">
        <v>598</v>
      </c>
      <c r="E44" s="2" t="s">
        <v>599</v>
      </c>
      <c r="F44" s="2" t="s">
        <v>193</v>
      </c>
      <c r="G44" s="2" t="s">
        <v>471</v>
      </c>
      <c r="H44" s="2" t="s">
        <v>600</v>
      </c>
      <c r="I44" s="2" t="s">
        <v>601</v>
      </c>
      <c r="J44" s="2" t="s">
        <v>156</v>
      </c>
      <c r="K44" s="2" t="s">
        <v>602</v>
      </c>
      <c r="L44" s="2" t="s">
        <v>603</v>
      </c>
      <c r="M44" s="2" t="s">
        <v>604</v>
      </c>
      <c r="N44" s="2" t="s">
        <v>89</v>
      </c>
      <c r="O44" s="2" t="s">
        <v>89</v>
      </c>
      <c r="P44" s="2" t="s">
        <v>605</v>
      </c>
      <c r="Q44" s="2"/>
      <c r="R44" s="2"/>
      <c r="S44" s="2" t="s">
        <v>606</v>
      </c>
      <c r="T44" s="2" t="s">
        <v>607</v>
      </c>
      <c r="U44" s="2" t="s">
        <v>608</v>
      </c>
    </row>
    <row r="45" customFormat="false" ht="46.25" hidden="false" customHeight="false" outlineLevel="0" collapsed="false">
      <c r="A45" s="2" t="s">
        <v>29</v>
      </c>
      <c r="B45" s="2" t="s">
        <v>609</v>
      </c>
      <c r="C45" s="2" t="s">
        <v>610</v>
      </c>
      <c r="D45" s="2" t="s">
        <v>611</v>
      </c>
      <c r="E45" s="2" t="s">
        <v>612</v>
      </c>
      <c r="F45" s="2" t="s">
        <v>34</v>
      </c>
      <c r="G45" s="2" t="s">
        <v>613</v>
      </c>
      <c r="H45" s="2" t="s">
        <v>614</v>
      </c>
      <c r="I45" s="2" t="s">
        <v>615</v>
      </c>
      <c r="J45" s="2" t="s">
        <v>57</v>
      </c>
      <c r="K45" s="2" t="s">
        <v>610</v>
      </c>
      <c r="L45" s="2" t="s">
        <v>616</v>
      </c>
      <c r="M45" s="2" t="s">
        <v>617</v>
      </c>
      <c r="N45" s="2" t="s">
        <v>42</v>
      </c>
      <c r="O45" s="2" t="s">
        <v>57</v>
      </c>
      <c r="P45" s="2" t="s">
        <v>618</v>
      </c>
      <c r="Q45" s="2"/>
      <c r="R45" s="2"/>
      <c r="S45" s="2" t="s">
        <v>619</v>
      </c>
      <c r="T45" s="2" t="s">
        <v>620</v>
      </c>
      <c r="U45" s="2" t="s">
        <v>621</v>
      </c>
    </row>
    <row r="46" customFormat="false" ht="91" hidden="false" customHeight="false" outlineLevel="0" collapsed="false">
      <c r="A46" s="2" t="s">
        <v>622</v>
      </c>
      <c r="B46" s="2" t="s">
        <v>623</v>
      </c>
      <c r="C46" s="2" t="s">
        <v>624</v>
      </c>
      <c r="D46" s="2" t="s">
        <v>625</v>
      </c>
      <c r="E46" s="2" t="s">
        <v>626</v>
      </c>
      <c r="F46" s="2" t="s">
        <v>627</v>
      </c>
      <c r="G46" s="2" t="s">
        <v>628</v>
      </c>
      <c r="H46" s="2" t="s">
        <v>629</v>
      </c>
      <c r="I46" s="2" t="s">
        <v>630</v>
      </c>
      <c r="J46" s="2" t="s">
        <v>631</v>
      </c>
      <c r="K46" s="2" t="s">
        <v>632</v>
      </c>
      <c r="L46" s="2" t="s">
        <v>633</v>
      </c>
      <c r="M46" s="2" t="s">
        <v>634</v>
      </c>
      <c r="N46" s="2" t="s">
        <v>144</v>
      </c>
      <c r="O46" s="2" t="s">
        <v>635</v>
      </c>
      <c r="P46" s="2" t="s">
        <v>636</v>
      </c>
      <c r="Q46" s="2" t="s">
        <v>637</v>
      </c>
      <c r="R46" s="2"/>
      <c r="S46" s="2" t="s">
        <v>638</v>
      </c>
      <c r="T46" s="2" t="s">
        <v>639</v>
      </c>
      <c r="U46" s="2" t="s">
        <v>640</v>
      </c>
    </row>
    <row r="47" customFormat="false" ht="113.4" hidden="false" customHeight="false" outlineLevel="0" collapsed="false">
      <c r="A47" s="2" t="s">
        <v>622</v>
      </c>
      <c r="B47" s="2" t="s">
        <v>623</v>
      </c>
      <c r="C47" s="2" t="s">
        <v>641</v>
      </c>
      <c r="D47" s="2" t="s">
        <v>642</v>
      </c>
      <c r="E47" s="2" t="s">
        <v>643</v>
      </c>
      <c r="F47" s="2" t="s">
        <v>34</v>
      </c>
      <c r="G47" s="2" t="s">
        <v>644</v>
      </c>
      <c r="H47" s="2" t="s">
        <v>645</v>
      </c>
      <c r="I47" s="2" t="s">
        <v>646</v>
      </c>
      <c r="J47" s="2" t="s">
        <v>647</v>
      </c>
      <c r="K47" s="2" t="s">
        <v>648</v>
      </c>
      <c r="L47" s="2" t="s">
        <v>649</v>
      </c>
      <c r="M47" s="2" t="s">
        <v>650</v>
      </c>
      <c r="N47" s="2" t="s">
        <v>42</v>
      </c>
      <c r="O47" s="2" t="s">
        <v>651</v>
      </c>
      <c r="P47" s="2" t="s">
        <v>652</v>
      </c>
      <c r="Q47" s="2"/>
      <c r="R47" s="2"/>
      <c r="S47" s="2" t="s">
        <v>653</v>
      </c>
      <c r="T47" s="2" t="s">
        <v>654</v>
      </c>
      <c r="U47" s="2" t="s">
        <v>655</v>
      </c>
    </row>
    <row r="48" customFormat="false" ht="91" hidden="false" customHeight="false" outlineLevel="0" collapsed="false">
      <c r="A48" s="2" t="s">
        <v>622</v>
      </c>
      <c r="B48" s="2" t="s">
        <v>623</v>
      </c>
      <c r="C48" s="2" t="s">
        <v>656</v>
      </c>
      <c r="D48" s="2" t="s">
        <v>657</v>
      </c>
      <c r="E48" s="2" t="s">
        <v>658</v>
      </c>
      <c r="F48" s="2" t="s">
        <v>66</v>
      </c>
      <c r="G48" s="2" t="s">
        <v>659</v>
      </c>
      <c r="H48" s="2" t="s">
        <v>660</v>
      </c>
      <c r="I48" s="2" t="s">
        <v>661</v>
      </c>
      <c r="J48" s="2" t="s">
        <v>662</v>
      </c>
      <c r="K48" s="2" t="s">
        <v>663</v>
      </c>
      <c r="L48" s="2" t="s">
        <v>664</v>
      </c>
      <c r="M48" s="2" t="s">
        <v>665</v>
      </c>
      <c r="N48" s="2" t="s">
        <v>56</v>
      </c>
      <c r="O48" s="2" t="s">
        <v>666</v>
      </c>
      <c r="P48" s="2" t="s">
        <v>667</v>
      </c>
      <c r="Q48" s="2"/>
      <c r="R48" s="2"/>
      <c r="S48" s="2" t="s">
        <v>668</v>
      </c>
      <c r="T48" s="2" t="s">
        <v>669</v>
      </c>
      <c r="U48" s="2" t="s">
        <v>670</v>
      </c>
    </row>
    <row r="49" customFormat="false" ht="57.45" hidden="false" customHeight="false" outlineLevel="0" collapsed="false">
      <c r="A49" s="2" t="s">
        <v>622</v>
      </c>
      <c r="B49" s="2" t="s">
        <v>671</v>
      </c>
      <c r="C49" s="2" t="s">
        <v>672</v>
      </c>
      <c r="D49" s="2" t="s">
        <v>673</v>
      </c>
      <c r="E49" s="2" t="s">
        <v>674</v>
      </c>
      <c r="F49" s="2" t="s">
        <v>34</v>
      </c>
      <c r="G49" s="2" t="s">
        <v>675</v>
      </c>
      <c r="H49" s="2" t="s">
        <v>676</v>
      </c>
      <c r="I49" s="2" t="s">
        <v>677</v>
      </c>
      <c r="J49" s="2" t="s">
        <v>678</v>
      </c>
      <c r="K49" s="2" t="s">
        <v>679</v>
      </c>
      <c r="L49" s="2" t="s">
        <v>680</v>
      </c>
      <c r="M49" s="2" t="s">
        <v>681</v>
      </c>
      <c r="N49" s="2" t="s">
        <v>42</v>
      </c>
      <c r="O49" s="2" t="s">
        <v>682</v>
      </c>
      <c r="P49" s="2" t="s">
        <v>683</v>
      </c>
      <c r="Q49" s="2" t="s">
        <v>684</v>
      </c>
      <c r="R49" s="2" t="s">
        <v>666</v>
      </c>
      <c r="S49" s="2" t="s">
        <v>685</v>
      </c>
      <c r="T49" s="2" t="s">
        <v>686</v>
      </c>
      <c r="U49" s="2" t="s">
        <v>687</v>
      </c>
    </row>
    <row r="50" customFormat="false" ht="113.4" hidden="false" customHeight="false" outlineLevel="0" collapsed="false">
      <c r="A50" s="2" t="s">
        <v>622</v>
      </c>
      <c r="B50" s="2" t="s">
        <v>688</v>
      </c>
      <c r="C50" s="2" t="s">
        <v>689</v>
      </c>
      <c r="D50" s="2" t="s">
        <v>690</v>
      </c>
      <c r="E50" s="2" t="s">
        <v>691</v>
      </c>
      <c r="F50" s="2" t="s">
        <v>139</v>
      </c>
      <c r="G50" s="2" t="s">
        <v>692</v>
      </c>
      <c r="H50" s="2" t="s">
        <v>693</v>
      </c>
      <c r="I50" s="2" t="s">
        <v>694</v>
      </c>
      <c r="J50" s="2" t="s">
        <v>693</v>
      </c>
      <c r="K50" s="2" t="s">
        <v>695</v>
      </c>
      <c r="L50" s="2" t="s">
        <v>696</v>
      </c>
      <c r="M50" s="2" t="s">
        <v>697</v>
      </c>
      <c r="N50" s="2" t="s">
        <v>56</v>
      </c>
      <c r="O50" s="2" t="s">
        <v>698</v>
      </c>
      <c r="P50" s="2" t="s">
        <v>699</v>
      </c>
      <c r="Q50" s="2"/>
      <c r="R50" s="2"/>
      <c r="S50" s="2" t="s">
        <v>700</v>
      </c>
      <c r="T50" s="2" t="s">
        <v>701</v>
      </c>
      <c r="U50" s="2" t="s">
        <v>702</v>
      </c>
    </row>
    <row r="51" customFormat="false" ht="113.4" hidden="false" customHeight="false" outlineLevel="0" collapsed="false">
      <c r="A51" s="2" t="s">
        <v>622</v>
      </c>
      <c r="B51" s="2" t="s">
        <v>623</v>
      </c>
      <c r="C51" s="2" t="s">
        <v>703</v>
      </c>
      <c r="D51" s="2" t="s">
        <v>704</v>
      </c>
      <c r="E51" s="2" t="s">
        <v>705</v>
      </c>
      <c r="F51" s="2" t="s">
        <v>66</v>
      </c>
      <c r="G51" s="2" t="s">
        <v>706</v>
      </c>
      <c r="H51" s="2" t="s">
        <v>660</v>
      </c>
      <c r="I51" s="2" t="s">
        <v>707</v>
      </c>
      <c r="J51" s="2" t="s">
        <v>708</v>
      </c>
      <c r="K51" s="2" t="s">
        <v>709</v>
      </c>
      <c r="L51" s="2" t="s">
        <v>710</v>
      </c>
      <c r="M51" s="2" t="s">
        <v>711</v>
      </c>
      <c r="N51" s="2" t="s">
        <v>144</v>
      </c>
      <c r="O51" s="2" t="s">
        <v>666</v>
      </c>
      <c r="P51" s="2" t="s">
        <v>712</v>
      </c>
      <c r="Q51" s="2"/>
      <c r="R51" s="2"/>
      <c r="S51" s="2" t="s">
        <v>713</v>
      </c>
      <c r="T51" s="2" t="s">
        <v>714</v>
      </c>
      <c r="U51" s="2" t="s">
        <v>715</v>
      </c>
    </row>
    <row r="52" customFormat="false" ht="57.45" hidden="false" customHeight="false" outlineLevel="0" collapsed="false">
      <c r="A52" s="2" t="s">
        <v>622</v>
      </c>
      <c r="B52" s="2" t="s">
        <v>716</v>
      </c>
      <c r="C52" s="2" t="s">
        <v>717</v>
      </c>
      <c r="D52" s="2" t="s">
        <v>718</v>
      </c>
      <c r="E52" s="2" t="s">
        <v>719</v>
      </c>
      <c r="F52" s="2" t="s">
        <v>720</v>
      </c>
      <c r="G52" s="2" t="s">
        <v>721</v>
      </c>
      <c r="H52" s="2" t="s">
        <v>666</v>
      </c>
      <c r="I52" s="2" t="s">
        <v>722</v>
      </c>
      <c r="J52" s="2" t="s">
        <v>660</v>
      </c>
      <c r="K52" s="2" t="s">
        <v>723</v>
      </c>
      <c r="L52" s="2" t="s">
        <v>724</v>
      </c>
      <c r="M52" s="2" t="s">
        <v>725</v>
      </c>
      <c r="N52" s="2" t="s">
        <v>144</v>
      </c>
      <c r="O52" s="2" t="s">
        <v>666</v>
      </c>
      <c r="P52" s="2" t="s">
        <v>726</v>
      </c>
      <c r="Q52" s="2"/>
      <c r="R52" s="2"/>
      <c r="S52" s="2" t="s">
        <v>727</v>
      </c>
      <c r="T52" s="2" t="s">
        <v>728</v>
      </c>
      <c r="U52" s="2" t="s">
        <v>729</v>
      </c>
    </row>
    <row r="53" customFormat="false" ht="102.2" hidden="false" customHeight="false" outlineLevel="0" collapsed="false">
      <c r="A53" s="2" t="s">
        <v>622</v>
      </c>
      <c r="B53" s="2" t="s">
        <v>730</v>
      </c>
      <c r="C53" s="2" t="s">
        <v>731</v>
      </c>
      <c r="D53" s="2" t="s">
        <v>732</v>
      </c>
      <c r="E53" s="2" t="s">
        <v>733</v>
      </c>
      <c r="F53" s="2" t="s">
        <v>66</v>
      </c>
      <c r="G53" s="2" t="s">
        <v>734</v>
      </c>
      <c r="H53" s="2" t="s">
        <v>666</v>
      </c>
      <c r="I53" s="2" t="s">
        <v>735</v>
      </c>
      <c r="J53" s="2" t="s">
        <v>736</v>
      </c>
      <c r="K53" s="2" t="s">
        <v>737</v>
      </c>
      <c r="L53" s="2" t="s">
        <v>738</v>
      </c>
      <c r="M53" s="2" t="s">
        <v>739</v>
      </c>
      <c r="N53" s="2" t="s">
        <v>56</v>
      </c>
      <c r="O53" s="2" t="s">
        <v>666</v>
      </c>
      <c r="P53" s="2" t="s">
        <v>660</v>
      </c>
      <c r="Q53" s="2"/>
      <c r="R53" s="2"/>
      <c r="S53" s="2" t="s">
        <v>740</v>
      </c>
      <c r="T53" s="2" t="s">
        <v>741</v>
      </c>
      <c r="U53" s="2" t="s">
        <v>742</v>
      </c>
    </row>
    <row r="54" customFormat="false" ht="68.65" hidden="false" customHeight="false" outlineLevel="0" collapsed="false">
      <c r="A54" s="2" t="s">
        <v>622</v>
      </c>
      <c r="B54" s="2" t="s">
        <v>743</v>
      </c>
      <c r="C54" s="2" t="s">
        <v>744</v>
      </c>
      <c r="D54" s="2" t="s">
        <v>745</v>
      </c>
      <c r="E54" s="2" t="s">
        <v>746</v>
      </c>
      <c r="F54" s="2" t="s">
        <v>66</v>
      </c>
      <c r="G54" s="2" t="s">
        <v>747</v>
      </c>
      <c r="H54" s="2" t="s">
        <v>660</v>
      </c>
      <c r="I54" s="2" t="s">
        <v>748</v>
      </c>
      <c r="J54" s="2" t="s">
        <v>749</v>
      </c>
      <c r="K54" s="2" t="s">
        <v>750</v>
      </c>
      <c r="L54" s="2" t="s">
        <v>751</v>
      </c>
      <c r="M54" s="2" t="s">
        <v>752</v>
      </c>
      <c r="N54" s="2" t="s">
        <v>144</v>
      </c>
      <c r="O54" s="2" t="s">
        <v>666</v>
      </c>
      <c r="P54" s="2" t="s">
        <v>660</v>
      </c>
      <c r="Q54" s="2"/>
      <c r="R54" s="2"/>
      <c r="S54" s="2" t="s">
        <v>753</v>
      </c>
      <c r="T54" s="2" t="s">
        <v>754</v>
      </c>
      <c r="U54" s="2" t="s">
        <v>755</v>
      </c>
    </row>
    <row r="55" customFormat="false" ht="68.65" hidden="false" customHeight="false" outlineLevel="0" collapsed="false">
      <c r="A55" s="2" t="s">
        <v>622</v>
      </c>
      <c r="B55" s="2" t="s">
        <v>688</v>
      </c>
      <c r="C55" s="2" t="s">
        <v>756</v>
      </c>
      <c r="D55" s="2" t="s">
        <v>757</v>
      </c>
      <c r="E55" s="2" t="s">
        <v>758</v>
      </c>
      <c r="F55" s="2" t="s">
        <v>139</v>
      </c>
      <c r="G55" s="2" t="s">
        <v>759</v>
      </c>
      <c r="H55" s="2" t="s">
        <v>693</v>
      </c>
      <c r="I55" s="2" t="s">
        <v>760</v>
      </c>
      <c r="J55" s="2" t="s">
        <v>693</v>
      </c>
      <c r="K55" s="2" t="s">
        <v>666</v>
      </c>
      <c r="L55" s="2" t="s">
        <v>761</v>
      </c>
      <c r="M55" s="2" t="s">
        <v>762</v>
      </c>
      <c r="N55" s="2" t="s">
        <v>144</v>
      </c>
      <c r="O55" s="2" t="s">
        <v>666</v>
      </c>
      <c r="P55" s="2" t="s">
        <v>763</v>
      </c>
      <c r="Q55" s="2"/>
      <c r="R55" s="2"/>
      <c r="S55" s="2" t="s">
        <v>764</v>
      </c>
      <c r="T55" s="2" t="s">
        <v>765</v>
      </c>
      <c r="U55" s="2" t="s">
        <v>766</v>
      </c>
    </row>
    <row r="56" customFormat="false" ht="79.85" hidden="false" customHeight="false" outlineLevel="0" collapsed="false">
      <c r="A56" s="2" t="s">
        <v>622</v>
      </c>
      <c r="B56" s="2" t="s">
        <v>688</v>
      </c>
      <c r="C56" s="2" t="s">
        <v>767</v>
      </c>
      <c r="D56" s="2" t="s">
        <v>768</v>
      </c>
      <c r="E56" s="2" t="s">
        <v>769</v>
      </c>
      <c r="F56" s="2" t="s">
        <v>139</v>
      </c>
      <c r="G56" s="2" t="s">
        <v>770</v>
      </c>
      <c r="H56" s="2" t="s">
        <v>693</v>
      </c>
      <c r="I56" s="2" t="s">
        <v>771</v>
      </c>
      <c r="J56" s="2" t="s">
        <v>693</v>
      </c>
      <c r="K56" s="2" t="s">
        <v>772</v>
      </c>
      <c r="L56" s="2" t="s">
        <v>773</v>
      </c>
      <c r="M56" s="2" t="s">
        <v>774</v>
      </c>
      <c r="N56" s="2" t="s">
        <v>56</v>
      </c>
      <c r="O56" s="2" t="s">
        <v>666</v>
      </c>
      <c r="P56" s="2" t="s">
        <v>666</v>
      </c>
      <c r="Q56" s="2"/>
      <c r="R56" s="2"/>
      <c r="S56" s="2" t="s">
        <v>775</v>
      </c>
      <c r="T56" s="2" t="s">
        <v>776</v>
      </c>
      <c r="U56" s="2" t="s">
        <v>777</v>
      </c>
    </row>
    <row r="57" customFormat="false" ht="68.65" hidden="false" customHeight="false" outlineLevel="0" collapsed="false">
      <c r="A57" s="2" t="s">
        <v>622</v>
      </c>
      <c r="B57" s="2" t="s">
        <v>778</v>
      </c>
      <c r="C57" s="2" t="s">
        <v>779</v>
      </c>
      <c r="D57" s="2" t="s">
        <v>780</v>
      </c>
      <c r="E57" s="2" t="s">
        <v>781</v>
      </c>
      <c r="F57" s="2" t="s">
        <v>34</v>
      </c>
      <c r="G57" s="2" t="s">
        <v>782</v>
      </c>
      <c r="H57" s="2" t="s">
        <v>783</v>
      </c>
      <c r="I57" s="2" t="s">
        <v>784</v>
      </c>
      <c r="J57" s="2" t="s">
        <v>785</v>
      </c>
      <c r="K57" s="2" t="s">
        <v>786</v>
      </c>
      <c r="L57" s="2" t="s">
        <v>787</v>
      </c>
      <c r="M57" s="2" t="s">
        <v>788</v>
      </c>
      <c r="N57" s="2" t="s">
        <v>144</v>
      </c>
      <c r="O57" s="2" t="s">
        <v>789</v>
      </c>
      <c r="P57" s="2" t="s">
        <v>790</v>
      </c>
      <c r="Q57" s="2" t="s">
        <v>791</v>
      </c>
      <c r="R57" s="2"/>
      <c r="S57" s="2" t="s">
        <v>792</v>
      </c>
      <c r="T57" s="2" t="s">
        <v>793</v>
      </c>
      <c r="U57" s="2" t="s">
        <v>794</v>
      </c>
    </row>
    <row r="58" customFormat="false" ht="68.65" hidden="false" customHeight="false" outlineLevel="0" collapsed="false">
      <c r="A58" s="2" t="s">
        <v>622</v>
      </c>
      <c r="B58" s="2" t="s">
        <v>795</v>
      </c>
      <c r="C58" s="2" t="s">
        <v>796</v>
      </c>
      <c r="D58" s="2" t="s">
        <v>797</v>
      </c>
      <c r="E58" s="2" t="s">
        <v>798</v>
      </c>
      <c r="F58" s="2" t="s">
        <v>34</v>
      </c>
      <c r="G58" s="2" t="s">
        <v>799</v>
      </c>
      <c r="H58" s="2" t="s">
        <v>800</v>
      </c>
      <c r="I58" s="2" t="s">
        <v>801</v>
      </c>
      <c r="J58" s="2" t="s">
        <v>802</v>
      </c>
      <c r="K58" s="2" t="s">
        <v>803</v>
      </c>
      <c r="L58" s="2" t="s">
        <v>804</v>
      </c>
      <c r="M58" s="2" t="s">
        <v>805</v>
      </c>
      <c r="N58" s="2" t="s">
        <v>56</v>
      </c>
      <c r="O58" s="2" t="s">
        <v>806</v>
      </c>
      <c r="P58" s="2" t="s">
        <v>807</v>
      </c>
      <c r="Q58" s="2" t="s">
        <v>808</v>
      </c>
      <c r="R58" s="2"/>
      <c r="S58" s="2" t="s">
        <v>809</v>
      </c>
      <c r="T58" s="2" t="s">
        <v>810</v>
      </c>
      <c r="U58" s="2" t="s">
        <v>811</v>
      </c>
    </row>
    <row r="59" customFormat="false" ht="57.45" hidden="false" customHeight="false" outlineLevel="0" collapsed="false">
      <c r="A59" s="2" t="s">
        <v>622</v>
      </c>
      <c r="B59" s="2" t="s">
        <v>795</v>
      </c>
      <c r="C59" s="2" t="s">
        <v>812</v>
      </c>
      <c r="D59" s="2" t="s">
        <v>813</v>
      </c>
      <c r="E59" s="2" t="s">
        <v>814</v>
      </c>
      <c r="F59" s="2" t="s">
        <v>34</v>
      </c>
      <c r="G59" s="2" t="s">
        <v>815</v>
      </c>
      <c r="H59" s="2" t="s">
        <v>816</v>
      </c>
      <c r="I59" s="2" t="s">
        <v>817</v>
      </c>
      <c r="J59" s="2" t="s">
        <v>818</v>
      </c>
      <c r="K59" s="2" t="s">
        <v>819</v>
      </c>
      <c r="L59" s="2" t="s">
        <v>820</v>
      </c>
      <c r="M59" s="2" t="s">
        <v>821</v>
      </c>
      <c r="N59" s="2" t="s">
        <v>144</v>
      </c>
      <c r="O59" s="2" t="s">
        <v>822</v>
      </c>
      <c r="P59" s="2" t="s">
        <v>823</v>
      </c>
      <c r="Q59" s="2"/>
      <c r="R59" s="2"/>
      <c r="S59" s="2" t="s">
        <v>824</v>
      </c>
      <c r="T59" s="2" t="s">
        <v>825</v>
      </c>
      <c r="U59" s="2" t="s">
        <v>826</v>
      </c>
    </row>
    <row r="60" customFormat="false" ht="79.85" hidden="false" customHeight="false" outlineLevel="0" collapsed="false">
      <c r="A60" s="2" t="s">
        <v>622</v>
      </c>
      <c r="B60" s="2" t="s">
        <v>795</v>
      </c>
      <c r="C60" s="2" t="s">
        <v>827</v>
      </c>
      <c r="D60" s="2" t="s">
        <v>828</v>
      </c>
      <c r="E60" s="2" t="s">
        <v>829</v>
      </c>
      <c r="F60" s="2" t="s">
        <v>34</v>
      </c>
      <c r="G60" s="2" t="s">
        <v>830</v>
      </c>
      <c r="H60" s="2" t="s">
        <v>800</v>
      </c>
      <c r="I60" s="2" t="s">
        <v>817</v>
      </c>
      <c r="J60" s="2" t="s">
        <v>831</v>
      </c>
      <c r="K60" s="2" t="s">
        <v>832</v>
      </c>
      <c r="L60" s="2" t="s">
        <v>833</v>
      </c>
      <c r="M60" s="2" t="s">
        <v>834</v>
      </c>
      <c r="N60" s="2" t="s">
        <v>144</v>
      </c>
      <c r="O60" s="2" t="s">
        <v>666</v>
      </c>
      <c r="P60" s="2" t="s">
        <v>835</v>
      </c>
      <c r="Q60" s="2"/>
      <c r="R60" s="2"/>
      <c r="S60" s="2" t="s">
        <v>836</v>
      </c>
      <c r="T60" s="2" t="s">
        <v>837</v>
      </c>
      <c r="U60" s="2" t="s">
        <v>838</v>
      </c>
    </row>
    <row r="61" customFormat="false" ht="113.4" hidden="false" customHeight="false" outlineLevel="0" collapsed="false">
      <c r="A61" s="2" t="s">
        <v>622</v>
      </c>
      <c r="B61" s="2" t="s">
        <v>839</v>
      </c>
      <c r="C61" s="2" t="s">
        <v>840</v>
      </c>
      <c r="D61" s="2" t="s">
        <v>841</v>
      </c>
      <c r="E61" s="2" t="s">
        <v>842</v>
      </c>
      <c r="F61" s="2" t="s">
        <v>34</v>
      </c>
      <c r="G61" s="2" t="s">
        <v>843</v>
      </c>
      <c r="H61" s="2" t="s">
        <v>844</v>
      </c>
      <c r="I61" s="2" t="s">
        <v>845</v>
      </c>
      <c r="J61" s="2" t="s">
        <v>846</v>
      </c>
      <c r="K61" s="2" t="s">
        <v>847</v>
      </c>
      <c r="L61" s="2" t="s">
        <v>848</v>
      </c>
      <c r="M61" s="2" t="s">
        <v>849</v>
      </c>
      <c r="N61" s="2" t="s">
        <v>42</v>
      </c>
      <c r="O61" s="2" t="s">
        <v>850</v>
      </c>
      <c r="P61" s="2" t="s">
        <v>851</v>
      </c>
      <c r="Q61" s="2" t="s">
        <v>852</v>
      </c>
      <c r="R61" s="2"/>
      <c r="S61" s="2" t="s">
        <v>853</v>
      </c>
      <c r="T61" s="2" t="s">
        <v>854</v>
      </c>
      <c r="U61" s="2" t="s">
        <v>855</v>
      </c>
    </row>
    <row r="62" customFormat="false" ht="57.45" hidden="false" customHeight="false" outlineLevel="0" collapsed="false">
      <c r="A62" s="2" t="s">
        <v>622</v>
      </c>
      <c r="B62" s="2" t="s">
        <v>856</v>
      </c>
      <c r="C62" s="2" t="s">
        <v>857</v>
      </c>
      <c r="D62" s="2" t="s">
        <v>858</v>
      </c>
      <c r="E62" s="2" t="s">
        <v>859</v>
      </c>
      <c r="F62" s="2" t="s">
        <v>34</v>
      </c>
      <c r="G62" s="2" t="s">
        <v>860</v>
      </c>
      <c r="H62" s="2" t="s">
        <v>861</v>
      </c>
      <c r="I62" s="2" t="s">
        <v>862</v>
      </c>
      <c r="J62" s="2" t="s">
        <v>863</v>
      </c>
      <c r="K62" s="2" t="s">
        <v>864</v>
      </c>
      <c r="L62" s="2" t="s">
        <v>865</v>
      </c>
      <c r="M62" s="2" t="s">
        <v>866</v>
      </c>
      <c r="N62" s="2" t="s">
        <v>42</v>
      </c>
      <c r="O62" s="2" t="s">
        <v>867</v>
      </c>
      <c r="P62" s="2" t="s">
        <v>660</v>
      </c>
      <c r="Q62" s="2"/>
      <c r="R62" s="2"/>
      <c r="S62" s="2" t="s">
        <v>868</v>
      </c>
      <c r="T62" s="2" t="s">
        <v>869</v>
      </c>
      <c r="U62" s="2" t="s">
        <v>870</v>
      </c>
    </row>
    <row r="63" customFormat="false" ht="57.45" hidden="false" customHeight="false" outlineLevel="0" collapsed="false">
      <c r="A63" s="2" t="s">
        <v>622</v>
      </c>
      <c r="B63" s="2" t="s">
        <v>871</v>
      </c>
      <c r="C63" s="2" t="s">
        <v>872</v>
      </c>
      <c r="D63" s="2" t="s">
        <v>873</v>
      </c>
      <c r="E63" s="2" t="s">
        <v>874</v>
      </c>
      <c r="F63" s="2" t="s">
        <v>34</v>
      </c>
      <c r="G63" s="2" t="s">
        <v>321</v>
      </c>
      <c r="H63" s="2" t="s">
        <v>875</v>
      </c>
      <c r="I63" s="2" t="s">
        <v>876</v>
      </c>
      <c r="J63" s="2" t="s">
        <v>877</v>
      </c>
      <c r="K63" s="2" t="s">
        <v>878</v>
      </c>
      <c r="L63" s="2" t="s">
        <v>879</v>
      </c>
      <c r="M63" s="2" t="s">
        <v>880</v>
      </c>
      <c r="N63" s="2" t="s">
        <v>144</v>
      </c>
      <c r="O63" s="2" t="s">
        <v>881</v>
      </c>
      <c r="P63" s="2" t="s">
        <v>882</v>
      </c>
      <c r="Q63" s="2" t="s">
        <v>883</v>
      </c>
      <c r="R63" s="2"/>
      <c r="S63" s="2" t="s">
        <v>884</v>
      </c>
      <c r="T63" s="2" t="s">
        <v>885</v>
      </c>
      <c r="U63" s="2" t="s">
        <v>886</v>
      </c>
    </row>
    <row r="64" customFormat="false" ht="57.45" hidden="false" customHeight="false" outlineLevel="0" collapsed="false">
      <c r="A64" s="2" t="s">
        <v>622</v>
      </c>
      <c r="B64" s="2" t="s">
        <v>887</v>
      </c>
      <c r="C64" s="2" t="s">
        <v>888</v>
      </c>
      <c r="D64" s="2" t="s">
        <v>889</v>
      </c>
      <c r="E64" s="2" t="s">
        <v>890</v>
      </c>
      <c r="F64" s="2" t="s">
        <v>347</v>
      </c>
      <c r="G64" s="2" t="s">
        <v>891</v>
      </c>
      <c r="H64" s="2" t="s">
        <v>892</v>
      </c>
      <c r="I64" s="2" t="s">
        <v>893</v>
      </c>
      <c r="J64" s="2" t="s">
        <v>877</v>
      </c>
      <c r="K64" s="2" t="s">
        <v>894</v>
      </c>
      <c r="L64" s="2" t="s">
        <v>895</v>
      </c>
      <c r="M64" s="2" t="s">
        <v>896</v>
      </c>
      <c r="N64" s="2" t="s">
        <v>144</v>
      </c>
      <c r="O64" s="2" t="s">
        <v>897</v>
      </c>
      <c r="P64" s="2" t="s">
        <v>660</v>
      </c>
      <c r="Q64" s="2"/>
      <c r="R64" s="2"/>
      <c r="S64" s="2" t="s">
        <v>898</v>
      </c>
      <c r="T64" s="2" t="s">
        <v>899</v>
      </c>
      <c r="U64" s="2" t="s">
        <v>900</v>
      </c>
    </row>
    <row r="65" customFormat="false" ht="79.85" hidden="false" customHeight="false" outlineLevel="0" collapsed="false">
      <c r="A65" s="2" t="s">
        <v>622</v>
      </c>
      <c r="B65" s="2" t="s">
        <v>778</v>
      </c>
      <c r="C65" s="2" t="s">
        <v>901</v>
      </c>
      <c r="D65" s="2" t="s">
        <v>902</v>
      </c>
      <c r="E65" s="2" t="s">
        <v>903</v>
      </c>
      <c r="F65" s="2" t="s">
        <v>34</v>
      </c>
      <c r="G65" s="2" t="s">
        <v>904</v>
      </c>
      <c r="H65" s="2" t="s">
        <v>905</v>
      </c>
      <c r="I65" s="2" t="s">
        <v>906</v>
      </c>
      <c r="J65" s="2" t="s">
        <v>225</v>
      </c>
      <c r="K65" s="2" t="s">
        <v>907</v>
      </c>
      <c r="L65" s="2" t="s">
        <v>908</v>
      </c>
      <c r="M65" s="2" t="s">
        <v>909</v>
      </c>
      <c r="N65" s="2" t="s">
        <v>144</v>
      </c>
      <c r="O65" s="2" t="s">
        <v>910</v>
      </c>
      <c r="P65" s="2" t="s">
        <v>666</v>
      </c>
      <c r="Q65" s="2"/>
      <c r="R65" s="2"/>
      <c r="S65" s="2" t="s">
        <v>911</v>
      </c>
      <c r="T65" s="2" t="s">
        <v>912</v>
      </c>
      <c r="U65" s="2" t="s">
        <v>913</v>
      </c>
    </row>
    <row r="66" customFormat="false" ht="79.85" hidden="false" customHeight="false" outlineLevel="0" collapsed="false">
      <c r="A66" s="2" t="s">
        <v>622</v>
      </c>
      <c r="B66" s="2" t="s">
        <v>914</v>
      </c>
      <c r="C66" s="2" t="s">
        <v>915</v>
      </c>
      <c r="D66" s="2" t="s">
        <v>916</v>
      </c>
      <c r="E66" s="2" t="s">
        <v>917</v>
      </c>
      <c r="F66" s="2" t="s">
        <v>34</v>
      </c>
      <c r="G66" s="2" t="s">
        <v>918</v>
      </c>
      <c r="H66" s="2" t="s">
        <v>919</v>
      </c>
      <c r="I66" s="2" t="s">
        <v>424</v>
      </c>
      <c r="J66" s="2" t="s">
        <v>920</v>
      </c>
      <c r="K66" s="2" t="s">
        <v>921</v>
      </c>
      <c r="L66" s="2" t="s">
        <v>922</v>
      </c>
      <c r="M66" s="2" t="s">
        <v>923</v>
      </c>
      <c r="N66" s="2" t="s">
        <v>42</v>
      </c>
      <c r="O66" s="2" t="s">
        <v>924</v>
      </c>
      <c r="P66" s="2" t="s">
        <v>660</v>
      </c>
      <c r="Q66" s="2"/>
      <c r="R66" s="2"/>
      <c r="S66" s="2" t="s">
        <v>925</v>
      </c>
      <c r="T66" s="2" t="s">
        <v>926</v>
      </c>
      <c r="U66" s="2" t="s">
        <v>927</v>
      </c>
    </row>
    <row r="67" customFormat="false" ht="68.65" hidden="false" customHeight="false" outlineLevel="0" collapsed="false">
      <c r="A67" s="2" t="s">
        <v>622</v>
      </c>
      <c r="B67" s="2" t="s">
        <v>928</v>
      </c>
      <c r="C67" s="2" t="s">
        <v>929</v>
      </c>
      <c r="D67" s="2" t="s">
        <v>930</v>
      </c>
      <c r="E67" s="2" t="s">
        <v>931</v>
      </c>
      <c r="F67" s="2" t="s">
        <v>139</v>
      </c>
      <c r="G67" s="2" t="s">
        <v>932</v>
      </c>
      <c r="H67" s="2" t="s">
        <v>933</v>
      </c>
      <c r="I67" s="2" t="s">
        <v>934</v>
      </c>
      <c r="J67" s="2" t="s">
        <v>935</v>
      </c>
      <c r="K67" s="2" t="s">
        <v>936</v>
      </c>
      <c r="L67" s="2" t="s">
        <v>937</v>
      </c>
      <c r="M67" s="2" t="s">
        <v>938</v>
      </c>
      <c r="N67" s="2" t="s">
        <v>89</v>
      </c>
      <c r="O67" s="2" t="s">
        <v>939</v>
      </c>
      <c r="P67" s="2" t="s">
        <v>940</v>
      </c>
      <c r="Q67" s="2"/>
      <c r="R67" s="2"/>
      <c r="S67" s="2" t="s">
        <v>941</v>
      </c>
      <c r="T67" s="2" t="s">
        <v>942</v>
      </c>
      <c r="U67" s="2" t="s">
        <v>943</v>
      </c>
    </row>
    <row r="68" customFormat="false" ht="91" hidden="false" customHeight="false" outlineLevel="0" collapsed="false">
      <c r="A68" s="2" t="s">
        <v>622</v>
      </c>
      <c r="B68" s="2" t="s">
        <v>928</v>
      </c>
      <c r="C68" s="2" t="s">
        <v>944</v>
      </c>
      <c r="D68" s="2" t="s">
        <v>945</v>
      </c>
      <c r="E68" s="2" t="s">
        <v>946</v>
      </c>
      <c r="F68" s="2" t="s">
        <v>139</v>
      </c>
      <c r="G68" s="2" t="s">
        <v>947</v>
      </c>
      <c r="H68" s="2" t="s">
        <v>948</v>
      </c>
      <c r="I68" s="2" t="s">
        <v>949</v>
      </c>
      <c r="J68" s="2" t="s">
        <v>950</v>
      </c>
      <c r="K68" s="2" t="s">
        <v>951</v>
      </c>
      <c r="L68" s="2" t="s">
        <v>952</v>
      </c>
      <c r="M68" s="2" t="s">
        <v>953</v>
      </c>
      <c r="N68" s="2" t="s">
        <v>144</v>
      </c>
      <c r="O68" s="2" t="s">
        <v>954</v>
      </c>
      <c r="P68" s="2" t="s">
        <v>666</v>
      </c>
      <c r="Q68" s="2"/>
      <c r="R68" s="2"/>
      <c r="S68" s="2" t="s">
        <v>955</v>
      </c>
      <c r="T68" s="2" t="s">
        <v>956</v>
      </c>
      <c r="U68" s="2" t="s">
        <v>957</v>
      </c>
    </row>
    <row r="69" customFormat="false" ht="79.85" hidden="false" customHeight="false" outlineLevel="0" collapsed="false">
      <c r="A69" s="2" t="s">
        <v>622</v>
      </c>
      <c r="B69" s="2" t="s">
        <v>795</v>
      </c>
      <c r="C69" s="2" t="s">
        <v>958</v>
      </c>
      <c r="D69" s="2" t="s">
        <v>959</v>
      </c>
      <c r="E69" s="2" t="s">
        <v>960</v>
      </c>
      <c r="F69" s="2" t="s">
        <v>627</v>
      </c>
      <c r="G69" s="2" t="s">
        <v>961</v>
      </c>
      <c r="H69" s="2" t="s">
        <v>629</v>
      </c>
      <c r="I69" s="2" t="s">
        <v>962</v>
      </c>
      <c r="J69" s="2" t="s">
        <v>963</v>
      </c>
      <c r="K69" s="2" t="s">
        <v>964</v>
      </c>
      <c r="L69" s="2" t="s">
        <v>965</v>
      </c>
      <c r="M69" s="2" t="s">
        <v>966</v>
      </c>
      <c r="N69" s="2" t="s">
        <v>144</v>
      </c>
      <c r="O69" s="2" t="s">
        <v>967</v>
      </c>
      <c r="P69" s="2" t="s">
        <v>968</v>
      </c>
      <c r="Q69" s="2" t="s">
        <v>969</v>
      </c>
      <c r="R69" s="2"/>
      <c r="S69" s="2" t="s">
        <v>970</v>
      </c>
      <c r="T69" s="2" t="s">
        <v>971</v>
      </c>
      <c r="U69" s="2" t="s">
        <v>972</v>
      </c>
    </row>
    <row r="70" customFormat="false" ht="57.45" hidden="false" customHeight="false" outlineLevel="0" collapsed="false">
      <c r="A70" s="2" t="s">
        <v>622</v>
      </c>
      <c r="B70" s="2" t="s">
        <v>973</v>
      </c>
      <c r="C70" s="2" t="s">
        <v>974</v>
      </c>
      <c r="D70" s="2" t="s">
        <v>975</v>
      </c>
      <c r="E70" s="2" t="s">
        <v>976</v>
      </c>
      <c r="F70" s="2" t="s">
        <v>34</v>
      </c>
      <c r="G70" s="2" t="s">
        <v>977</v>
      </c>
      <c r="H70" s="2" t="s">
        <v>978</v>
      </c>
      <c r="I70" s="2" t="s">
        <v>979</v>
      </c>
      <c r="J70" s="2" t="s">
        <v>980</v>
      </c>
      <c r="K70" s="2" t="s">
        <v>981</v>
      </c>
      <c r="L70" s="2" t="s">
        <v>982</v>
      </c>
      <c r="M70" s="2" t="s">
        <v>983</v>
      </c>
      <c r="N70" s="2" t="s">
        <v>56</v>
      </c>
      <c r="O70" s="2" t="s">
        <v>43</v>
      </c>
      <c r="P70" s="2" t="s">
        <v>666</v>
      </c>
      <c r="Q70" s="2" t="s">
        <v>984</v>
      </c>
      <c r="R70" s="2"/>
      <c r="S70" s="2" t="s">
        <v>985</v>
      </c>
      <c r="T70" s="2" t="s">
        <v>986</v>
      </c>
      <c r="U70" s="2" t="s">
        <v>987</v>
      </c>
    </row>
    <row r="71" customFormat="false" ht="68.65" hidden="false" customHeight="false" outlineLevel="0" collapsed="false">
      <c r="A71" s="2" t="s">
        <v>622</v>
      </c>
      <c r="B71" s="2" t="s">
        <v>988</v>
      </c>
      <c r="C71" s="2" t="s">
        <v>989</v>
      </c>
      <c r="D71" s="2" t="s">
        <v>990</v>
      </c>
      <c r="E71" s="2" t="s">
        <v>991</v>
      </c>
      <c r="F71" s="2" t="s">
        <v>81</v>
      </c>
      <c r="G71" s="2" t="s">
        <v>992</v>
      </c>
      <c r="H71" s="2" t="s">
        <v>993</v>
      </c>
      <c r="I71" s="2" t="s">
        <v>183</v>
      </c>
      <c r="J71" s="2" t="s">
        <v>38</v>
      </c>
      <c r="K71" s="2" t="s">
        <v>994</v>
      </c>
      <c r="L71" s="2" t="s">
        <v>995</v>
      </c>
      <c r="M71" s="2" t="s">
        <v>996</v>
      </c>
      <c r="N71" s="2" t="s">
        <v>56</v>
      </c>
      <c r="O71" s="2" t="s">
        <v>666</v>
      </c>
      <c r="P71" s="2" t="s">
        <v>666</v>
      </c>
      <c r="Q71" s="2"/>
      <c r="R71" s="2"/>
      <c r="S71" s="2" t="s">
        <v>997</v>
      </c>
      <c r="T71" s="2" t="s">
        <v>998</v>
      </c>
      <c r="U71" s="2" t="s">
        <v>999</v>
      </c>
    </row>
    <row r="72" customFormat="false" ht="68.65" hidden="false" customHeight="false" outlineLevel="0" collapsed="false">
      <c r="A72" s="2" t="s">
        <v>622</v>
      </c>
      <c r="B72" s="2" t="s">
        <v>1000</v>
      </c>
      <c r="C72" s="2" t="s">
        <v>1001</v>
      </c>
      <c r="D72" s="2" t="s">
        <v>1002</v>
      </c>
      <c r="E72" s="2" t="s">
        <v>1003</v>
      </c>
      <c r="F72" s="2" t="s">
        <v>347</v>
      </c>
      <c r="G72" s="2" t="s">
        <v>1004</v>
      </c>
      <c r="H72" s="2" t="s">
        <v>1005</v>
      </c>
      <c r="I72" s="2" t="s">
        <v>1006</v>
      </c>
      <c r="J72" s="2" t="s">
        <v>1007</v>
      </c>
      <c r="K72" s="2" t="s">
        <v>1008</v>
      </c>
      <c r="L72" s="2" t="s">
        <v>1009</v>
      </c>
      <c r="M72" s="2" t="s">
        <v>1010</v>
      </c>
      <c r="N72" s="2" t="s">
        <v>144</v>
      </c>
      <c r="O72" s="2" t="s">
        <v>1011</v>
      </c>
      <c r="P72" s="2" t="s">
        <v>666</v>
      </c>
      <c r="Q72" s="2" t="s">
        <v>1012</v>
      </c>
      <c r="R72" s="2"/>
      <c r="S72" s="2" t="s">
        <v>1013</v>
      </c>
      <c r="T72" s="2" t="s">
        <v>1014</v>
      </c>
      <c r="U72" s="2" t="s">
        <v>1015</v>
      </c>
    </row>
    <row r="73" customFormat="false" ht="57.45" hidden="false" customHeight="false" outlineLevel="0" collapsed="false">
      <c r="A73" s="2" t="s">
        <v>622</v>
      </c>
      <c r="B73" s="2" t="s">
        <v>973</v>
      </c>
      <c r="C73" s="2" t="s">
        <v>1016</v>
      </c>
      <c r="D73" s="2" t="s">
        <v>1017</v>
      </c>
      <c r="E73" s="2" t="s">
        <v>1018</v>
      </c>
      <c r="F73" s="2" t="s">
        <v>139</v>
      </c>
      <c r="G73" s="2" t="s">
        <v>1019</v>
      </c>
      <c r="H73" s="2" t="s">
        <v>1020</v>
      </c>
      <c r="I73" s="2" t="s">
        <v>1021</v>
      </c>
      <c r="J73" s="2" t="s">
        <v>1022</v>
      </c>
      <c r="K73" s="2" t="s">
        <v>973</v>
      </c>
      <c r="L73" s="2" t="s">
        <v>1023</v>
      </c>
      <c r="M73" s="2" t="s">
        <v>1024</v>
      </c>
      <c r="N73" s="2" t="s">
        <v>56</v>
      </c>
      <c r="O73" s="2" t="s">
        <v>1025</v>
      </c>
      <c r="P73" s="2" t="s">
        <v>1026</v>
      </c>
      <c r="Q73" s="2"/>
      <c r="R73" s="2"/>
      <c r="S73" s="2" t="s">
        <v>1027</v>
      </c>
      <c r="T73" s="2" t="s">
        <v>1028</v>
      </c>
      <c r="U73" s="2" t="s">
        <v>1029</v>
      </c>
    </row>
    <row r="74" customFormat="false" ht="57.45" hidden="false" customHeight="false" outlineLevel="0" collapsed="false">
      <c r="A74" s="2" t="s">
        <v>622</v>
      </c>
      <c r="B74" s="2" t="s">
        <v>623</v>
      </c>
      <c r="C74" s="2" t="s">
        <v>1030</v>
      </c>
      <c r="D74" s="2" t="s">
        <v>1031</v>
      </c>
      <c r="E74" s="2" t="s">
        <v>1032</v>
      </c>
      <c r="F74" s="2" t="s">
        <v>193</v>
      </c>
      <c r="G74" s="2" t="s">
        <v>1033</v>
      </c>
      <c r="H74" s="2" t="s">
        <v>1034</v>
      </c>
      <c r="I74" s="2" t="s">
        <v>1035</v>
      </c>
      <c r="J74" s="2" t="s">
        <v>1036</v>
      </c>
      <c r="K74" s="2" t="s">
        <v>1037</v>
      </c>
      <c r="L74" s="2" t="s">
        <v>1038</v>
      </c>
      <c r="M74" s="2" t="s">
        <v>1039</v>
      </c>
      <c r="N74" s="2" t="s">
        <v>89</v>
      </c>
      <c r="O74" s="2" t="s">
        <v>666</v>
      </c>
      <c r="P74" s="2" t="s">
        <v>1040</v>
      </c>
      <c r="Q74" s="2"/>
      <c r="R74" s="2"/>
      <c r="S74" s="2" t="s">
        <v>1041</v>
      </c>
      <c r="T74" s="2" t="s">
        <v>1042</v>
      </c>
      <c r="U74" s="2" t="s">
        <v>1043</v>
      </c>
    </row>
    <row r="75" customFormat="false" ht="46.25" hidden="false" customHeight="false" outlineLevel="0" collapsed="false">
      <c r="A75" s="2" t="s">
        <v>622</v>
      </c>
      <c r="B75" s="2" t="s">
        <v>1044</v>
      </c>
      <c r="C75" s="2" t="s">
        <v>1045</v>
      </c>
      <c r="D75" s="2" t="s">
        <v>1046</v>
      </c>
      <c r="E75" s="2" t="s">
        <v>1047</v>
      </c>
      <c r="F75" s="2" t="s">
        <v>193</v>
      </c>
      <c r="G75" s="2" t="s">
        <v>1048</v>
      </c>
      <c r="H75" s="2" t="s">
        <v>1049</v>
      </c>
      <c r="I75" s="2" t="s">
        <v>1050</v>
      </c>
      <c r="J75" s="2" t="s">
        <v>1051</v>
      </c>
      <c r="K75" s="2" t="s">
        <v>1052</v>
      </c>
      <c r="L75" s="2" t="s">
        <v>1053</v>
      </c>
      <c r="M75" s="2" t="s">
        <v>1054</v>
      </c>
      <c r="N75" s="2" t="s">
        <v>89</v>
      </c>
      <c r="O75" s="2" t="s">
        <v>666</v>
      </c>
      <c r="P75" s="2" t="s">
        <v>1055</v>
      </c>
      <c r="Q75" s="2"/>
      <c r="R75" s="2"/>
      <c r="S75" s="2" t="s">
        <v>1056</v>
      </c>
      <c r="T75" s="2" t="s">
        <v>1057</v>
      </c>
      <c r="U75" s="2" t="s">
        <v>1058</v>
      </c>
    </row>
    <row r="76" customFormat="false" ht="46.25" hidden="false" customHeight="false" outlineLevel="0" collapsed="false">
      <c r="A76" s="2" t="s">
        <v>622</v>
      </c>
      <c r="B76" s="2" t="s">
        <v>1059</v>
      </c>
      <c r="C76" s="2" t="s">
        <v>1060</v>
      </c>
      <c r="D76" s="2" t="s">
        <v>1061</v>
      </c>
      <c r="E76" s="2" t="s">
        <v>1062</v>
      </c>
      <c r="F76" s="2" t="s">
        <v>193</v>
      </c>
      <c r="G76" s="2" t="s">
        <v>1063</v>
      </c>
      <c r="H76" s="2" t="s">
        <v>1064</v>
      </c>
      <c r="I76" s="2" t="s">
        <v>1065</v>
      </c>
      <c r="J76" s="2" t="s">
        <v>1066</v>
      </c>
      <c r="K76" s="2" t="s">
        <v>1067</v>
      </c>
      <c r="L76" s="2" t="s">
        <v>1068</v>
      </c>
      <c r="M76" s="2" t="s">
        <v>1069</v>
      </c>
      <c r="N76" s="2" t="s">
        <v>89</v>
      </c>
      <c r="O76" s="2" t="s">
        <v>666</v>
      </c>
      <c r="P76" s="2" t="s">
        <v>1070</v>
      </c>
      <c r="Q76" s="2"/>
      <c r="R76" s="2"/>
      <c r="S76" s="2" t="s">
        <v>1071</v>
      </c>
      <c r="T76" s="2" t="s">
        <v>1072</v>
      </c>
      <c r="U76" s="2" t="s">
        <v>1073</v>
      </c>
    </row>
    <row r="77" customFormat="false" ht="46.25" hidden="false" customHeight="false" outlineLevel="0" collapsed="false">
      <c r="A77" s="2" t="s">
        <v>622</v>
      </c>
      <c r="B77" s="2" t="s">
        <v>973</v>
      </c>
      <c r="C77" s="2" t="s">
        <v>1074</v>
      </c>
      <c r="D77" s="2" t="s">
        <v>1075</v>
      </c>
      <c r="E77" s="2" t="s">
        <v>1076</v>
      </c>
      <c r="F77" s="2" t="s">
        <v>193</v>
      </c>
      <c r="G77" s="2" t="s">
        <v>1077</v>
      </c>
      <c r="H77" s="2" t="s">
        <v>1078</v>
      </c>
      <c r="I77" s="2" t="s">
        <v>1079</v>
      </c>
      <c r="J77" s="2" t="s">
        <v>1080</v>
      </c>
      <c r="K77" s="2" t="s">
        <v>1081</v>
      </c>
      <c r="L77" s="2" t="s">
        <v>1082</v>
      </c>
      <c r="M77" s="2" t="s">
        <v>1083</v>
      </c>
      <c r="N77" s="2" t="s">
        <v>89</v>
      </c>
      <c r="O77" s="2" t="s">
        <v>666</v>
      </c>
      <c r="P77" s="2" t="s">
        <v>1084</v>
      </c>
      <c r="Q77" s="2"/>
      <c r="R77" s="2"/>
      <c r="S77" s="2" t="s">
        <v>1085</v>
      </c>
      <c r="T77" s="2" t="s">
        <v>1086</v>
      </c>
      <c r="U77" s="2" t="s">
        <v>1087</v>
      </c>
    </row>
    <row r="78" customFormat="false" ht="46.25" hidden="false" customHeight="false" outlineLevel="0" collapsed="false">
      <c r="A78" s="2" t="s">
        <v>622</v>
      </c>
      <c r="B78" s="2" t="s">
        <v>1088</v>
      </c>
      <c r="C78" s="2" t="s">
        <v>1089</v>
      </c>
      <c r="D78" s="2" t="s">
        <v>1090</v>
      </c>
      <c r="E78" s="2" t="s">
        <v>1091</v>
      </c>
      <c r="F78" s="2" t="s">
        <v>193</v>
      </c>
      <c r="G78" s="2" t="s">
        <v>1092</v>
      </c>
      <c r="H78" s="2" t="s">
        <v>1034</v>
      </c>
      <c r="I78" s="2" t="s">
        <v>1093</v>
      </c>
      <c r="J78" s="2" t="s">
        <v>1094</v>
      </c>
      <c r="K78" s="2" t="s">
        <v>1095</v>
      </c>
      <c r="L78" s="2" t="s">
        <v>1096</v>
      </c>
      <c r="M78" s="2" t="s">
        <v>1097</v>
      </c>
      <c r="N78" s="2" t="s">
        <v>89</v>
      </c>
      <c r="O78" s="2" t="s">
        <v>666</v>
      </c>
      <c r="P78" s="2" t="s">
        <v>1098</v>
      </c>
      <c r="Q78" s="2" t="s">
        <v>1099</v>
      </c>
      <c r="R78" s="2"/>
      <c r="S78" s="2" t="s">
        <v>1100</v>
      </c>
      <c r="T78" s="2" t="s">
        <v>1101</v>
      </c>
      <c r="U78" s="2" t="s">
        <v>1102</v>
      </c>
    </row>
    <row r="79" customFormat="false" ht="46.25" hidden="false" customHeight="false" outlineLevel="0" collapsed="false">
      <c r="A79" s="2" t="s">
        <v>622</v>
      </c>
      <c r="B79" s="2" t="s">
        <v>623</v>
      </c>
      <c r="C79" s="2" t="s">
        <v>1103</v>
      </c>
      <c r="D79" s="2" t="s">
        <v>1104</v>
      </c>
      <c r="E79" s="2" t="s">
        <v>1105</v>
      </c>
      <c r="F79" s="2" t="s">
        <v>193</v>
      </c>
      <c r="G79" s="2" t="s">
        <v>1106</v>
      </c>
      <c r="H79" s="2" t="s">
        <v>1107</v>
      </c>
      <c r="I79" s="2" t="s">
        <v>1108</v>
      </c>
      <c r="J79" s="2" t="s">
        <v>1109</v>
      </c>
      <c r="K79" s="2" t="s">
        <v>1110</v>
      </c>
      <c r="L79" s="2" t="s">
        <v>1111</v>
      </c>
      <c r="M79" s="2" t="s">
        <v>1112</v>
      </c>
      <c r="N79" s="2" t="s">
        <v>89</v>
      </c>
      <c r="O79" s="2" t="s">
        <v>666</v>
      </c>
      <c r="P79" s="2" t="s">
        <v>1113</v>
      </c>
      <c r="Q79" s="2"/>
      <c r="R79" s="2"/>
      <c r="S79" s="2" t="s">
        <v>1114</v>
      </c>
      <c r="T79" s="2" t="s">
        <v>1115</v>
      </c>
      <c r="U79" s="2" t="s">
        <v>1116</v>
      </c>
    </row>
    <row r="80" customFormat="false" ht="46.25" hidden="false" customHeight="false" outlineLevel="0" collapsed="false">
      <c r="A80" s="2" t="s">
        <v>622</v>
      </c>
      <c r="B80" s="2" t="s">
        <v>914</v>
      </c>
      <c r="C80" s="2" t="s">
        <v>1117</v>
      </c>
      <c r="D80" s="2" t="s">
        <v>1118</v>
      </c>
      <c r="E80" s="2" t="s">
        <v>1119</v>
      </c>
      <c r="F80" s="2" t="s">
        <v>193</v>
      </c>
      <c r="G80" s="2" t="s">
        <v>1120</v>
      </c>
      <c r="H80" s="2" t="s">
        <v>1121</v>
      </c>
      <c r="I80" s="2" t="s">
        <v>1122</v>
      </c>
      <c r="J80" s="2" t="s">
        <v>1123</v>
      </c>
      <c r="K80" s="2" t="s">
        <v>1124</v>
      </c>
      <c r="L80" s="2" t="s">
        <v>965</v>
      </c>
      <c r="M80" s="2" t="s">
        <v>1125</v>
      </c>
      <c r="N80" s="2" t="s">
        <v>89</v>
      </c>
      <c r="O80" s="2" t="s">
        <v>666</v>
      </c>
      <c r="P80" s="2" t="s">
        <v>1126</v>
      </c>
      <c r="Q80" s="2"/>
      <c r="R80" s="2"/>
      <c r="S80" s="2" t="s">
        <v>1127</v>
      </c>
      <c r="T80" s="2" t="s">
        <v>1128</v>
      </c>
      <c r="U80" s="2" t="s">
        <v>1129</v>
      </c>
    </row>
    <row r="81" customFormat="false" ht="46.25" hidden="false" customHeight="false" outlineLevel="0" collapsed="false">
      <c r="A81" s="2" t="s">
        <v>622</v>
      </c>
      <c r="B81" s="2" t="s">
        <v>795</v>
      </c>
      <c r="C81" s="2" t="s">
        <v>1130</v>
      </c>
      <c r="D81" s="2" t="s">
        <v>1131</v>
      </c>
      <c r="E81" s="2" t="s">
        <v>1132</v>
      </c>
      <c r="F81" s="2" t="s">
        <v>193</v>
      </c>
      <c r="G81" s="2" t="s">
        <v>1133</v>
      </c>
      <c r="H81" s="2" t="s">
        <v>1134</v>
      </c>
      <c r="I81" s="2" t="s">
        <v>1135</v>
      </c>
      <c r="J81" s="2" t="s">
        <v>1136</v>
      </c>
      <c r="K81" s="2" t="s">
        <v>1137</v>
      </c>
      <c r="L81" s="2" t="s">
        <v>1138</v>
      </c>
      <c r="M81" s="2" t="s">
        <v>1139</v>
      </c>
      <c r="N81" s="2" t="s">
        <v>89</v>
      </c>
      <c r="O81" s="2" t="s">
        <v>1140</v>
      </c>
      <c r="P81" s="2" t="s">
        <v>666</v>
      </c>
      <c r="Q81" s="2"/>
      <c r="R81" s="2"/>
      <c r="S81" s="2" t="s">
        <v>1141</v>
      </c>
      <c r="T81" s="2" t="s">
        <v>1142</v>
      </c>
      <c r="U81" s="2" t="s">
        <v>1143</v>
      </c>
    </row>
    <row r="82" customFormat="false" ht="46.25" hidden="false" customHeight="false" outlineLevel="0" collapsed="false">
      <c r="A82" s="2" t="s">
        <v>622</v>
      </c>
      <c r="B82" s="2" t="s">
        <v>839</v>
      </c>
      <c r="C82" s="2" t="s">
        <v>1144</v>
      </c>
      <c r="D82" s="2" t="s">
        <v>1145</v>
      </c>
      <c r="E82" s="2" t="s">
        <v>1146</v>
      </c>
      <c r="F82" s="2" t="s">
        <v>193</v>
      </c>
      <c r="G82" s="2" t="s">
        <v>1147</v>
      </c>
      <c r="H82" s="2" t="s">
        <v>1148</v>
      </c>
      <c r="I82" s="2" t="s">
        <v>1149</v>
      </c>
      <c r="J82" s="2" t="s">
        <v>1150</v>
      </c>
      <c r="K82" s="2" t="s">
        <v>1151</v>
      </c>
      <c r="L82" s="2" t="s">
        <v>1152</v>
      </c>
      <c r="M82" s="2" t="s">
        <v>1153</v>
      </c>
      <c r="N82" s="2" t="s">
        <v>89</v>
      </c>
      <c r="O82" s="2" t="s">
        <v>666</v>
      </c>
      <c r="P82" s="2" t="s">
        <v>1154</v>
      </c>
      <c r="Q82" s="2"/>
      <c r="R82" s="2"/>
      <c r="S82" s="2" t="s">
        <v>1155</v>
      </c>
      <c r="T82" s="2" t="s">
        <v>1156</v>
      </c>
      <c r="U82" s="2" t="s">
        <v>1157</v>
      </c>
    </row>
    <row r="83" customFormat="false" ht="68.65" hidden="false" customHeight="false" outlineLevel="0" collapsed="false">
      <c r="A83" s="2" t="s">
        <v>622</v>
      </c>
      <c r="B83" s="2" t="s">
        <v>778</v>
      </c>
      <c r="C83" s="2" t="s">
        <v>1158</v>
      </c>
      <c r="D83" s="2" t="s">
        <v>1159</v>
      </c>
      <c r="E83" s="2" t="s">
        <v>1160</v>
      </c>
      <c r="F83" s="2" t="s">
        <v>627</v>
      </c>
      <c r="G83" s="2" t="s">
        <v>1161</v>
      </c>
      <c r="H83" s="2" t="s">
        <v>1162</v>
      </c>
      <c r="I83" s="2" t="s">
        <v>1163</v>
      </c>
      <c r="J83" s="2" t="s">
        <v>666</v>
      </c>
      <c r="K83" s="2" t="s">
        <v>1164</v>
      </c>
      <c r="L83" s="2" t="s">
        <v>1165</v>
      </c>
      <c r="M83" s="2" t="s">
        <v>1166</v>
      </c>
      <c r="N83" s="2" t="s">
        <v>89</v>
      </c>
      <c r="O83" s="2" t="s">
        <v>666</v>
      </c>
      <c r="P83" s="2" t="s">
        <v>666</v>
      </c>
      <c r="Q83" s="2"/>
      <c r="R83" s="2"/>
      <c r="S83" s="2" t="s">
        <v>1167</v>
      </c>
      <c r="T83" s="2" t="s">
        <v>1168</v>
      </c>
      <c r="U83" s="2" t="s">
        <v>1169</v>
      </c>
    </row>
    <row r="84" customFormat="false" ht="68.65" hidden="false" customHeight="false" outlineLevel="0" collapsed="false">
      <c r="A84" s="2" t="s">
        <v>622</v>
      </c>
      <c r="B84" s="2" t="s">
        <v>1170</v>
      </c>
      <c r="C84" s="2" t="s">
        <v>1171</v>
      </c>
      <c r="D84" s="2" t="s">
        <v>1172</v>
      </c>
      <c r="E84" s="2" t="s">
        <v>1173</v>
      </c>
      <c r="F84" s="2" t="s">
        <v>1174</v>
      </c>
      <c r="G84" s="2" t="s">
        <v>1175</v>
      </c>
      <c r="H84" s="2" t="s">
        <v>693</v>
      </c>
      <c r="I84" s="2" t="s">
        <v>1176</v>
      </c>
      <c r="J84" s="2" t="s">
        <v>693</v>
      </c>
      <c r="K84" s="2" t="s">
        <v>1177</v>
      </c>
      <c r="L84" s="2" t="s">
        <v>1178</v>
      </c>
      <c r="M84" s="2" t="s">
        <v>1179</v>
      </c>
      <c r="N84" s="2" t="s">
        <v>89</v>
      </c>
      <c r="O84" s="2" t="s">
        <v>666</v>
      </c>
      <c r="P84" s="2" t="s">
        <v>1180</v>
      </c>
      <c r="Q84" s="2"/>
      <c r="R84" s="2"/>
      <c r="S84" s="2" t="s">
        <v>1181</v>
      </c>
      <c r="T84" s="2" t="s">
        <v>1182</v>
      </c>
      <c r="U84" s="2" t="s">
        <v>1183</v>
      </c>
    </row>
    <row r="85" customFormat="false" ht="68.65" hidden="false" customHeight="false" outlineLevel="0" collapsed="false">
      <c r="A85" s="2" t="s">
        <v>622</v>
      </c>
      <c r="B85" s="2" t="s">
        <v>1184</v>
      </c>
      <c r="C85" s="2" t="s">
        <v>1185</v>
      </c>
      <c r="D85" s="2" t="s">
        <v>1186</v>
      </c>
      <c r="E85" s="2" t="s">
        <v>1187</v>
      </c>
      <c r="F85" s="2" t="s">
        <v>1188</v>
      </c>
      <c r="G85" s="2" t="s">
        <v>1189</v>
      </c>
      <c r="H85" s="2" t="s">
        <v>629</v>
      </c>
      <c r="I85" s="2" t="s">
        <v>1190</v>
      </c>
      <c r="J85" s="2" t="s">
        <v>666</v>
      </c>
      <c r="K85" s="2" t="s">
        <v>1191</v>
      </c>
      <c r="L85" s="2" t="s">
        <v>1192</v>
      </c>
      <c r="M85" s="2" t="s">
        <v>1193</v>
      </c>
      <c r="N85" s="2" t="s">
        <v>89</v>
      </c>
      <c r="O85" s="2" t="s">
        <v>666</v>
      </c>
      <c r="P85" s="2" t="s">
        <v>1194</v>
      </c>
      <c r="Q85" s="2"/>
      <c r="R85" s="2"/>
      <c r="S85" s="2" t="s">
        <v>1195</v>
      </c>
      <c r="T85" s="2" t="s">
        <v>1196</v>
      </c>
      <c r="U85" s="2" t="s">
        <v>1197</v>
      </c>
    </row>
    <row r="86" customFormat="false" ht="79.85" hidden="false" customHeight="false" outlineLevel="0" collapsed="false">
      <c r="A86" s="2" t="s">
        <v>1198</v>
      </c>
      <c r="B86" s="2" t="s">
        <v>1199</v>
      </c>
      <c r="C86" s="2" t="s">
        <v>1200</v>
      </c>
      <c r="D86" s="2" t="s">
        <v>1201</v>
      </c>
      <c r="E86" s="2" t="s">
        <v>1202</v>
      </c>
      <c r="F86" s="2" t="s">
        <v>34</v>
      </c>
      <c r="G86" s="2" t="s">
        <v>1203</v>
      </c>
      <c r="H86" s="2" t="s">
        <v>1204</v>
      </c>
      <c r="I86" s="2" t="s">
        <v>1205</v>
      </c>
      <c r="J86" s="2" t="s">
        <v>197</v>
      </c>
      <c r="K86" s="2" t="s">
        <v>1206</v>
      </c>
      <c r="L86" s="2" t="s">
        <v>1207</v>
      </c>
      <c r="M86" s="2" t="s">
        <v>1208</v>
      </c>
      <c r="N86" s="2" t="s">
        <v>144</v>
      </c>
      <c r="O86" s="2" t="s">
        <v>1209</v>
      </c>
      <c r="P86" s="2" t="s">
        <v>1210</v>
      </c>
      <c r="Q86" s="2" t="s">
        <v>1211</v>
      </c>
      <c r="R86" s="2" t="s">
        <v>1212</v>
      </c>
      <c r="S86" s="2" t="s">
        <v>1213</v>
      </c>
      <c r="T86" s="2" t="s">
        <v>1214</v>
      </c>
      <c r="U86" s="2" t="s">
        <v>1215</v>
      </c>
    </row>
    <row r="87" customFormat="false" ht="91" hidden="false" customHeight="false" outlineLevel="0" collapsed="false">
      <c r="A87" s="2" t="s">
        <v>1198</v>
      </c>
      <c r="B87" s="2" t="s">
        <v>1199</v>
      </c>
      <c r="C87" s="2" t="s">
        <v>1216</v>
      </c>
      <c r="D87" s="2" t="s">
        <v>1201</v>
      </c>
      <c r="E87" s="2" t="s">
        <v>1217</v>
      </c>
      <c r="F87" s="2" t="s">
        <v>193</v>
      </c>
      <c r="G87" s="2" t="s">
        <v>1218</v>
      </c>
      <c r="H87" s="2" t="s">
        <v>1219</v>
      </c>
      <c r="I87" s="2" t="s">
        <v>1220</v>
      </c>
      <c r="J87" s="2" t="s">
        <v>1221</v>
      </c>
      <c r="K87" s="2" t="s">
        <v>1222</v>
      </c>
      <c r="L87" s="2" t="s">
        <v>1223</v>
      </c>
      <c r="M87" s="2" t="s">
        <v>1224</v>
      </c>
      <c r="N87" s="2" t="s">
        <v>42</v>
      </c>
      <c r="O87" s="2" t="s">
        <v>1225</v>
      </c>
      <c r="P87" s="2" t="s">
        <v>1226</v>
      </c>
      <c r="Q87" s="2" t="s">
        <v>1227</v>
      </c>
      <c r="R87" s="2"/>
      <c r="S87" s="2" t="s">
        <v>1228</v>
      </c>
      <c r="T87" s="2" t="s">
        <v>1229</v>
      </c>
      <c r="U87" s="2" t="s">
        <v>1230</v>
      </c>
    </row>
    <row r="88" customFormat="false" ht="46.25" hidden="false" customHeight="false" outlineLevel="0" collapsed="false">
      <c r="A88" s="2" t="s">
        <v>1198</v>
      </c>
      <c r="B88" s="2" t="s">
        <v>1199</v>
      </c>
      <c r="C88" s="2" t="s">
        <v>1231</v>
      </c>
      <c r="D88" s="2" t="s">
        <v>1232</v>
      </c>
      <c r="E88" s="2" t="s">
        <v>1233</v>
      </c>
      <c r="F88" s="2" t="s">
        <v>193</v>
      </c>
      <c r="G88" s="2" t="s">
        <v>1234</v>
      </c>
      <c r="H88" s="2" t="s">
        <v>1235</v>
      </c>
      <c r="I88" s="2" t="s">
        <v>1236</v>
      </c>
      <c r="J88" s="2" t="s">
        <v>57</v>
      </c>
      <c r="K88" s="2" t="s">
        <v>1237</v>
      </c>
      <c r="L88" s="2" t="s">
        <v>57</v>
      </c>
      <c r="M88" s="2" t="s">
        <v>1238</v>
      </c>
      <c r="N88" s="2" t="s">
        <v>89</v>
      </c>
      <c r="O88" s="2" t="s">
        <v>57</v>
      </c>
      <c r="P88" s="2" t="s">
        <v>1239</v>
      </c>
      <c r="Q88" s="2"/>
      <c r="R88" s="2"/>
      <c r="S88" s="2" t="s">
        <v>1240</v>
      </c>
      <c r="T88" s="2" t="s">
        <v>1241</v>
      </c>
      <c r="U88" s="2" t="s">
        <v>1242</v>
      </c>
    </row>
    <row r="89" customFormat="false" ht="46.25" hidden="false" customHeight="false" outlineLevel="0" collapsed="false">
      <c r="A89" s="2" t="s">
        <v>1198</v>
      </c>
      <c r="B89" s="2" t="s">
        <v>1199</v>
      </c>
      <c r="C89" s="2" t="s">
        <v>1243</v>
      </c>
      <c r="D89" s="2" t="s">
        <v>1244</v>
      </c>
      <c r="E89" s="2" t="s">
        <v>1245</v>
      </c>
      <c r="F89" s="2" t="s">
        <v>34</v>
      </c>
      <c r="G89" s="2" t="s">
        <v>1246</v>
      </c>
      <c r="H89" s="2" t="s">
        <v>1247</v>
      </c>
      <c r="I89" s="2" t="s">
        <v>1248</v>
      </c>
      <c r="J89" s="2" t="s">
        <v>1249</v>
      </c>
      <c r="K89" s="2" t="s">
        <v>1250</v>
      </c>
      <c r="L89" s="2" t="s">
        <v>1251</v>
      </c>
      <c r="M89" s="2" t="s">
        <v>1252</v>
      </c>
      <c r="N89" s="2" t="s">
        <v>56</v>
      </c>
      <c r="O89" s="2" t="s">
        <v>58</v>
      </c>
      <c r="P89" s="2" t="s">
        <v>1253</v>
      </c>
      <c r="Q89" s="2"/>
      <c r="R89" s="2"/>
      <c r="S89" s="2" t="s">
        <v>1254</v>
      </c>
      <c r="T89" s="2" t="s">
        <v>1255</v>
      </c>
      <c r="U89" s="2" t="s">
        <v>1256</v>
      </c>
    </row>
    <row r="90" customFormat="false" ht="68.65" hidden="false" customHeight="false" outlineLevel="0" collapsed="false">
      <c r="A90" s="2" t="s">
        <v>1198</v>
      </c>
      <c r="B90" s="2" t="s">
        <v>1199</v>
      </c>
      <c r="C90" s="2" t="s">
        <v>1257</v>
      </c>
      <c r="D90" s="2" t="s">
        <v>1244</v>
      </c>
      <c r="E90" s="2" t="s">
        <v>1258</v>
      </c>
      <c r="F90" s="2" t="s">
        <v>34</v>
      </c>
      <c r="G90" s="2" t="s">
        <v>1259</v>
      </c>
      <c r="H90" s="2" t="s">
        <v>1260</v>
      </c>
      <c r="I90" s="2" t="s">
        <v>1261</v>
      </c>
      <c r="J90" s="2" t="s">
        <v>1249</v>
      </c>
      <c r="K90" s="2" t="s">
        <v>1262</v>
      </c>
      <c r="L90" s="2" t="s">
        <v>1263</v>
      </c>
      <c r="M90" s="2" t="s">
        <v>1264</v>
      </c>
      <c r="N90" s="2" t="s">
        <v>42</v>
      </c>
      <c r="O90" s="2" t="s">
        <v>58</v>
      </c>
      <c r="P90" s="2" t="s">
        <v>1253</v>
      </c>
      <c r="Q90" s="2"/>
      <c r="R90" s="2"/>
      <c r="S90" s="2" t="s">
        <v>1265</v>
      </c>
      <c r="T90" s="2" t="s">
        <v>1266</v>
      </c>
      <c r="U90" s="2" t="s">
        <v>1267</v>
      </c>
    </row>
    <row r="91" customFormat="false" ht="46.25" hidden="false" customHeight="false" outlineLevel="0" collapsed="false">
      <c r="A91" s="2" t="s">
        <v>1198</v>
      </c>
      <c r="B91" s="2" t="s">
        <v>1199</v>
      </c>
      <c r="C91" s="2" t="s">
        <v>1268</v>
      </c>
      <c r="D91" s="2" t="s">
        <v>1244</v>
      </c>
      <c r="E91" s="2" t="s">
        <v>1269</v>
      </c>
      <c r="F91" s="2" t="s">
        <v>34</v>
      </c>
      <c r="G91" s="2" t="s">
        <v>1270</v>
      </c>
      <c r="H91" s="2" t="s">
        <v>1271</v>
      </c>
      <c r="I91" s="2" t="s">
        <v>252</v>
      </c>
      <c r="J91" s="2" t="s">
        <v>1272</v>
      </c>
      <c r="K91" s="2" t="s">
        <v>1273</v>
      </c>
      <c r="L91" s="2" t="s">
        <v>1274</v>
      </c>
      <c r="M91" s="2" t="s">
        <v>1275</v>
      </c>
      <c r="N91" s="2" t="s">
        <v>56</v>
      </c>
      <c r="O91" s="2" t="s">
        <v>1276</v>
      </c>
      <c r="P91" s="2" t="s">
        <v>1277</v>
      </c>
      <c r="Q91" s="2"/>
      <c r="R91" s="2"/>
      <c r="S91" s="2" t="s">
        <v>1278</v>
      </c>
      <c r="T91" s="2" t="s">
        <v>1279</v>
      </c>
      <c r="U91" s="2" t="s">
        <v>1280</v>
      </c>
    </row>
    <row r="92" customFormat="false" ht="46.25" hidden="false" customHeight="false" outlineLevel="0" collapsed="false">
      <c r="A92" s="2" t="s">
        <v>1198</v>
      </c>
      <c r="B92" s="2" t="s">
        <v>1281</v>
      </c>
      <c r="C92" s="2" t="s">
        <v>1281</v>
      </c>
      <c r="D92" s="2" t="s">
        <v>1244</v>
      </c>
      <c r="E92" s="2" t="s">
        <v>1282</v>
      </c>
      <c r="F92" s="2" t="s">
        <v>347</v>
      </c>
      <c r="G92" s="2" t="s">
        <v>1283</v>
      </c>
      <c r="H92" s="2" t="s">
        <v>58</v>
      </c>
      <c r="I92" s="2" t="s">
        <v>1284</v>
      </c>
      <c r="J92" s="2" t="s">
        <v>1285</v>
      </c>
      <c r="K92" s="2" t="s">
        <v>58</v>
      </c>
      <c r="L92" s="2" t="s">
        <v>1286</v>
      </c>
      <c r="M92" s="2" t="s">
        <v>1287</v>
      </c>
      <c r="N92" s="2" t="s">
        <v>144</v>
      </c>
      <c r="O92" s="2" t="s">
        <v>57</v>
      </c>
      <c r="P92" s="2" t="s">
        <v>1253</v>
      </c>
      <c r="Q92" s="2"/>
      <c r="R92" s="2"/>
      <c r="S92" s="2" t="s">
        <v>1288</v>
      </c>
      <c r="T92" s="2" t="s">
        <v>1289</v>
      </c>
      <c r="U92" s="2" t="s">
        <v>1290</v>
      </c>
    </row>
    <row r="93" customFormat="false" ht="46.25" hidden="false" customHeight="false" outlineLevel="0" collapsed="false">
      <c r="A93" s="2" t="s">
        <v>1198</v>
      </c>
      <c r="B93" s="2" t="s">
        <v>1199</v>
      </c>
      <c r="C93" s="2" t="s">
        <v>1291</v>
      </c>
      <c r="D93" s="2" t="s">
        <v>1232</v>
      </c>
      <c r="E93" s="2" t="s">
        <v>1292</v>
      </c>
      <c r="F93" s="2" t="s">
        <v>193</v>
      </c>
      <c r="G93" s="2" t="s">
        <v>1293</v>
      </c>
      <c r="H93" s="2" t="s">
        <v>1294</v>
      </c>
      <c r="I93" s="2" t="s">
        <v>1295</v>
      </c>
      <c r="J93" s="2" t="s">
        <v>1296</v>
      </c>
      <c r="K93" s="2" t="s">
        <v>1297</v>
      </c>
      <c r="L93" s="2" t="s">
        <v>1298</v>
      </c>
      <c r="M93" s="2" t="s">
        <v>1299</v>
      </c>
      <c r="N93" s="2" t="s">
        <v>56</v>
      </c>
      <c r="O93" s="2" t="s">
        <v>1300</v>
      </c>
      <c r="P93" s="2" t="s">
        <v>1301</v>
      </c>
      <c r="Q93" s="2"/>
      <c r="R93" s="2"/>
      <c r="S93" s="2" t="s">
        <v>1302</v>
      </c>
      <c r="T93" s="2" t="s">
        <v>1303</v>
      </c>
      <c r="U93" s="2" t="s">
        <v>1304</v>
      </c>
    </row>
    <row r="94" customFormat="false" ht="46.25" hidden="false" customHeight="false" outlineLevel="0" collapsed="false">
      <c r="A94" s="2" t="s">
        <v>1198</v>
      </c>
      <c r="B94" s="2" t="s">
        <v>1305</v>
      </c>
      <c r="C94" s="2" t="s">
        <v>1306</v>
      </c>
      <c r="D94" s="2" t="s">
        <v>1307</v>
      </c>
      <c r="E94" s="2" t="s">
        <v>1308</v>
      </c>
      <c r="F94" s="2" t="s">
        <v>1309</v>
      </c>
      <c r="G94" s="2" t="s">
        <v>1310</v>
      </c>
      <c r="H94" s="2" t="s">
        <v>1311</v>
      </c>
      <c r="I94" s="2" t="s">
        <v>1312</v>
      </c>
      <c r="J94" s="2" t="s">
        <v>58</v>
      </c>
      <c r="K94" s="2" t="s">
        <v>1313</v>
      </c>
      <c r="L94" s="2" t="s">
        <v>1314</v>
      </c>
      <c r="M94" s="2" t="s">
        <v>1315</v>
      </c>
      <c r="N94" s="2" t="s">
        <v>144</v>
      </c>
      <c r="O94" s="2" t="s">
        <v>57</v>
      </c>
      <c r="P94" s="2" t="s">
        <v>1316</v>
      </c>
      <c r="Q94" s="2"/>
      <c r="R94" s="2"/>
      <c r="S94" s="2" t="s">
        <v>1317</v>
      </c>
      <c r="T94" s="2" t="s">
        <v>1318</v>
      </c>
      <c r="U94" s="2" t="s">
        <v>1319</v>
      </c>
    </row>
    <row r="95" customFormat="false" ht="57.45" hidden="false" customHeight="false" outlineLevel="0" collapsed="false">
      <c r="A95" s="2" t="s">
        <v>1198</v>
      </c>
      <c r="B95" s="2" t="s">
        <v>1320</v>
      </c>
      <c r="C95" s="2" t="s">
        <v>1320</v>
      </c>
      <c r="D95" s="2" t="s">
        <v>1321</v>
      </c>
      <c r="E95" s="2" t="s">
        <v>1322</v>
      </c>
      <c r="F95" s="2" t="s">
        <v>139</v>
      </c>
      <c r="G95" s="2" t="s">
        <v>1323</v>
      </c>
      <c r="H95" s="2" t="s">
        <v>1324</v>
      </c>
      <c r="I95" s="2" t="s">
        <v>1325</v>
      </c>
      <c r="J95" s="2" t="s">
        <v>1326</v>
      </c>
      <c r="K95" s="2" t="s">
        <v>1327</v>
      </c>
      <c r="L95" s="2" t="s">
        <v>1328</v>
      </c>
      <c r="M95" s="2" t="s">
        <v>1329</v>
      </c>
      <c r="N95" s="2" t="s">
        <v>144</v>
      </c>
      <c r="O95" s="2" t="s">
        <v>1326</v>
      </c>
      <c r="P95" s="2" t="s">
        <v>1330</v>
      </c>
      <c r="Q95" s="2"/>
      <c r="R95" s="2"/>
      <c r="S95" s="2" t="s">
        <v>1331</v>
      </c>
      <c r="T95" s="2" t="s">
        <v>1332</v>
      </c>
      <c r="U95" s="2" t="s">
        <v>1333</v>
      </c>
    </row>
    <row r="96" customFormat="false" ht="46.25" hidden="false" customHeight="false" outlineLevel="0" collapsed="false">
      <c r="A96" s="2" t="s">
        <v>1198</v>
      </c>
      <c r="B96" s="2" t="s">
        <v>1320</v>
      </c>
      <c r="C96" s="2" t="s">
        <v>1320</v>
      </c>
      <c r="D96" s="2" t="s">
        <v>1321</v>
      </c>
      <c r="E96" s="2" t="s">
        <v>1334</v>
      </c>
      <c r="F96" s="2" t="s">
        <v>81</v>
      </c>
      <c r="G96" s="2" t="s">
        <v>1335</v>
      </c>
      <c r="H96" s="2" t="s">
        <v>1336</v>
      </c>
      <c r="I96" s="2" t="s">
        <v>183</v>
      </c>
      <c r="J96" s="2" t="s">
        <v>1326</v>
      </c>
      <c r="K96" s="2" t="s">
        <v>1337</v>
      </c>
      <c r="L96" s="2" t="s">
        <v>1338</v>
      </c>
      <c r="M96" s="2" t="s">
        <v>1339</v>
      </c>
      <c r="N96" s="2" t="s">
        <v>144</v>
      </c>
      <c r="O96" s="2" t="s">
        <v>1326</v>
      </c>
      <c r="P96" s="2" t="s">
        <v>1253</v>
      </c>
      <c r="Q96" s="2"/>
      <c r="R96" s="2"/>
      <c r="S96" s="2" t="s">
        <v>1340</v>
      </c>
      <c r="T96" s="2" t="s">
        <v>1341</v>
      </c>
      <c r="U96" s="2" t="s">
        <v>1342</v>
      </c>
    </row>
    <row r="97" customFormat="false" ht="91" hidden="false" customHeight="false" outlineLevel="0" collapsed="false">
      <c r="A97" s="2" t="s">
        <v>1198</v>
      </c>
      <c r="B97" s="2" t="s">
        <v>1320</v>
      </c>
      <c r="C97" s="2" t="s">
        <v>1343</v>
      </c>
      <c r="D97" s="2" t="s">
        <v>1344</v>
      </c>
      <c r="E97" s="2" t="s">
        <v>1345</v>
      </c>
      <c r="F97" s="2" t="s">
        <v>139</v>
      </c>
      <c r="G97" s="2" t="s">
        <v>1346</v>
      </c>
      <c r="H97" s="2" t="s">
        <v>1347</v>
      </c>
      <c r="I97" s="2" t="s">
        <v>1325</v>
      </c>
      <c r="J97" s="2" t="s">
        <v>1326</v>
      </c>
      <c r="K97" s="2" t="s">
        <v>1348</v>
      </c>
      <c r="L97" s="2" t="s">
        <v>1349</v>
      </c>
      <c r="M97" s="2" t="s">
        <v>1350</v>
      </c>
      <c r="N97" s="2" t="s">
        <v>72</v>
      </c>
      <c r="O97" s="2" t="s">
        <v>1326</v>
      </c>
      <c r="P97" s="2" t="s">
        <v>1351</v>
      </c>
      <c r="Q97" s="2"/>
      <c r="R97" s="2"/>
      <c r="S97" s="2" t="s">
        <v>1352</v>
      </c>
      <c r="T97" s="2" t="s">
        <v>1353</v>
      </c>
      <c r="U97" s="2" t="s">
        <v>1354</v>
      </c>
    </row>
    <row r="98" customFormat="false" ht="46.25" hidden="false" customHeight="false" outlineLevel="0" collapsed="false">
      <c r="A98" s="2" t="s">
        <v>1198</v>
      </c>
      <c r="B98" s="2" t="s">
        <v>1320</v>
      </c>
      <c r="C98" s="2" t="s">
        <v>1355</v>
      </c>
      <c r="D98" s="2" t="s">
        <v>1356</v>
      </c>
      <c r="E98" s="2" t="s">
        <v>1357</v>
      </c>
      <c r="F98" s="2" t="s">
        <v>81</v>
      </c>
      <c r="G98" s="2" t="s">
        <v>1358</v>
      </c>
      <c r="H98" s="2" t="s">
        <v>1359</v>
      </c>
      <c r="I98" s="2" t="s">
        <v>1360</v>
      </c>
      <c r="J98" s="2" t="s">
        <v>1361</v>
      </c>
      <c r="K98" s="2" t="s">
        <v>1362</v>
      </c>
      <c r="L98" s="2" t="s">
        <v>1363</v>
      </c>
      <c r="M98" s="2" t="s">
        <v>1364</v>
      </c>
      <c r="N98" s="2" t="s">
        <v>72</v>
      </c>
      <c r="O98" s="2" t="s">
        <v>1326</v>
      </c>
      <c r="P98" s="2" t="s">
        <v>1253</v>
      </c>
      <c r="Q98" s="2"/>
      <c r="R98" s="2"/>
      <c r="S98" s="2" t="s">
        <v>1365</v>
      </c>
      <c r="T98" s="2" t="s">
        <v>1366</v>
      </c>
      <c r="U98" s="2" t="s">
        <v>1367</v>
      </c>
    </row>
    <row r="99" customFormat="false" ht="35.05" hidden="false" customHeight="false" outlineLevel="0" collapsed="false">
      <c r="A99" s="2" t="s">
        <v>1198</v>
      </c>
      <c r="B99" s="2" t="s">
        <v>1320</v>
      </c>
      <c r="C99" s="2" t="s">
        <v>1368</v>
      </c>
      <c r="D99" s="2" t="s">
        <v>1356</v>
      </c>
      <c r="E99" s="2" t="s">
        <v>1369</v>
      </c>
      <c r="F99" s="2" t="s">
        <v>81</v>
      </c>
      <c r="G99" s="2" t="s">
        <v>1370</v>
      </c>
      <c r="H99" s="2" t="s">
        <v>1371</v>
      </c>
      <c r="I99" s="2" t="s">
        <v>1372</v>
      </c>
      <c r="J99" s="2" t="s">
        <v>1373</v>
      </c>
      <c r="K99" s="2" t="s">
        <v>1374</v>
      </c>
      <c r="L99" s="2" t="s">
        <v>1375</v>
      </c>
      <c r="M99" s="2" t="s">
        <v>1376</v>
      </c>
      <c r="N99" s="2" t="s">
        <v>72</v>
      </c>
      <c r="O99" s="2" t="s">
        <v>1326</v>
      </c>
      <c r="P99" s="2" t="s">
        <v>1253</v>
      </c>
      <c r="Q99" s="2"/>
      <c r="R99" s="2"/>
      <c r="S99" s="2" t="s">
        <v>1377</v>
      </c>
      <c r="T99" s="2" t="s">
        <v>1378</v>
      </c>
      <c r="U99" s="2" t="s">
        <v>1379</v>
      </c>
    </row>
    <row r="100" customFormat="false" ht="57.45" hidden="false" customHeight="false" outlineLevel="0" collapsed="false">
      <c r="A100" s="2" t="s">
        <v>1198</v>
      </c>
      <c r="B100" s="2" t="s">
        <v>1380</v>
      </c>
      <c r="C100" s="2" t="s">
        <v>1381</v>
      </c>
      <c r="D100" s="2" t="s">
        <v>1382</v>
      </c>
      <c r="E100" s="2" t="s">
        <v>1383</v>
      </c>
      <c r="F100" s="2" t="s">
        <v>66</v>
      </c>
      <c r="G100" s="2" t="s">
        <v>1384</v>
      </c>
      <c r="H100" s="2" t="s">
        <v>57</v>
      </c>
      <c r="I100" s="2" t="s">
        <v>359</v>
      </c>
      <c r="J100" s="2" t="s">
        <v>1385</v>
      </c>
      <c r="K100" s="2" t="s">
        <v>1386</v>
      </c>
      <c r="L100" s="2" t="s">
        <v>1387</v>
      </c>
      <c r="M100" s="2" t="s">
        <v>1388</v>
      </c>
      <c r="N100" s="2" t="s">
        <v>42</v>
      </c>
      <c r="O100" s="2" t="s">
        <v>57</v>
      </c>
      <c r="P100" s="2" t="s">
        <v>1253</v>
      </c>
      <c r="Q100" s="2"/>
      <c r="R100" s="2"/>
      <c r="S100" s="2" t="s">
        <v>1389</v>
      </c>
      <c r="T100" s="2" t="s">
        <v>1390</v>
      </c>
      <c r="U100" s="2" t="s">
        <v>1391</v>
      </c>
    </row>
    <row r="101" customFormat="false" ht="91" hidden="false" customHeight="false" outlineLevel="0" collapsed="false">
      <c r="A101" s="2" t="s">
        <v>1198</v>
      </c>
      <c r="B101" s="2" t="s">
        <v>1392</v>
      </c>
      <c r="C101" s="2" t="s">
        <v>1393</v>
      </c>
      <c r="D101" s="2" t="s">
        <v>1394</v>
      </c>
      <c r="E101" s="2" t="s">
        <v>1395</v>
      </c>
      <c r="F101" s="2" t="s">
        <v>139</v>
      </c>
      <c r="G101" s="2" t="s">
        <v>1396</v>
      </c>
      <c r="H101" s="2" t="s">
        <v>1397</v>
      </c>
      <c r="I101" s="2" t="s">
        <v>1398</v>
      </c>
      <c r="J101" s="2" t="s">
        <v>1326</v>
      </c>
      <c r="K101" s="2" t="s">
        <v>1399</v>
      </c>
      <c r="L101" s="2" t="s">
        <v>1400</v>
      </c>
      <c r="M101" s="2" t="s">
        <v>1401</v>
      </c>
      <c r="N101" s="2" t="s">
        <v>56</v>
      </c>
      <c r="O101" s="2" t="s">
        <v>1402</v>
      </c>
      <c r="P101" s="2" t="s">
        <v>1403</v>
      </c>
      <c r="Q101" s="2"/>
      <c r="R101" s="2"/>
      <c r="S101" s="2" t="s">
        <v>1404</v>
      </c>
      <c r="T101" s="2" t="s">
        <v>1405</v>
      </c>
      <c r="U101" s="2" t="s">
        <v>1406</v>
      </c>
    </row>
    <row r="102" customFormat="false" ht="46.25" hidden="false" customHeight="false" outlineLevel="0" collapsed="false">
      <c r="A102" s="2" t="s">
        <v>1198</v>
      </c>
      <c r="B102" s="2" t="s">
        <v>1407</v>
      </c>
      <c r="C102" s="2" t="s">
        <v>1408</v>
      </c>
      <c r="D102" s="2" t="s">
        <v>1409</v>
      </c>
      <c r="E102" s="2" t="s">
        <v>1410</v>
      </c>
      <c r="F102" s="2" t="s">
        <v>34</v>
      </c>
      <c r="G102" s="2" t="s">
        <v>1411</v>
      </c>
      <c r="H102" s="2" t="s">
        <v>1412</v>
      </c>
      <c r="I102" s="2" t="s">
        <v>1413</v>
      </c>
      <c r="J102" s="2" t="s">
        <v>1414</v>
      </c>
      <c r="K102" s="2" t="s">
        <v>1415</v>
      </c>
      <c r="L102" s="2" t="s">
        <v>1416</v>
      </c>
      <c r="M102" s="2" t="s">
        <v>1417</v>
      </c>
      <c r="N102" s="2" t="s">
        <v>144</v>
      </c>
      <c r="O102" s="2" t="s">
        <v>57</v>
      </c>
      <c r="P102" s="2" t="s">
        <v>1418</v>
      </c>
      <c r="Q102" s="2"/>
      <c r="R102" s="2"/>
      <c r="S102" s="2" t="s">
        <v>1419</v>
      </c>
      <c r="T102" s="2" t="s">
        <v>1420</v>
      </c>
      <c r="U102" s="2" t="s">
        <v>1421</v>
      </c>
    </row>
    <row r="103" customFormat="false" ht="68.65" hidden="false" customHeight="false" outlineLevel="0" collapsed="false">
      <c r="A103" s="2" t="s">
        <v>1198</v>
      </c>
      <c r="B103" s="2" t="s">
        <v>1422</v>
      </c>
      <c r="C103" s="2" t="s">
        <v>1423</v>
      </c>
      <c r="D103" s="2" t="s">
        <v>1424</v>
      </c>
      <c r="E103" s="2" t="s">
        <v>1425</v>
      </c>
      <c r="F103" s="2" t="s">
        <v>34</v>
      </c>
      <c r="G103" s="2" t="s">
        <v>1426</v>
      </c>
      <c r="H103" s="2" t="s">
        <v>1427</v>
      </c>
      <c r="I103" s="2" t="s">
        <v>1248</v>
      </c>
      <c r="J103" s="2" t="s">
        <v>1066</v>
      </c>
      <c r="K103" s="2" t="s">
        <v>1428</v>
      </c>
      <c r="L103" s="2" t="s">
        <v>1429</v>
      </c>
      <c r="M103" s="2" t="s">
        <v>1430</v>
      </c>
      <c r="N103" s="2" t="s">
        <v>56</v>
      </c>
      <c r="O103" s="2" t="s">
        <v>1431</v>
      </c>
      <c r="P103" s="2" t="s">
        <v>1432</v>
      </c>
      <c r="Q103" s="2" t="s">
        <v>1433</v>
      </c>
      <c r="R103" s="2"/>
      <c r="S103" s="2" t="s">
        <v>1434</v>
      </c>
      <c r="T103" s="2" t="s">
        <v>1435</v>
      </c>
      <c r="U103" s="2" t="s">
        <v>1436</v>
      </c>
    </row>
    <row r="104" customFormat="false" ht="57.45" hidden="false" customHeight="false" outlineLevel="0" collapsed="false">
      <c r="A104" s="2" t="s">
        <v>1198</v>
      </c>
      <c r="B104" s="2" t="s">
        <v>1422</v>
      </c>
      <c r="C104" s="2" t="s">
        <v>1437</v>
      </c>
      <c r="D104" s="2" t="s">
        <v>1438</v>
      </c>
      <c r="E104" s="2" t="s">
        <v>1439</v>
      </c>
      <c r="F104" s="2" t="s">
        <v>34</v>
      </c>
      <c r="G104" s="2" t="s">
        <v>1440</v>
      </c>
      <c r="H104" s="2" t="s">
        <v>1441</v>
      </c>
      <c r="I104" s="2" t="s">
        <v>1442</v>
      </c>
      <c r="J104" s="2" t="s">
        <v>225</v>
      </c>
      <c r="K104" s="2" t="s">
        <v>1443</v>
      </c>
      <c r="L104" s="2" t="s">
        <v>1444</v>
      </c>
      <c r="M104" s="2" t="s">
        <v>1445</v>
      </c>
      <c r="N104" s="2" t="s">
        <v>144</v>
      </c>
      <c r="O104" s="2" t="s">
        <v>1446</v>
      </c>
      <c r="P104" s="2" t="s">
        <v>1253</v>
      </c>
      <c r="Q104" s="2" t="s">
        <v>1447</v>
      </c>
      <c r="R104" s="2" t="s">
        <v>1448</v>
      </c>
      <c r="S104" s="2" t="s">
        <v>1449</v>
      </c>
      <c r="T104" s="2" t="s">
        <v>1450</v>
      </c>
      <c r="U104" s="2" t="s">
        <v>1451</v>
      </c>
    </row>
    <row r="105" customFormat="false" ht="113.4" hidden="false" customHeight="false" outlineLevel="0" collapsed="false">
      <c r="A105" s="2" t="s">
        <v>1198</v>
      </c>
      <c r="B105" s="2" t="s">
        <v>1422</v>
      </c>
      <c r="C105" s="2" t="s">
        <v>1422</v>
      </c>
      <c r="D105" s="2" t="s">
        <v>1452</v>
      </c>
      <c r="E105" s="2" t="s">
        <v>1453</v>
      </c>
      <c r="F105" s="2" t="s">
        <v>139</v>
      </c>
      <c r="G105" s="2" t="s">
        <v>1454</v>
      </c>
      <c r="H105" s="2" t="s">
        <v>1455</v>
      </c>
      <c r="I105" s="2" t="s">
        <v>1456</v>
      </c>
      <c r="J105" s="2" t="s">
        <v>1457</v>
      </c>
      <c r="K105" s="2" t="s">
        <v>1457</v>
      </c>
      <c r="L105" s="2" t="s">
        <v>1458</v>
      </c>
      <c r="M105" s="2" t="s">
        <v>1459</v>
      </c>
      <c r="N105" s="2" t="s">
        <v>144</v>
      </c>
      <c r="O105" s="2" t="s">
        <v>1460</v>
      </c>
      <c r="P105" s="2" t="s">
        <v>1253</v>
      </c>
      <c r="Q105" s="2"/>
      <c r="R105" s="2"/>
      <c r="S105" s="2" t="s">
        <v>1461</v>
      </c>
      <c r="T105" s="2" t="s">
        <v>1462</v>
      </c>
      <c r="U105" s="2" t="s">
        <v>1463</v>
      </c>
    </row>
    <row r="106" customFormat="false" ht="57.45" hidden="false" customHeight="false" outlineLevel="0" collapsed="false">
      <c r="A106" s="2" t="s">
        <v>1198</v>
      </c>
      <c r="B106" s="2" t="s">
        <v>1464</v>
      </c>
      <c r="C106" s="2" t="s">
        <v>1465</v>
      </c>
      <c r="D106" s="2" t="s">
        <v>1466</v>
      </c>
      <c r="E106" s="2" t="s">
        <v>1467</v>
      </c>
      <c r="F106" s="2" t="s">
        <v>66</v>
      </c>
      <c r="G106" s="2" t="s">
        <v>1468</v>
      </c>
      <c r="H106" s="2" t="s">
        <v>57</v>
      </c>
      <c r="I106" s="2" t="s">
        <v>1469</v>
      </c>
      <c r="J106" s="2" t="s">
        <v>1470</v>
      </c>
      <c r="K106" s="2" t="s">
        <v>1471</v>
      </c>
      <c r="L106" s="2" t="s">
        <v>1472</v>
      </c>
      <c r="M106" s="2" t="s">
        <v>1473</v>
      </c>
      <c r="N106" s="2" t="s">
        <v>144</v>
      </c>
      <c r="O106" s="2" t="s">
        <v>1474</v>
      </c>
      <c r="P106" s="2" t="s">
        <v>1253</v>
      </c>
      <c r="Q106" s="2"/>
      <c r="R106" s="2"/>
      <c r="S106" s="2" t="s">
        <v>1475</v>
      </c>
      <c r="T106" s="2" t="s">
        <v>1476</v>
      </c>
      <c r="U106" s="2" t="s">
        <v>1477</v>
      </c>
    </row>
    <row r="107" customFormat="false" ht="35.05" hidden="false" customHeight="false" outlineLevel="0" collapsed="false">
      <c r="A107" s="2" t="s">
        <v>1198</v>
      </c>
      <c r="B107" s="2" t="s">
        <v>1422</v>
      </c>
      <c r="C107" s="2" t="s">
        <v>1478</v>
      </c>
      <c r="D107" s="2" t="s">
        <v>1479</v>
      </c>
      <c r="E107" s="2" t="s">
        <v>1480</v>
      </c>
      <c r="F107" s="2" t="s">
        <v>193</v>
      </c>
      <c r="G107" s="2" t="s">
        <v>1481</v>
      </c>
      <c r="H107" s="2" t="s">
        <v>1482</v>
      </c>
      <c r="I107" s="2" t="s">
        <v>1483</v>
      </c>
      <c r="J107" s="2" t="s">
        <v>156</v>
      </c>
      <c r="K107" s="2" t="s">
        <v>1484</v>
      </c>
      <c r="L107" s="2" t="s">
        <v>1485</v>
      </c>
      <c r="M107" s="2" t="s">
        <v>1486</v>
      </c>
      <c r="N107" s="2" t="s">
        <v>89</v>
      </c>
      <c r="O107" s="2" t="s">
        <v>57</v>
      </c>
      <c r="P107" s="2" t="s">
        <v>1487</v>
      </c>
      <c r="Q107" s="2"/>
      <c r="R107" s="2"/>
      <c r="S107" s="2" t="s">
        <v>1488</v>
      </c>
      <c r="T107" s="2" t="s">
        <v>1489</v>
      </c>
      <c r="U107" s="2" t="s">
        <v>1490</v>
      </c>
    </row>
    <row r="108" customFormat="false" ht="35.05" hidden="false" customHeight="false" outlineLevel="0" collapsed="false">
      <c r="A108" s="2" t="s">
        <v>1198</v>
      </c>
      <c r="B108" s="2" t="s">
        <v>1422</v>
      </c>
      <c r="C108" s="2" t="s">
        <v>1491</v>
      </c>
      <c r="D108" s="2" t="s">
        <v>1479</v>
      </c>
      <c r="E108" s="2" t="s">
        <v>1492</v>
      </c>
      <c r="F108" s="2" t="s">
        <v>193</v>
      </c>
      <c r="G108" s="2" t="s">
        <v>1493</v>
      </c>
      <c r="H108" s="2" t="s">
        <v>1494</v>
      </c>
      <c r="I108" s="2" t="s">
        <v>183</v>
      </c>
      <c r="J108" s="2" t="s">
        <v>57</v>
      </c>
      <c r="K108" s="2" t="s">
        <v>57</v>
      </c>
      <c r="L108" s="2" t="s">
        <v>57</v>
      </c>
      <c r="M108" s="2" t="s">
        <v>1495</v>
      </c>
      <c r="N108" s="2" t="s">
        <v>89</v>
      </c>
      <c r="O108" s="2" t="s">
        <v>57</v>
      </c>
      <c r="P108" s="2" t="s">
        <v>1496</v>
      </c>
      <c r="Q108" s="2"/>
      <c r="R108" s="2"/>
      <c r="S108" s="2" t="s">
        <v>1497</v>
      </c>
      <c r="T108" s="2" t="s">
        <v>1498</v>
      </c>
      <c r="U108" s="2" t="s">
        <v>1499</v>
      </c>
    </row>
    <row r="109" customFormat="false" ht="46.25" hidden="false" customHeight="false" outlineLevel="0" collapsed="false">
      <c r="A109" s="2" t="s">
        <v>1198</v>
      </c>
      <c r="B109" s="2" t="s">
        <v>1500</v>
      </c>
      <c r="C109" s="2" t="s">
        <v>1501</v>
      </c>
      <c r="D109" s="2" t="s">
        <v>1502</v>
      </c>
      <c r="E109" s="2" t="s">
        <v>1503</v>
      </c>
      <c r="F109" s="2" t="s">
        <v>139</v>
      </c>
      <c r="G109" s="2" t="s">
        <v>1504</v>
      </c>
      <c r="H109" s="2" t="s">
        <v>1326</v>
      </c>
      <c r="I109" s="2" t="s">
        <v>1505</v>
      </c>
      <c r="J109" s="2" t="s">
        <v>1326</v>
      </c>
      <c r="K109" s="2" t="s">
        <v>1326</v>
      </c>
      <c r="L109" s="2" t="s">
        <v>1506</v>
      </c>
      <c r="M109" s="2" t="s">
        <v>1507</v>
      </c>
      <c r="N109" s="2" t="s">
        <v>89</v>
      </c>
      <c r="O109" s="2" t="s">
        <v>57</v>
      </c>
      <c r="P109" s="2" t="s">
        <v>1253</v>
      </c>
      <c r="Q109" s="2"/>
      <c r="R109" s="2"/>
      <c r="S109" s="2" t="s">
        <v>1508</v>
      </c>
      <c r="T109" s="2" t="s">
        <v>1509</v>
      </c>
      <c r="U109" s="2" t="s">
        <v>1510</v>
      </c>
    </row>
    <row r="110" customFormat="false" ht="46.25" hidden="false" customHeight="false" outlineLevel="0" collapsed="false">
      <c r="A110" s="2" t="s">
        <v>1198</v>
      </c>
      <c r="B110" s="2" t="s">
        <v>1511</v>
      </c>
      <c r="C110" s="2" t="s">
        <v>1512</v>
      </c>
      <c r="D110" s="2" t="s">
        <v>1513</v>
      </c>
      <c r="E110" s="2" t="s">
        <v>1514</v>
      </c>
      <c r="F110" s="2" t="s">
        <v>34</v>
      </c>
      <c r="G110" s="2" t="s">
        <v>1515</v>
      </c>
      <c r="H110" s="2" t="s">
        <v>1516</v>
      </c>
      <c r="I110" s="2" t="s">
        <v>1517</v>
      </c>
      <c r="J110" s="2" t="s">
        <v>225</v>
      </c>
      <c r="K110" s="2" t="s">
        <v>1518</v>
      </c>
      <c r="L110" s="2" t="s">
        <v>1519</v>
      </c>
      <c r="M110" s="2" t="s">
        <v>1520</v>
      </c>
      <c r="N110" s="2" t="s">
        <v>144</v>
      </c>
      <c r="O110" s="2" t="s">
        <v>1521</v>
      </c>
      <c r="P110" s="2" t="s">
        <v>1522</v>
      </c>
      <c r="Q110" s="2" t="s">
        <v>1523</v>
      </c>
      <c r="R110" s="2"/>
      <c r="S110" s="2" t="s">
        <v>1524</v>
      </c>
      <c r="T110" s="2" t="s">
        <v>1525</v>
      </c>
      <c r="U110" s="2" t="s">
        <v>1526</v>
      </c>
    </row>
    <row r="111" customFormat="false" ht="46.25" hidden="false" customHeight="false" outlineLevel="0" collapsed="false">
      <c r="A111" s="2" t="s">
        <v>1198</v>
      </c>
      <c r="B111" s="2" t="s">
        <v>1511</v>
      </c>
      <c r="C111" s="2" t="s">
        <v>1527</v>
      </c>
      <c r="D111" s="2" t="s">
        <v>1528</v>
      </c>
      <c r="E111" s="2" t="s">
        <v>1529</v>
      </c>
      <c r="F111" s="2" t="s">
        <v>34</v>
      </c>
      <c r="G111" s="2" t="s">
        <v>1530</v>
      </c>
      <c r="H111" s="2" t="s">
        <v>1531</v>
      </c>
      <c r="I111" s="2" t="s">
        <v>1532</v>
      </c>
      <c r="J111" s="2" t="s">
        <v>253</v>
      </c>
      <c r="K111" s="2" t="s">
        <v>1533</v>
      </c>
      <c r="L111" s="2" t="s">
        <v>1534</v>
      </c>
      <c r="M111" s="2" t="s">
        <v>1535</v>
      </c>
      <c r="N111" s="2" t="s">
        <v>144</v>
      </c>
      <c r="O111" s="2" t="s">
        <v>58</v>
      </c>
      <c r="P111" s="2" t="s">
        <v>1253</v>
      </c>
      <c r="Q111" s="2"/>
      <c r="R111" s="2"/>
      <c r="S111" s="2" t="s">
        <v>1536</v>
      </c>
      <c r="T111" s="2" t="s">
        <v>1537</v>
      </c>
      <c r="U111" s="2" t="s">
        <v>1538</v>
      </c>
    </row>
    <row r="112" customFormat="false" ht="46.25" hidden="false" customHeight="false" outlineLevel="0" collapsed="false">
      <c r="A112" s="2" t="s">
        <v>1198</v>
      </c>
      <c r="B112" s="2" t="s">
        <v>1511</v>
      </c>
      <c r="C112" s="2" t="s">
        <v>1539</v>
      </c>
      <c r="D112" s="2" t="s">
        <v>1540</v>
      </c>
      <c r="E112" s="2" t="s">
        <v>1541</v>
      </c>
      <c r="F112" s="2" t="s">
        <v>347</v>
      </c>
      <c r="G112" s="2" t="s">
        <v>1542</v>
      </c>
      <c r="H112" s="2" t="s">
        <v>1543</v>
      </c>
      <c r="I112" s="2" t="s">
        <v>1544</v>
      </c>
      <c r="J112" s="2" t="s">
        <v>1545</v>
      </c>
      <c r="K112" s="2" t="s">
        <v>1546</v>
      </c>
      <c r="L112" s="2" t="s">
        <v>1547</v>
      </c>
      <c r="M112" s="2" t="s">
        <v>1548</v>
      </c>
      <c r="N112" s="2" t="s">
        <v>144</v>
      </c>
      <c r="O112" s="2" t="s">
        <v>1549</v>
      </c>
      <c r="P112" s="2" t="s">
        <v>1253</v>
      </c>
      <c r="Q112" s="2"/>
      <c r="R112" s="2"/>
      <c r="S112" s="2" t="s">
        <v>1550</v>
      </c>
      <c r="T112" s="2" t="s">
        <v>1551</v>
      </c>
      <c r="U112" s="2" t="s">
        <v>1552</v>
      </c>
    </row>
    <row r="113" customFormat="false" ht="46.25" hidden="false" customHeight="false" outlineLevel="0" collapsed="false">
      <c r="A113" s="2" t="s">
        <v>1198</v>
      </c>
      <c r="B113" s="2" t="s">
        <v>1553</v>
      </c>
      <c r="C113" s="2" t="s">
        <v>1554</v>
      </c>
      <c r="D113" s="2" t="s">
        <v>1555</v>
      </c>
      <c r="E113" s="2" t="s">
        <v>1556</v>
      </c>
      <c r="F113" s="2" t="s">
        <v>347</v>
      </c>
      <c r="G113" s="2" t="s">
        <v>1557</v>
      </c>
      <c r="H113" s="2" t="s">
        <v>1558</v>
      </c>
      <c r="I113" s="2" t="s">
        <v>1559</v>
      </c>
      <c r="J113" s="2" t="s">
        <v>1560</v>
      </c>
      <c r="K113" s="2" t="s">
        <v>1561</v>
      </c>
      <c r="L113" s="2" t="s">
        <v>1562</v>
      </c>
      <c r="M113" s="2" t="s">
        <v>1563</v>
      </c>
      <c r="N113" s="2" t="s">
        <v>144</v>
      </c>
      <c r="O113" s="2" t="s">
        <v>1564</v>
      </c>
      <c r="P113" s="2" t="s">
        <v>1253</v>
      </c>
      <c r="Q113" s="2" t="s">
        <v>1565</v>
      </c>
      <c r="R113" s="2"/>
      <c r="S113" s="2" t="s">
        <v>1566</v>
      </c>
      <c r="T113" s="2" t="s">
        <v>1567</v>
      </c>
      <c r="U113" s="2" t="s">
        <v>1568</v>
      </c>
    </row>
    <row r="114" customFormat="false" ht="46.25" hidden="false" customHeight="false" outlineLevel="0" collapsed="false">
      <c r="A114" s="2" t="s">
        <v>1198</v>
      </c>
      <c r="B114" s="2" t="s">
        <v>1553</v>
      </c>
      <c r="C114" s="2" t="s">
        <v>1553</v>
      </c>
      <c r="D114" s="2" t="s">
        <v>1569</v>
      </c>
      <c r="E114" s="2" t="s">
        <v>1570</v>
      </c>
      <c r="F114" s="2" t="s">
        <v>139</v>
      </c>
      <c r="G114" s="2" t="s">
        <v>1571</v>
      </c>
      <c r="H114" s="2" t="s">
        <v>1572</v>
      </c>
      <c r="I114" s="2" t="s">
        <v>1573</v>
      </c>
      <c r="J114" s="2" t="s">
        <v>1574</v>
      </c>
      <c r="K114" s="2" t="s">
        <v>1457</v>
      </c>
      <c r="L114" s="2" t="s">
        <v>1575</v>
      </c>
      <c r="M114" s="2" t="s">
        <v>1576</v>
      </c>
      <c r="N114" s="2" t="s">
        <v>144</v>
      </c>
      <c r="O114" s="2" t="s">
        <v>1577</v>
      </c>
      <c r="P114" s="2" t="s">
        <v>1578</v>
      </c>
      <c r="Q114" s="2"/>
      <c r="R114" s="2"/>
      <c r="S114" s="2" t="s">
        <v>1579</v>
      </c>
      <c r="T114" s="2" t="s">
        <v>1580</v>
      </c>
      <c r="U114" s="2" t="s">
        <v>1581</v>
      </c>
    </row>
    <row r="115" customFormat="false" ht="46.25" hidden="false" customHeight="false" outlineLevel="0" collapsed="false">
      <c r="A115" s="2" t="s">
        <v>1198</v>
      </c>
      <c r="B115" s="2" t="s">
        <v>1553</v>
      </c>
      <c r="C115" s="2" t="s">
        <v>1582</v>
      </c>
      <c r="D115" s="2" t="s">
        <v>1583</v>
      </c>
      <c r="E115" s="2" t="s">
        <v>1584</v>
      </c>
      <c r="F115" s="2" t="s">
        <v>81</v>
      </c>
      <c r="G115" s="2" t="s">
        <v>1585</v>
      </c>
      <c r="H115" s="2" t="s">
        <v>1586</v>
      </c>
      <c r="I115" s="2" t="s">
        <v>1587</v>
      </c>
      <c r="J115" s="2" t="s">
        <v>1588</v>
      </c>
      <c r="K115" s="2" t="s">
        <v>1589</v>
      </c>
      <c r="L115" s="2" t="s">
        <v>1590</v>
      </c>
      <c r="M115" s="2" t="s">
        <v>1591</v>
      </c>
      <c r="N115" s="2" t="s">
        <v>144</v>
      </c>
      <c r="O115" s="2" t="s">
        <v>57</v>
      </c>
      <c r="P115" s="2" t="s">
        <v>1592</v>
      </c>
      <c r="Q115" s="2"/>
      <c r="R115" s="2"/>
      <c r="S115" s="2" t="s">
        <v>1593</v>
      </c>
      <c r="T115" s="2" t="s">
        <v>1594</v>
      </c>
      <c r="U115" s="2" t="s">
        <v>1595</v>
      </c>
    </row>
    <row r="116" customFormat="false" ht="46.25" hidden="false" customHeight="false" outlineLevel="0" collapsed="false">
      <c r="A116" s="2" t="s">
        <v>1198</v>
      </c>
      <c r="B116" s="2" t="s">
        <v>1553</v>
      </c>
      <c r="C116" s="2" t="s">
        <v>1596</v>
      </c>
      <c r="D116" s="2" t="s">
        <v>1597</v>
      </c>
      <c r="E116" s="2" t="s">
        <v>1598</v>
      </c>
      <c r="F116" s="2" t="s">
        <v>193</v>
      </c>
      <c r="G116" s="2" t="s">
        <v>1599</v>
      </c>
      <c r="H116" s="2" t="s">
        <v>1600</v>
      </c>
      <c r="I116" s="2" t="s">
        <v>183</v>
      </c>
      <c r="J116" s="2" t="s">
        <v>1601</v>
      </c>
      <c r="K116" s="2" t="s">
        <v>1602</v>
      </c>
      <c r="L116" s="2" t="s">
        <v>1603</v>
      </c>
      <c r="M116" s="2" t="s">
        <v>1604</v>
      </c>
      <c r="N116" s="2" t="s">
        <v>89</v>
      </c>
      <c r="O116" s="2" t="s">
        <v>57</v>
      </c>
      <c r="P116" s="2" t="s">
        <v>1605</v>
      </c>
      <c r="Q116" s="2"/>
      <c r="R116" s="2"/>
      <c r="S116" s="2" t="s">
        <v>1606</v>
      </c>
      <c r="T116" s="2" t="s">
        <v>1607</v>
      </c>
      <c r="U116" s="2" t="s">
        <v>1608</v>
      </c>
    </row>
    <row r="117" customFormat="false" ht="57.45" hidden="false" customHeight="false" outlineLevel="0" collapsed="false">
      <c r="A117" s="2" t="s">
        <v>1198</v>
      </c>
      <c r="B117" s="2" t="s">
        <v>1609</v>
      </c>
      <c r="C117" s="2" t="s">
        <v>1610</v>
      </c>
      <c r="D117" s="2" t="s">
        <v>1611</v>
      </c>
      <c r="E117" s="2" t="s">
        <v>1612</v>
      </c>
      <c r="F117" s="2" t="s">
        <v>34</v>
      </c>
      <c r="G117" s="2" t="s">
        <v>1613</v>
      </c>
      <c r="H117" s="2" t="s">
        <v>1614</v>
      </c>
      <c r="I117" s="2" t="s">
        <v>1615</v>
      </c>
      <c r="J117" s="2" t="s">
        <v>1616</v>
      </c>
      <c r="K117" s="2" t="s">
        <v>1617</v>
      </c>
      <c r="L117" s="2" t="s">
        <v>1618</v>
      </c>
      <c r="M117" s="2" t="s">
        <v>1619</v>
      </c>
      <c r="N117" s="2" t="s">
        <v>56</v>
      </c>
      <c r="O117" s="2" t="s">
        <v>57</v>
      </c>
      <c r="P117" s="2" t="s">
        <v>1253</v>
      </c>
      <c r="Q117" s="2" t="s">
        <v>1620</v>
      </c>
      <c r="R117" s="2"/>
      <c r="S117" s="2" t="s">
        <v>1621</v>
      </c>
      <c r="T117" s="2" t="s">
        <v>1622</v>
      </c>
      <c r="U117" s="2" t="s">
        <v>1623</v>
      </c>
    </row>
    <row r="118" customFormat="false" ht="46.25" hidden="false" customHeight="false" outlineLevel="0" collapsed="false">
      <c r="A118" s="2" t="s">
        <v>1198</v>
      </c>
      <c r="B118" s="2" t="s">
        <v>1609</v>
      </c>
      <c r="C118" s="2" t="s">
        <v>1624</v>
      </c>
      <c r="D118" s="2" t="s">
        <v>1611</v>
      </c>
      <c r="E118" s="2" t="s">
        <v>1625</v>
      </c>
      <c r="F118" s="2" t="s">
        <v>34</v>
      </c>
      <c r="G118" s="2" t="s">
        <v>1626</v>
      </c>
      <c r="H118" s="2" t="s">
        <v>1627</v>
      </c>
      <c r="I118" s="2" t="s">
        <v>1628</v>
      </c>
      <c r="J118" s="2" t="s">
        <v>225</v>
      </c>
      <c r="K118" s="2" t="s">
        <v>1629</v>
      </c>
      <c r="L118" s="2" t="s">
        <v>1630</v>
      </c>
      <c r="M118" s="2" t="s">
        <v>1631</v>
      </c>
      <c r="N118" s="2" t="s">
        <v>144</v>
      </c>
      <c r="O118" s="2" t="s">
        <v>57</v>
      </c>
      <c r="P118" s="2" t="s">
        <v>1253</v>
      </c>
      <c r="Q118" s="2" t="s">
        <v>1620</v>
      </c>
      <c r="R118" s="2"/>
      <c r="S118" s="2" t="s">
        <v>1632</v>
      </c>
      <c r="T118" s="2" t="s">
        <v>1633</v>
      </c>
      <c r="U118" s="2" t="s">
        <v>1634</v>
      </c>
    </row>
    <row r="119" customFormat="false" ht="79.85" hidden="false" customHeight="false" outlineLevel="0" collapsed="false">
      <c r="A119" s="2" t="s">
        <v>1198</v>
      </c>
      <c r="B119" s="2" t="s">
        <v>1609</v>
      </c>
      <c r="C119" s="2" t="s">
        <v>1610</v>
      </c>
      <c r="D119" s="2" t="s">
        <v>1635</v>
      </c>
      <c r="E119" s="2" t="s">
        <v>1636</v>
      </c>
      <c r="F119" s="2" t="s">
        <v>347</v>
      </c>
      <c r="G119" s="2" t="s">
        <v>1637</v>
      </c>
      <c r="H119" s="2" t="s">
        <v>1638</v>
      </c>
      <c r="I119" s="2" t="s">
        <v>1639</v>
      </c>
      <c r="J119" s="2" t="s">
        <v>225</v>
      </c>
      <c r="K119" s="2" t="s">
        <v>1640</v>
      </c>
      <c r="L119" s="2" t="s">
        <v>1641</v>
      </c>
      <c r="M119" s="2" t="s">
        <v>1642</v>
      </c>
      <c r="N119" s="2" t="s">
        <v>144</v>
      </c>
      <c r="O119" s="2" t="s">
        <v>57</v>
      </c>
      <c r="P119" s="2" t="s">
        <v>1253</v>
      </c>
      <c r="Q119" s="2" t="s">
        <v>1620</v>
      </c>
      <c r="R119" s="2"/>
      <c r="S119" s="2" t="s">
        <v>1643</v>
      </c>
      <c r="T119" s="2" t="s">
        <v>1644</v>
      </c>
      <c r="U119" s="2" t="s">
        <v>1645</v>
      </c>
    </row>
    <row r="120" customFormat="false" ht="35.05" hidden="false" customHeight="false" outlineLevel="0" collapsed="false">
      <c r="A120" s="2" t="s">
        <v>1198</v>
      </c>
      <c r="B120" s="2" t="s">
        <v>1646</v>
      </c>
      <c r="C120" s="2" t="s">
        <v>1647</v>
      </c>
      <c r="D120" s="2" t="s">
        <v>1648</v>
      </c>
      <c r="E120" s="2" t="s">
        <v>1649</v>
      </c>
      <c r="F120" s="2" t="s">
        <v>193</v>
      </c>
      <c r="G120" s="2" t="s">
        <v>1650</v>
      </c>
      <c r="H120" s="2" t="s">
        <v>1651</v>
      </c>
      <c r="I120" s="2" t="s">
        <v>1652</v>
      </c>
      <c r="J120" s="2" t="s">
        <v>1653</v>
      </c>
      <c r="K120" s="2" t="s">
        <v>1654</v>
      </c>
      <c r="L120" s="2" t="s">
        <v>1655</v>
      </c>
      <c r="M120" s="2" t="s">
        <v>1656</v>
      </c>
      <c r="N120" s="2" t="s">
        <v>89</v>
      </c>
      <c r="O120" s="2" t="s">
        <v>57</v>
      </c>
      <c r="P120" s="2" t="s">
        <v>1657</v>
      </c>
      <c r="Q120" s="2"/>
      <c r="R120" s="2"/>
      <c r="S120" s="2" t="s">
        <v>1658</v>
      </c>
      <c r="T120" s="2" t="s">
        <v>1659</v>
      </c>
      <c r="U120" s="2" t="s">
        <v>1660</v>
      </c>
    </row>
    <row r="121" customFormat="false" ht="57.45" hidden="false" customHeight="false" outlineLevel="0" collapsed="false">
      <c r="A121" s="2" t="s">
        <v>1198</v>
      </c>
      <c r="B121" s="2" t="s">
        <v>1661</v>
      </c>
      <c r="C121" s="2" t="s">
        <v>1662</v>
      </c>
      <c r="D121" s="2" t="s">
        <v>1663</v>
      </c>
      <c r="E121" s="2" t="s">
        <v>1664</v>
      </c>
      <c r="F121" s="2" t="s">
        <v>66</v>
      </c>
      <c r="G121" s="2" t="s">
        <v>1665</v>
      </c>
      <c r="H121" s="2" t="s">
        <v>57</v>
      </c>
      <c r="I121" s="2" t="s">
        <v>359</v>
      </c>
      <c r="J121" s="2" t="s">
        <v>1666</v>
      </c>
      <c r="K121" s="2" t="s">
        <v>1667</v>
      </c>
      <c r="L121" s="2" t="s">
        <v>1668</v>
      </c>
      <c r="M121" s="2" t="s">
        <v>1669</v>
      </c>
      <c r="N121" s="2" t="s">
        <v>144</v>
      </c>
      <c r="O121" s="2" t="s">
        <v>57</v>
      </c>
      <c r="P121" s="2" t="s">
        <v>1253</v>
      </c>
      <c r="Q121" s="2" t="s">
        <v>1670</v>
      </c>
      <c r="R121" s="2"/>
      <c r="S121" s="2" t="s">
        <v>1671</v>
      </c>
      <c r="T121" s="2" t="s">
        <v>1672</v>
      </c>
      <c r="U121" s="2" t="s">
        <v>1673</v>
      </c>
    </row>
    <row r="122" customFormat="false" ht="35.05" hidden="false" customHeight="false" outlineLevel="0" collapsed="false">
      <c r="A122" s="2" t="s">
        <v>1198</v>
      </c>
      <c r="B122" s="2" t="s">
        <v>1661</v>
      </c>
      <c r="C122" s="2" t="s">
        <v>1674</v>
      </c>
      <c r="D122" s="2" t="s">
        <v>1663</v>
      </c>
      <c r="E122" s="2" t="s">
        <v>1675</v>
      </c>
      <c r="F122" s="2" t="s">
        <v>66</v>
      </c>
      <c r="G122" s="2" t="s">
        <v>1676</v>
      </c>
      <c r="H122" s="2" t="s">
        <v>57</v>
      </c>
      <c r="I122" s="2" t="s">
        <v>359</v>
      </c>
      <c r="J122" s="2" t="s">
        <v>1677</v>
      </c>
      <c r="K122" s="2" t="s">
        <v>1678</v>
      </c>
      <c r="L122" s="2" t="s">
        <v>1679</v>
      </c>
      <c r="M122" s="2" t="s">
        <v>1680</v>
      </c>
      <c r="N122" s="2" t="s">
        <v>144</v>
      </c>
      <c r="O122" s="2" t="s">
        <v>57</v>
      </c>
      <c r="P122" s="2" t="s">
        <v>1681</v>
      </c>
      <c r="Q122" s="2"/>
      <c r="R122" s="2"/>
      <c r="S122" s="2" t="s">
        <v>1682</v>
      </c>
      <c r="T122" s="2" t="s">
        <v>1683</v>
      </c>
      <c r="U122" s="2" t="s">
        <v>1684</v>
      </c>
    </row>
    <row r="123" customFormat="false" ht="46.25" hidden="false" customHeight="false" outlineLevel="0" collapsed="false">
      <c r="A123" s="2" t="s">
        <v>1198</v>
      </c>
      <c r="B123" s="2" t="s">
        <v>1661</v>
      </c>
      <c r="C123" s="2" t="s">
        <v>1685</v>
      </c>
      <c r="D123" s="2" t="s">
        <v>1686</v>
      </c>
      <c r="E123" s="2" t="s">
        <v>1687</v>
      </c>
      <c r="F123" s="2" t="s">
        <v>66</v>
      </c>
      <c r="G123" s="2" t="s">
        <v>1688</v>
      </c>
      <c r="H123" s="2" t="s">
        <v>57</v>
      </c>
      <c r="I123" s="2" t="s">
        <v>359</v>
      </c>
      <c r="J123" s="2" t="s">
        <v>1689</v>
      </c>
      <c r="K123" s="2" t="s">
        <v>1690</v>
      </c>
      <c r="L123" s="2" t="s">
        <v>1691</v>
      </c>
      <c r="M123" s="2" t="s">
        <v>1692</v>
      </c>
      <c r="N123" s="2" t="s">
        <v>56</v>
      </c>
      <c r="O123" s="2" t="s">
        <v>57</v>
      </c>
      <c r="P123" s="2" t="s">
        <v>1693</v>
      </c>
      <c r="Q123" s="2"/>
      <c r="R123" s="2"/>
      <c r="S123" s="2" t="s">
        <v>1694</v>
      </c>
      <c r="T123" s="2" t="s">
        <v>1695</v>
      </c>
      <c r="U123" s="2" t="s">
        <v>1696</v>
      </c>
    </row>
    <row r="124" customFormat="false" ht="46.25" hidden="false" customHeight="false" outlineLevel="0" collapsed="false">
      <c r="A124" s="2" t="s">
        <v>1198</v>
      </c>
      <c r="B124" s="2" t="s">
        <v>1661</v>
      </c>
      <c r="C124" s="2" t="s">
        <v>1697</v>
      </c>
      <c r="D124" s="2" t="s">
        <v>1686</v>
      </c>
      <c r="E124" s="2" t="s">
        <v>1698</v>
      </c>
      <c r="F124" s="2" t="s">
        <v>81</v>
      </c>
      <c r="G124" s="2" t="s">
        <v>1699</v>
      </c>
      <c r="H124" s="2" t="s">
        <v>1700</v>
      </c>
      <c r="I124" s="2" t="s">
        <v>1701</v>
      </c>
      <c r="J124" s="2" t="s">
        <v>1702</v>
      </c>
      <c r="K124" s="2" t="s">
        <v>1703</v>
      </c>
      <c r="L124" s="2" t="s">
        <v>1704</v>
      </c>
      <c r="M124" s="2" t="s">
        <v>1705</v>
      </c>
      <c r="N124" s="2" t="s">
        <v>144</v>
      </c>
      <c r="O124" s="2" t="s">
        <v>1326</v>
      </c>
      <c r="P124" s="2" t="s">
        <v>1706</v>
      </c>
      <c r="Q124" s="2"/>
      <c r="R124" s="2"/>
      <c r="S124" s="2" t="s">
        <v>1707</v>
      </c>
      <c r="T124" s="2" t="s">
        <v>1708</v>
      </c>
      <c r="U124" s="2" t="s">
        <v>1709</v>
      </c>
    </row>
    <row r="125" customFormat="false" ht="35.05" hidden="false" customHeight="false" outlineLevel="0" collapsed="false">
      <c r="A125" s="2" t="s">
        <v>1198</v>
      </c>
      <c r="B125" s="2" t="s">
        <v>1710</v>
      </c>
      <c r="C125" s="2" t="s">
        <v>1711</v>
      </c>
      <c r="D125" s="2" t="s">
        <v>1712</v>
      </c>
      <c r="E125" s="2" t="s">
        <v>1713</v>
      </c>
      <c r="F125" s="2" t="s">
        <v>81</v>
      </c>
      <c r="G125" s="2" t="s">
        <v>1714</v>
      </c>
      <c r="H125" s="2" t="s">
        <v>1715</v>
      </c>
      <c r="I125" s="2" t="s">
        <v>1716</v>
      </c>
      <c r="J125" s="2" t="s">
        <v>1717</v>
      </c>
      <c r="K125" s="2" t="s">
        <v>1718</v>
      </c>
      <c r="L125" s="2" t="s">
        <v>1363</v>
      </c>
      <c r="M125" s="2" t="s">
        <v>1719</v>
      </c>
      <c r="N125" s="2" t="s">
        <v>144</v>
      </c>
      <c r="O125" s="2" t="s">
        <v>1326</v>
      </c>
      <c r="P125" s="2" t="s">
        <v>1253</v>
      </c>
      <c r="Q125" s="2" t="s">
        <v>1720</v>
      </c>
      <c r="R125" s="2"/>
      <c r="S125" s="2" t="s">
        <v>1721</v>
      </c>
      <c r="T125" s="2" t="s">
        <v>1722</v>
      </c>
      <c r="U125" s="2" t="s">
        <v>1723</v>
      </c>
    </row>
    <row r="126" customFormat="false" ht="46.25" hidden="false" customHeight="false" outlineLevel="0" collapsed="false">
      <c r="A126" s="2" t="s">
        <v>1198</v>
      </c>
      <c r="B126" s="2" t="s">
        <v>1661</v>
      </c>
      <c r="C126" s="2" t="s">
        <v>1724</v>
      </c>
      <c r="D126" s="2" t="s">
        <v>1712</v>
      </c>
      <c r="E126" s="2" t="s">
        <v>1725</v>
      </c>
      <c r="F126" s="2" t="s">
        <v>81</v>
      </c>
      <c r="G126" s="2" t="s">
        <v>1726</v>
      </c>
      <c r="H126" s="2" t="s">
        <v>1727</v>
      </c>
      <c r="I126" s="2" t="s">
        <v>1728</v>
      </c>
      <c r="J126" s="2" t="s">
        <v>1729</v>
      </c>
      <c r="K126" s="2" t="s">
        <v>1730</v>
      </c>
      <c r="L126" s="2" t="s">
        <v>1731</v>
      </c>
      <c r="M126" s="2" t="s">
        <v>1732</v>
      </c>
      <c r="N126" s="2" t="s">
        <v>144</v>
      </c>
      <c r="O126" s="2" t="s">
        <v>1326</v>
      </c>
      <c r="P126" s="2" t="s">
        <v>1253</v>
      </c>
      <c r="Q126" s="2"/>
      <c r="R126" s="2"/>
      <c r="S126" s="2" t="s">
        <v>1733</v>
      </c>
      <c r="T126" s="2" t="s">
        <v>1734</v>
      </c>
      <c r="U126" s="2" t="s">
        <v>1735</v>
      </c>
    </row>
    <row r="127" customFormat="false" ht="57.45" hidden="false" customHeight="false" outlineLevel="0" collapsed="false">
      <c r="A127" s="2" t="s">
        <v>1198</v>
      </c>
      <c r="B127" s="2" t="s">
        <v>1710</v>
      </c>
      <c r="C127" s="2" t="s">
        <v>1736</v>
      </c>
      <c r="D127" s="2" t="s">
        <v>1712</v>
      </c>
      <c r="E127" s="2" t="s">
        <v>1737</v>
      </c>
      <c r="F127" s="2" t="s">
        <v>81</v>
      </c>
      <c r="G127" s="2" t="s">
        <v>1738</v>
      </c>
      <c r="H127" s="2" t="s">
        <v>1739</v>
      </c>
      <c r="I127" s="2" t="s">
        <v>1716</v>
      </c>
      <c r="J127" s="2" t="s">
        <v>1740</v>
      </c>
      <c r="K127" s="2" t="s">
        <v>1741</v>
      </c>
      <c r="L127" s="2" t="s">
        <v>1742</v>
      </c>
      <c r="M127" s="2" t="s">
        <v>1743</v>
      </c>
      <c r="N127" s="2" t="s">
        <v>144</v>
      </c>
      <c r="O127" s="2" t="s">
        <v>1326</v>
      </c>
      <c r="P127" s="2" t="s">
        <v>1744</v>
      </c>
      <c r="Q127" s="2" t="s">
        <v>1745</v>
      </c>
      <c r="R127" s="2"/>
      <c r="S127" s="2" t="s">
        <v>1746</v>
      </c>
      <c r="T127" s="2" t="s">
        <v>1747</v>
      </c>
      <c r="U127" s="2" t="s">
        <v>1748</v>
      </c>
    </row>
    <row r="128" customFormat="false" ht="46.25" hidden="false" customHeight="false" outlineLevel="0" collapsed="false">
      <c r="A128" s="2" t="s">
        <v>1198</v>
      </c>
      <c r="B128" s="2" t="s">
        <v>1661</v>
      </c>
      <c r="C128" s="2" t="s">
        <v>1749</v>
      </c>
      <c r="D128" s="2" t="s">
        <v>1750</v>
      </c>
      <c r="E128" s="2" t="s">
        <v>1751</v>
      </c>
      <c r="F128" s="2" t="s">
        <v>193</v>
      </c>
      <c r="G128" s="2" t="s">
        <v>1752</v>
      </c>
      <c r="H128" s="2" t="s">
        <v>1753</v>
      </c>
      <c r="I128" s="2" t="s">
        <v>1754</v>
      </c>
      <c r="J128" s="2" t="s">
        <v>1755</v>
      </c>
      <c r="K128" s="2" t="s">
        <v>1756</v>
      </c>
      <c r="L128" s="2" t="s">
        <v>1757</v>
      </c>
      <c r="M128" s="2" t="s">
        <v>1758</v>
      </c>
      <c r="N128" s="2" t="s">
        <v>89</v>
      </c>
      <c r="O128" s="2" t="s">
        <v>57</v>
      </c>
      <c r="P128" s="2" t="s">
        <v>1759</v>
      </c>
      <c r="Q128" s="2" t="s">
        <v>1760</v>
      </c>
      <c r="R128" s="2"/>
      <c r="S128" s="2" t="s">
        <v>1761</v>
      </c>
      <c r="T128" s="2" t="s">
        <v>1762</v>
      </c>
      <c r="U128" s="2" t="s">
        <v>1763</v>
      </c>
    </row>
    <row r="129" customFormat="false" ht="46.25" hidden="false" customHeight="false" outlineLevel="0" collapsed="false">
      <c r="A129" s="2" t="s">
        <v>1198</v>
      </c>
      <c r="B129" s="2" t="s">
        <v>1764</v>
      </c>
      <c r="C129" s="2" t="s">
        <v>1765</v>
      </c>
      <c r="D129" s="2" t="s">
        <v>1766</v>
      </c>
      <c r="E129" s="2" t="s">
        <v>1767</v>
      </c>
      <c r="F129" s="2" t="s">
        <v>34</v>
      </c>
      <c r="G129" s="2" t="s">
        <v>1768</v>
      </c>
      <c r="H129" s="2" t="s">
        <v>1769</v>
      </c>
      <c r="I129" s="2" t="s">
        <v>1770</v>
      </c>
      <c r="J129" s="2" t="s">
        <v>1066</v>
      </c>
      <c r="K129" s="2" t="s">
        <v>1771</v>
      </c>
      <c r="L129" s="2" t="s">
        <v>1772</v>
      </c>
      <c r="M129" s="2" t="s">
        <v>1773</v>
      </c>
      <c r="N129" s="2" t="s">
        <v>56</v>
      </c>
      <c r="O129" s="2" t="s">
        <v>57</v>
      </c>
      <c r="P129" s="2" t="s">
        <v>1253</v>
      </c>
      <c r="Q129" s="2" t="s">
        <v>1774</v>
      </c>
      <c r="R129" s="2"/>
      <c r="S129" s="2" t="s">
        <v>1775</v>
      </c>
      <c r="T129" s="2" t="s">
        <v>1776</v>
      </c>
      <c r="U129" s="2" t="s">
        <v>1777</v>
      </c>
    </row>
    <row r="130" customFormat="false" ht="35.05" hidden="false" customHeight="false" outlineLevel="0" collapsed="false">
      <c r="A130" s="2" t="s">
        <v>1198</v>
      </c>
      <c r="B130" s="2" t="s">
        <v>1778</v>
      </c>
      <c r="C130" s="2" t="s">
        <v>1779</v>
      </c>
      <c r="D130" s="2" t="s">
        <v>1780</v>
      </c>
      <c r="E130" s="2" t="s">
        <v>1781</v>
      </c>
      <c r="F130" s="2" t="s">
        <v>81</v>
      </c>
      <c r="G130" s="2" t="s">
        <v>1358</v>
      </c>
      <c r="H130" s="2" t="s">
        <v>1782</v>
      </c>
      <c r="I130" s="2" t="s">
        <v>1783</v>
      </c>
      <c r="J130" s="2" t="s">
        <v>1784</v>
      </c>
      <c r="K130" s="2" t="s">
        <v>1785</v>
      </c>
      <c r="L130" s="2" t="s">
        <v>1786</v>
      </c>
      <c r="M130" s="2" t="s">
        <v>1787</v>
      </c>
      <c r="N130" s="2" t="s">
        <v>144</v>
      </c>
      <c r="O130" s="2" t="s">
        <v>1326</v>
      </c>
      <c r="P130" s="2" t="s">
        <v>1788</v>
      </c>
      <c r="Q130" s="2" t="s">
        <v>1789</v>
      </c>
      <c r="R130" s="2"/>
      <c r="S130" s="2" t="s">
        <v>1790</v>
      </c>
      <c r="T130" s="2" t="s">
        <v>1791</v>
      </c>
      <c r="U130" s="2" t="s">
        <v>1792</v>
      </c>
    </row>
    <row r="131" customFormat="false" ht="79.85" hidden="false" customHeight="false" outlineLevel="0" collapsed="false">
      <c r="A131" s="2" t="s">
        <v>1793</v>
      </c>
      <c r="B131" s="2" t="s">
        <v>1794</v>
      </c>
      <c r="C131" s="2" t="s">
        <v>1795</v>
      </c>
      <c r="D131" s="2" t="s">
        <v>1796</v>
      </c>
      <c r="E131" s="2" t="s">
        <v>1797</v>
      </c>
      <c r="F131" s="2" t="s">
        <v>34</v>
      </c>
      <c r="G131" s="2" t="s">
        <v>1798</v>
      </c>
      <c r="H131" s="2" t="s">
        <v>1799</v>
      </c>
      <c r="I131" s="2" t="s">
        <v>1800</v>
      </c>
      <c r="J131" s="2" t="s">
        <v>1801</v>
      </c>
      <c r="K131" s="2" t="s">
        <v>1802</v>
      </c>
      <c r="L131" s="2" t="s">
        <v>1803</v>
      </c>
      <c r="M131" s="2" t="s">
        <v>1804</v>
      </c>
      <c r="N131" s="2" t="s">
        <v>72</v>
      </c>
      <c r="O131" s="2" t="s">
        <v>1805</v>
      </c>
      <c r="P131" s="2" t="s">
        <v>1806</v>
      </c>
      <c r="Q131" s="2"/>
      <c r="R131" s="2"/>
      <c r="S131" s="2" t="s">
        <v>1807</v>
      </c>
      <c r="T131" s="2" t="s">
        <v>1808</v>
      </c>
      <c r="U131" s="2" t="s">
        <v>1809</v>
      </c>
    </row>
    <row r="132" customFormat="false" ht="57.45" hidden="false" customHeight="false" outlineLevel="0" collapsed="false">
      <c r="A132" s="2" t="s">
        <v>1793</v>
      </c>
      <c r="B132" s="2" t="s">
        <v>1794</v>
      </c>
      <c r="C132" s="2" t="s">
        <v>1810</v>
      </c>
      <c r="D132" s="2" t="s">
        <v>1811</v>
      </c>
      <c r="E132" s="2" t="s">
        <v>1812</v>
      </c>
      <c r="F132" s="2" t="s">
        <v>34</v>
      </c>
      <c r="G132" s="2" t="s">
        <v>1813</v>
      </c>
      <c r="H132" s="2" t="s">
        <v>1814</v>
      </c>
      <c r="I132" s="2" t="s">
        <v>1815</v>
      </c>
      <c r="J132" s="2" t="s">
        <v>1816</v>
      </c>
      <c r="K132" s="2" t="s">
        <v>1817</v>
      </c>
      <c r="L132" s="2" t="s">
        <v>1818</v>
      </c>
      <c r="M132" s="2" t="s">
        <v>1819</v>
      </c>
      <c r="N132" s="2" t="s">
        <v>42</v>
      </c>
      <c r="O132" s="2" t="s">
        <v>1820</v>
      </c>
      <c r="P132" s="2" t="s">
        <v>1821</v>
      </c>
      <c r="Q132" s="2"/>
      <c r="R132" s="2"/>
      <c r="S132" s="2" t="s">
        <v>1822</v>
      </c>
      <c r="T132" s="2" t="s">
        <v>1823</v>
      </c>
      <c r="U132" s="2" t="s">
        <v>1824</v>
      </c>
    </row>
    <row r="133" customFormat="false" ht="102.2" hidden="false" customHeight="false" outlineLevel="0" collapsed="false">
      <c r="A133" s="2" t="s">
        <v>1793</v>
      </c>
      <c r="B133" s="2" t="s">
        <v>1794</v>
      </c>
      <c r="C133" s="2" t="s">
        <v>1825</v>
      </c>
      <c r="D133" s="2" t="s">
        <v>1826</v>
      </c>
      <c r="E133" s="2" t="s">
        <v>1827</v>
      </c>
      <c r="F133" s="2" t="s">
        <v>193</v>
      </c>
      <c r="G133" s="2" t="s">
        <v>1828</v>
      </c>
      <c r="H133" s="2" t="s">
        <v>1829</v>
      </c>
      <c r="I133" s="2" t="s">
        <v>1830</v>
      </c>
      <c r="J133" s="2" t="s">
        <v>877</v>
      </c>
      <c r="K133" s="2" t="s">
        <v>1831</v>
      </c>
      <c r="L133" s="2" t="s">
        <v>1832</v>
      </c>
      <c r="M133" s="2" t="s">
        <v>1833</v>
      </c>
      <c r="N133" s="2" t="s">
        <v>56</v>
      </c>
      <c r="O133" s="2" t="s">
        <v>1834</v>
      </c>
      <c r="P133" s="2" t="s">
        <v>1835</v>
      </c>
      <c r="Q133" s="2"/>
      <c r="R133" s="2"/>
      <c r="S133" s="2" t="s">
        <v>1836</v>
      </c>
      <c r="T133" s="2" t="s">
        <v>1837</v>
      </c>
      <c r="U133" s="2" t="s">
        <v>1838</v>
      </c>
    </row>
    <row r="134" customFormat="false" ht="113.4" hidden="false" customHeight="false" outlineLevel="0" collapsed="false">
      <c r="A134" s="2" t="s">
        <v>1793</v>
      </c>
      <c r="B134" s="2" t="s">
        <v>1839</v>
      </c>
      <c r="C134" s="2" t="s">
        <v>1840</v>
      </c>
      <c r="D134" s="2" t="s">
        <v>1841</v>
      </c>
      <c r="E134" s="2" t="s">
        <v>1842</v>
      </c>
      <c r="F134" s="2" t="s">
        <v>81</v>
      </c>
      <c r="G134" s="2" t="s">
        <v>1843</v>
      </c>
      <c r="H134" s="2" t="s">
        <v>1844</v>
      </c>
      <c r="I134" s="2" t="s">
        <v>1845</v>
      </c>
      <c r="J134" s="2" t="s">
        <v>57</v>
      </c>
      <c r="K134" s="2" t="s">
        <v>1846</v>
      </c>
      <c r="L134" s="2" t="s">
        <v>1847</v>
      </c>
      <c r="M134" s="2" t="s">
        <v>1848</v>
      </c>
      <c r="N134" s="2" t="s">
        <v>144</v>
      </c>
      <c r="O134" s="2" t="s">
        <v>89</v>
      </c>
      <c r="P134" s="2" t="s">
        <v>1849</v>
      </c>
      <c r="Q134" s="2"/>
      <c r="R134" s="2"/>
      <c r="S134" s="2" t="s">
        <v>1850</v>
      </c>
      <c r="T134" s="2" t="s">
        <v>1851</v>
      </c>
      <c r="U134" s="2" t="s">
        <v>1852</v>
      </c>
    </row>
    <row r="135" customFormat="false" ht="79.85" hidden="false" customHeight="false" outlineLevel="0" collapsed="false">
      <c r="A135" s="2" t="s">
        <v>1793</v>
      </c>
      <c r="B135" s="2" t="s">
        <v>1839</v>
      </c>
      <c r="C135" s="2" t="s">
        <v>1853</v>
      </c>
      <c r="D135" s="2" t="s">
        <v>1854</v>
      </c>
      <c r="E135" s="2" t="s">
        <v>1855</v>
      </c>
      <c r="F135" s="2" t="s">
        <v>81</v>
      </c>
      <c r="G135" s="2" t="s">
        <v>1856</v>
      </c>
      <c r="H135" s="2" t="s">
        <v>1857</v>
      </c>
      <c r="I135" s="2" t="s">
        <v>1858</v>
      </c>
      <c r="J135" s="2" t="s">
        <v>1859</v>
      </c>
      <c r="K135" s="2" t="s">
        <v>1860</v>
      </c>
      <c r="L135" s="2" t="s">
        <v>1861</v>
      </c>
      <c r="M135" s="2" t="s">
        <v>1862</v>
      </c>
      <c r="N135" s="2" t="s">
        <v>144</v>
      </c>
      <c r="O135" s="2" t="s">
        <v>57</v>
      </c>
      <c r="P135" s="2" t="s">
        <v>1863</v>
      </c>
      <c r="Q135" s="2"/>
      <c r="R135" s="2"/>
      <c r="S135" s="2" t="s">
        <v>1864</v>
      </c>
      <c r="T135" s="2" t="s">
        <v>1865</v>
      </c>
      <c r="U135" s="2" t="s">
        <v>1866</v>
      </c>
    </row>
    <row r="136" customFormat="false" ht="79.85" hidden="false" customHeight="false" outlineLevel="0" collapsed="false">
      <c r="A136" s="2" t="s">
        <v>1793</v>
      </c>
      <c r="B136" s="2" t="s">
        <v>1839</v>
      </c>
      <c r="C136" s="2" t="s">
        <v>1867</v>
      </c>
      <c r="D136" s="2" t="s">
        <v>1868</v>
      </c>
      <c r="E136" s="2" t="s">
        <v>1869</v>
      </c>
      <c r="F136" s="2" t="s">
        <v>81</v>
      </c>
      <c r="G136" s="2" t="s">
        <v>1870</v>
      </c>
      <c r="H136" s="2" t="s">
        <v>1871</v>
      </c>
      <c r="I136" s="2" t="s">
        <v>1872</v>
      </c>
      <c r="J136" s="2" t="s">
        <v>1873</v>
      </c>
      <c r="K136" s="2" t="s">
        <v>1874</v>
      </c>
      <c r="L136" s="2" t="s">
        <v>1875</v>
      </c>
      <c r="M136" s="2" t="s">
        <v>1876</v>
      </c>
      <c r="N136" s="2" t="s">
        <v>144</v>
      </c>
      <c r="O136" s="2" t="s">
        <v>89</v>
      </c>
      <c r="P136" s="2" t="s">
        <v>1849</v>
      </c>
      <c r="Q136" s="2"/>
      <c r="R136" s="2"/>
      <c r="S136" s="2" t="s">
        <v>1877</v>
      </c>
      <c r="T136" s="2" t="s">
        <v>1878</v>
      </c>
      <c r="U136" s="2" t="s">
        <v>1879</v>
      </c>
    </row>
    <row r="137" customFormat="false" ht="57.45" hidden="false" customHeight="false" outlineLevel="0" collapsed="false">
      <c r="A137" s="2" t="s">
        <v>1793</v>
      </c>
      <c r="B137" s="2" t="s">
        <v>1839</v>
      </c>
      <c r="C137" s="2" t="s">
        <v>1880</v>
      </c>
      <c r="D137" s="2" t="s">
        <v>1881</v>
      </c>
      <c r="E137" s="2" t="s">
        <v>1882</v>
      </c>
      <c r="F137" s="2" t="s">
        <v>139</v>
      </c>
      <c r="G137" s="2" t="s">
        <v>1883</v>
      </c>
      <c r="H137" s="2" t="s">
        <v>1884</v>
      </c>
      <c r="I137" s="2" t="s">
        <v>1885</v>
      </c>
      <c r="J137" s="2" t="s">
        <v>89</v>
      </c>
      <c r="K137" s="2" t="s">
        <v>1886</v>
      </c>
      <c r="L137" s="2" t="s">
        <v>424</v>
      </c>
      <c r="M137" s="2" t="s">
        <v>1887</v>
      </c>
      <c r="N137" s="2" t="s">
        <v>144</v>
      </c>
      <c r="O137" s="2" t="s">
        <v>89</v>
      </c>
      <c r="P137" s="2" t="s">
        <v>1888</v>
      </c>
      <c r="Q137" s="2"/>
      <c r="R137" s="2"/>
      <c r="S137" s="2" t="s">
        <v>1889</v>
      </c>
      <c r="T137" s="2" t="s">
        <v>1890</v>
      </c>
      <c r="U137" s="2" t="s">
        <v>1891</v>
      </c>
    </row>
    <row r="138" customFormat="false" ht="46.25" hidden="false" customHeight="false" outlineLevel="0" collapsed="false">
      <c r="A138" s="2" t="s">
        <v>1793</v>
      </c>
      <c r="B138" s="2" t="s">
        <v>1892</v>
      </c>
      <c r="C138" s="2" t="s">
        <v>1893</v>
      </c>
      <c r="D138" s="2" t="s">
        <v>1894</v>
      </c>
      <c r="E138" s="2" t="s">
        <v>1895</v>
      </c>
      <c r="F138" s="2" t="s">
        <v>139</v>
      </c>
      <c r="G138" s="2" t="s">
        <v>1896</v>
      </c>
      <c r="H138" s="2" t="s">
        <v>1897</v>
      </c>
      <c r="I138" s="2" t="s">
        <v>1898</v>
      </c>
      <c r="J138" s="2" t="s">
        <v>89</v>
      </c>
      <c r="K138" s="2" t="s">
        <v>1899</v>
      </c>
      <c r="L138" s="2" t="s">
        <v>1900</v>
      </c>
      <c r="M138" s="2" t="s">
        <v>1901</v>
      </c>
      <c r="N138" s="2" t="s">
        <v>56</v>
      </c>
      <c r="O138" s="2" t="s">
        <v>57</v>
      </c>
      <c r="P138" s="2" t="s">
        <v>1902</v>
      </c>
      <c r="Q138" s="2"/>
      <c r="R138" s="2"/>
      <c r="S138" s="2" t="s">
        <v>1903</v>
      </c>
      <c r="T138" s="2" t="s">
        <v>1904</v>
      </c>
      <c r="U138" s="2" t="s">
        <v>1905</v>
      </c>
    </row>
    <row r="139" customFormat="false" ht="79.85" hidden="false" customHeight="false" outlineLevel="0" collapsed="false">
      <c r="A139" s="2" t="s">
        <v>1793</v>
      </c>
      <c r="B139" s="2" t="s">
        <v>1892</v>
      </c>
      <c r="C139" s="2" t="s">
        <v>1906</v>
      </c>
      <c r="D139" s="2" t="s">
        <v>1907</v>
      </c>
      <c r="E139" s="2" t="s">
        <v>1908</v>
      </c>
      <c r="F139" s="2" t="s">
        <v>81</v>
      </c>
      <c r="G139" s="2" t="s">
        <v>1909</v>
      </c>
      <c r="H139" s="2" t="s">
        <v>1910</v>
      </c>
      <c r="I139" s="2" t="s">
        <v>1911</v>
      </c>
      <c r="J139" s="2" t="s">
        <v>1912</v>
      </c>
      <c r="K139" s="2" t="s">
        <v>1913</v>
      </c>
      <c r="L139" s="2" t="s">
        <v>1914</v>
      </c>
      <c r="M139" s="2" t="s">
        <v>1915</v>
      </c>
      <c r="N139" s="2" t="s">
        <v>144</v>
      </c>
      <c r="O139" s="2" t="s">
        <v>57</v>
      </c>
      <c r="P139" s="2" t="s">
        <v>1916</v>
      </c>
      <c r="Q139" s="2"/>
      <c r="R139" s="2"/>
      <c r="S139" s="2" t="s">
        <v>1917</v>
      </c>
      <c r="T139" s="2" t="s">
        <v>1918</v>
      </c>
      <c r="U139" s="2" t="s">
        <v>1919</v>
      </c>
    </row>
    <row r="140" customFormat="false" ht="46.25" hidden="false" customHeight="false" outlineLevel="0" collapsed="false">
      <c r="A140" s="2" t="s">
        <v>1793</v>
      </c>
      <c r="B140" s="2" t="s">
        <v>1892</v>
      </c>
      <c r="C140" s="2" t="s">
        <v>1906</v>
      </c>
      <c r="D140" s="2" t="s">
        <v>1907</v>
      </c>
      <c r="E140" s="2" t="s">
        <v>1920</v>
      </c>
      <c r="F140" s="2" t="s">
        <v>81</v>
      </c>
      <c r="G140" s="2" t="s">
        <v>1921</v>
      </c>
      <c r="H140" s="2" t="s">
        <v>1922</v>
      </c>
      <c r="I140" s="2" t="s">
        <v>1923</v>
      </c>
      <c r="J140" s="2" t="s">
        <v>57</v>
      </c>
      <c r="K140" s="2" t="s">
        <v>1924</v>
      </c>
      <c r="L140" s="2" t="s">
        <v>1925</v>
      </c>
      <c r="M140" s="2" t="s">
        <v>1926</v>
      </c>
      <c r="N140" s="2" t="s">
        <v>144</v>
      </c>
      <c r="O140" s="2" t="s">
        <v>57</v>
      </c>
      <c r="P140" s="2" t="s">
        <v>1927</v>
      </c>
      <c r="Q140" s="2"/>
      <c r="R140" s="2"/>
      <c r="S140" s="2" t="s">
        <v>1928</v>
      </c>
      <c r="T140" s="2" t="s">
        <v>1929</v>
      </c>
      <c r="U140" s="2" t="s">
        <v>1930</v>
      </c>
    </row>
    <row r="141" customFormat="false" ht="46.25" hidden="false" customHeight="false" outlineLevel="0" collapsed="false">
      <c r="A141" s="2" t="s">
        <v>1793</v>
      </c>
      <c r="B141" s="2" t="s">
        <v>1794</v>
      </c>
      <c r="C141" s="2" t="s">
        <v>1931</v>
      </c>
      <c r="D141" s="2" t="s">
        <v>1932</v>
      </c>
      <c r="E141" s="2" t="s">
        <v>1933</v>
      </c>
      <c r="F141" s="2" t="s">
        <v>66</v>
      </c>
      <c r="G141" s="2" t="s">
        <v>1934</v>
      </c>
      <c r="H141" s="2" t="s">
        <v>57</v>
      </c>
      <c r="I141" s="2" t="s">
        <v>1935</v>
      </c>
      <c r="J141" s="2" t="s">
        <v>1936</v>
      </c>
      <c r="K141" s="2" t="s">
        <v>1931</v>
      </c>
      <c r="L141" s="2" t="s">
        <v>1937</v>
      </c>
      <c r="M141" s="2" t="s">
        <v>1938</v>
      </c>
      <c r="N141" s="2" t="s">
        <v>144</v>
      </c>
      <c r="O141" s="2" t="s">
        <v>57</v>
      </c>
      <c r="P141" s="2" t="s">
        <v>1939</v>
      </c>
      <c r="Q141" s="2"/>
      <c r="R141" s="2"/>
      <c r="S141" s="2" t="s">
        <v>1940</v>
      </c>
      <c r="T141" s="2" t="s">
        <v>1941</v>
      </c>
      <c r="U141" s="2" t="s">
        <v>1942</v>
      </c>
    </row>
    <row r="142" customFormat="false" ht="57.45" hidden="false" customHeight="false" outlineLevel="0" collapsed="false">
      <c r="A142" s="2" t="s">
        <v>1793</v>
      </c>
      <c r="B142" s="2" t="s">
        <v>1943</v>
      </c>
      <c r="C142" s="2" t="s">
        <v>1944</v>
      </c>
      <c r="D142" s="2" t="s">
        <v>1945</v>
      </c>
      <c r="E142" s="2" t="s">
        <v>1946</v>
      </c>
      <c r="F142" s="2" t="s">
        <v>34</v>
      </c>
      <c r="G142" s="2" t="s">
        <v>1947</v>
      </c>
      <c r="H142" s="2" t="s">
        <v>1948</v>
      </c>
      <c r="I142" s="2" t="s">
        <v>1949</v>
      </c>
      <c r="J142" s="2" t="s">
        <v>1950</v>
      </c>
      <c r="K142" s="2" t="s">
        <v>1951</v>
      </c>
      <c r="L142" s="2" t="s">
        <v>1952</v>
      </c>
      <c r="M142" s="2" t="s">
        <v>1953</v>
      </c>
      <c r="N142" s="2" t="s">
        <v>144</v>
      </c>
      <c r="O142" s="2" t="s">
        <v>1954</v>
      </c>
      <c r="P142" s="2" t="s">
        <v>1922</v>
      </c>
      <c r="Q142" s="2" t="s">
        <v>1955</v>
      </c>
      <c r="R142" s="2"/>
      <c r="S142" s="2" t="s">
        <v>1956</v>
      </c>
      <c r="T142" s="2" t="s">
        <v>1957</v>
      </c>
      <c r="U142" s="2" t="s">
        <v>1958</v>
      </c>
    </row>
    <row r="143" customFormat="false" ht="57.45" hidden="false" customHeight="false" outlineLevel="0" collapsed="false">
      <c r="A143" s="2" t="s">
        <v>1793</v>
      </c>
      <c r="B143" s="2" t="s">
        <v>1943</v>
      </c>
      <c r="C143" s="2" t="s">
        <v>1959</v>
      </c>
      <c r="D143" s="2" t="s">
        <v>1960</v>
      </c>
      <c r="E143" s="2" t="s">
        <v>1961</v>
      </c>
      <c r="F143" s="2" t="s">
        <v>34</v>
      </c>
      <c r="G143" s="2" t="s">
        <v>1962</v>
      </c>
      <c r="H143" s="2" t="s">
        <v>1963</v>
      </c>
      <c r="I143" s="2" t="s">
        <v>1964</v>
      </c>
      <c r="J143" s="2" t="s">
        <v>38</v>
      </c>
      <c r="K143" s="2" t="s">
        <v>1965</v>
      </c>
      <c r="L143" s="2" t="s">
        <v>1966</v>
      </c>
      <c r="M143" s="2" t="s">
        <v>1967</v>
      </c>
      <c r="N143" s="2" t="s">
        <v>72</v>
      </c>
      <c r="O143" s="2" t="s">
        <v>1922</v>
      </c>
      <c r="P143" s="2" t="s">
        <v>1968</v>
      </c>
      <c r="Q143" s="2"/>
      <c r="R143" s="2"/>
      <c r="S143" s="2" t="s">
        <v>1969</v>
      </c>
      <c r="T143" s="2" t="s">
        <v>1970</v>
      </c>
      <c r="U143" s="2" t="s">
        <v>1971</v>
      </c>
    </row>
    <row r="144" customFormat="false" ht="68.65" hidden="false" customHeight="false" outlineLevel="0" collapsed="false">
      <c r="A144" s="2" t="s">
        <v>1793</v>
      </c>
      <c r="B144" s="2" t="s">
        <v>1972</v>
      </c>
      <c r="C144" s="2" t="s">
        <v>1973</v>
      </c>
      <c r="D144" s="2" t="s">
        <v>1974</v>
      </c>
      <c r="E144" s="2" t="s">
        <v>1975</v>
      </c>
      <c r="F144" s="2" t="s">
        <v>34</v>
      </c>
      <c r="G144" s="2" t="s">
        <v>1976</v>
      </c>
      <c r="H144" s="2" t="s">
        <v>1977</v>
      </c>
      <c r="I144" s="2" t="s">
        <v>1978</v>
      </c>
      <c r="J144" s="2" t="s">
        <v>253</v>
      </c>
      <c r="K144" s="2" t="s">
        <v>1979</v>
      </c>
      <c r="L144" s="2" t="s">
        <v>1980</v>
      </c>
      <c r="M144" s="2" t="s">
        <v>1981</v>
      </c>
      <c r="N144" s="2" t="s">
        <v>42</v>
      </c>
      <c r="O144" s="2" t="s">
        <v>1982</v>
      </c>
      <c r="P144" s="2" t="s">
        <v>1983</v>
      </c>
      <c r="Q144" s="2"/>
      <c r="R144" s="2"/>
      <c r="S144" s="2" t="s">
        <v>1984</v>
      </c>
      <c r="T144" s="2" t="s">
        <v>1985</v>
      </c>
      <c r="U144" s="2" t="s">
        <v>1986</v>
      </c>
    </row>
    <row r="145" customFormat="false" ht="57.45" hidden="false" customHeight="false" outlineLevel="0" collapsed="false">
      <c r="A145" s="2" t="s">
        <v>1793</v>
      </c>
      <c r="B145" s="2" t="s">
        <v>1987</v>
      </c>
      <c r="C145" s="2" t="s">
        <v>1988</v>
      </c>
      <c r="D145" s="2" t="s">
        <v>1989</v>
      </c>
      <c r="E145" s="2" t="s">
        <v>1990</v>
      </c>
      <c r="F145" s="2" t="s">
        <v>66</v>
      </c>
      <c r="G145" s="2" t="s">
        <v>1991</v>
      </c>
      <c r="H145" s="2" t="s">
        <v>57</v>
      </c>
      <c r="I145" s="2" t="s">
        <v>1992</v>
      </c>
      <c r="J145" s="2" t="s">
        <v>1993</v>
      </c>
      <c r="K145" s="2" t="s">
        <v>1994</v>
      </c>
      <c r="L145" s="2" t="s">
        <v>1995</v>
      </c>
      <c r="M145" s="2" t="s">
        <v>1996</v>
      </c>
      <c r="N145" s="2" t="s">
        <v>144</v>
      </c>
      <c r="O145" s="2" t="s">
        <v>57</v>
      </c>
      <c r="P145" s="2" t="s">
        <v>57</v>
      </c>
      <c r="Q145" s="2"/>
      <c r="R145" s="2"/>
      <c r="S145" s="2" t="s">
        <v>1997</v>
      </c>
      <c r="T145" s="2" t="s">
        <v>1998</v>
      </c>
      <c r="U145" s="2" t="s">
        <v>1999</v>
      </c>
    </row>
    <row r="146" customFormat="false" ht="46.25" hidden="false" customHeight="false" outlineLevel="0" collapsed="false">
      <c r="A146" s="2" t="s">
        <v>1793</v>
      </c>
      <c r="B146" s="2" t="s">
        <v>2000</v>
      </c>
      <c r="C146" s="2" t="s">
        <v>2001</v>
      </c>
      <c r="D146" s="2" t="s">
        <v>2002</v>
      </c>
      <c r="E146" s="2" t="s">
        <v>2003</v>
      </c>
      <c r="F146" s="2" t="s">
        <v>66</v>
      </c>
      <c r="G146" s="2" t="s">
        <v>2004</v>
      </c>
      <c r="H146" s="2" t="s">
        <v>57</v>
      </c>
      <c r="I146" s="2" t="s">
        <v>359</v>
      </c>
      <c r="J146" s="2" t="s">
        <v>2005</v>
      </c>
      <c r="K146" s="2" t="s">
        <v>2006</v>
      </c>
      <c r="L146" s="2" t="s">
        <v>2007</v>
      </c>
      <c r="M146" s="2" t="s">
        <v>2008</v>
      </c>
      <c r="N146" s="2" t="s">
        <v>144</v>
      </c>
      <c r="O146" s="2" t="s">
        <v>57</v>
      </c>
      <c r="P146" s="2" t="s">
        <v>2009</v>
      </c>
      <c r="Q146" s="2"/>
      <c r="R146" s="2"/>
      <c r="S146" s="2" t="s">
        <v>2010</v>
      </c>
      <c r="T146" s="2" t="s">
        <v>2011</v>
      </c>
      <c r="U146" s="2" t="s">
        <v>2012</v>
      </c>
    </row>
    <row r="147" customFormat="false" ht="102.2" hidden="false" customHeight="false" outlineLevel="0" collapsed="false">
      <c r="A147" s="2" t="s">
        <v>1793</v>
      </c>
      <c r="B147" s="2" t="s">
        <v>2013</v>
      </c>
      <c r="C147" s="2" t="s">
        <v>2014</v>
      </c>
      <c r="D147" s="2" t="s">
        <v>2015</v>
      </c>
      <c r="E147" s="2" t="s">
        <v>2016</v>
      </c>
      <c r="F147" s="2" t="s">
        <v>34</v>
      </c>
      <c r="G147" s="2" t="s">
        <v>2017</v>
      </c>
      <c r="H147" s="2" t="s">
        <v>2018</v>
      </c>
      <c r="I147" s="2" t="s">
        <v>1248</v>
      </c>
      <c r="J147" s="2" t="s">
        <v>2019</v>
      </c>
      <c r="K147" s="2" t="s">
        <v>2020</v>
      </c>
      <c r="L147" s="2" t="s">
        <v>2021</v>
      </c>
      <c r="M147" s="2" t="s">
        <v>2022</v>
      </c>
      <c r="N147" s="2" t="s">
        <v>56</v>
      </c>
      <c r="O147" s="2" t="s">
        <v>2023</v>
      </c>
      <c r="P147" s="2" t="s">
        <v>2024</v>
      </c>
      <c r="Q147" s="2"/>
      <c r="R147" s="2"/>
      <c r="S147" s="2" t="s">
        <v>2025</v>
      </c>
      <c r="T147" s="2" t="s">
        <v>2026</v>
      </c>
      <c r="U147" s="2" t="s">
        <v>2027</v>
      </c>
    </row>
    <row r="148" customFormat="false" ht="68.65" hidden="false" customHeight="false" outlineLevel="0" collapsed="false">
      <c r="A148" s="2" t="s">
        <v>1793</v>
      </c>
      <c r="B148" s="2" t="s">
        <v>2013</v>
      </c>
      <c r="C148" s="2" t="s">
        <v>2013</v>
      </c>
      <c r="D148" s="2" t="s">
        <v>2015</v>
      </c>
      <c r="E148" s="2" t="s">
        <v>2028</v>
      </c>
      <c r="F148" s="2" t="s">
        <v>66</v>
      </c>
      <c r="G148" s="2" t="s">
        <v>2029</v>
      </c>
      <c r="H148" s="2" t="s">
        <v>1922</v>
      </c>
      <c r="I148" s="2" t="s">
        <v>2030</v>
      </c>
      <c r="J148" s="2" t="s">
        <v>57</v>
      </c>
      <c r="K148" s="2" t="s">
        <v>2031</v>
      </c>
      <c r="L148" s="2" t="s">
        <v>2032</v>
      </c>
      <c r="M148" s="2" t="s">
        <v>2033</v>
      </c>
      <c r="N148" s="2" t="s">
        <v>144</v>
      </c>
      <c r="O148" s="2" t="s">
        <v>57</v>
      </c>
      <c r="P148" s="2" t="s">
        <v>2034</v>
      </c>
      <c r="Q148" s="2"/>
      <c r="R148" s="2"/>
      <c r="S148" s="2" t="s">
        <v>2035</v>
      </c>
      <c r="T148" s="2" t="s">
        <v>2036</v>
      </c>
      <c r="U148" s="2" t="s">
        <v>2037</v>
      </c>
    </row>
    <row r="149" customFormat="false" ht="46.25" hidden="false" customHeight="false" outlineLevel="0" collapsed="false">
      <c r="A149" s="2" t="s">
        <v>1793</v>
      </c>
      <c r="B149" s="2" t="s">
        <v>2038</v>
      </c>
      <c r="C149" s="2" t="s">
        <v>2039</v>
      </c>
      <c r="D149" s="2" t="s">
        <v>2040</v>
      </c>
      <c r="E149" s="2" t="s">
        <v>2041</v>
      </c>
      <c r="F149" s="2" t="s">
        <v>81</v>
      </c>
      <c r="G149" s="2" t="s">
        <v>2042</v>
      </c>
      <c r="H149" s="2" t="s">
        <v>2043</v>
      </c>
      <c r="I149" s="2" t="s">
        <v>2044</v>
      </c>
      <c r="J149" s="2" t="s">
        <v>2045</v>
      </c>
      <c r="K149" s="2" t="s">
        <v>2046</v>
      </c>
      <c r="L149" s="2" t="s">
        <v>2047</v>
      </c>
      <c r="M149" s="2" t="s">
        <v>2048</v>
      </c>
      <c r="N149" s="2" t="s">
        <v>144</v>
      </c>
      <c r="O149" s="2" t="s">
        <v>89</v>
      </c>
      <c r="P149" s="2" t="s">
        <v>2049</v>
      </c>
      <c r="Q149" s="2" t="s">
        <v>2050</v>
      </c>
      <c r="R149" s="2" t="s">
        <v>2051</v>
      </c>
      <c r="S149" s="2" t="s">
        <v>2052</v>
      </c>
      <c r="T149" s="2" t="s">
        <v>2053</v>
      </c>
      <c r="U149" s="2" t="s">
        <v>2054</v>
      </c>
    </row>
    <row r="150" customFormat="false" ht="46.25" hidden="false" customHeight="false" outlineLevel="0" collapsed="false">
      <c r="A150" s="2" t="s">
        <v>1793</v>
      </c>
      <c r="B150" s="2" t="s">
        <v>2055</v>
      </c>
      <c r="C150" s="2" t="s">
        <v>2056</v>
      </c>
      <c r="D150" s="2" t="s">
        <v>2057</v>
      </c>
      <c r="E150" s="2" t="s">
        <v>2058</v>
      </c>
      <c r="F150" s="2" t="s">
        <v>34</v>
      </c>
      <c r="G150" s="2" t="s">
        <v>2059</v>
      </c>
      <c r="H150" s="2" t="s">
        <v>2060</v>
      </c>
      <c r="I150" s="2" t="s">
        <v>2061</v>
      </c>
      <c r="J150" s="2" t="s">
        <v>156</v>
      </c>
      <c r="K150" s="2" t="s">
        <v>2062</v>
      </c>
      <c r="L150" s="2" t="s">
        <v>2063</v>
      </c>
      <c r="M150" s="2" t="s">
        <v>2064</v>
      </c>
      <c r="N150" s="2" t="s">
        <v>56</v>
      </c>
      <c r="O150" s="2" t="s">
        <v>57</v>
      </c>
      <c r="P150" s="2" t="s">
        <v>57</v>
      </c>
      <c r="Q150" s="2"/>
      <c r="R150" s="2"/>
      <c r="S150" s="2" t="s">
        <v>2065</v>
      </c>
      <c r="T150" s="2" t="s">
        <v>2066</v>
      </c>
      <c r="U150" s="2" t="s">
        <v>2067</v>
      </c>
    </row>
    <row r="151" customFormat="false" ht="46.25" hidden="false" customHeight="false" outlineLevel="0" collapsed="false">
      <c r="A151" s="2" t="s">
        <v>1793</v>
      </c>
      <c r="B151" s="2" t="s">
        <v>2055</v>
      </c>
      <c r="C151" s="2" t="s">
        <v>2068</v>
      </c>
      <c r="D151" s="2" t="s">
        <v>2069</v>
      </c>
      <c r="E151" s="2" t="s">
        <v>2070</v>
      </c>
      <c r="F151" s="2" t="s">
        <v>193</v>
      </c>
      <c r="G151" s="2" t="s">
        <v>2071</v>
      </c>
      <c r="H151" s="2" t="s">
        <v>2072</v>
      </c>
      <c r="I151" s="2" t="s">
        <v>2073</v>
      </c>
      <c r="J151" s="2" t="s">
        <v>2074</v>
      </c>
      <c r="K151" s="2" t="s">
        <v>2075</v>
      </c>
      <c r="L151" s="2" t="s">
        <v>2076</v>
      </c>
      <c r="M151" s="2" t="s">
        <v>2077</v>
      </c>
      <c r="N151" s="2" t="s">
        <v>89</v>
      </c>
      <c r="O151" s="2" t="s">
        <v>57</v>
      </c>
      <c r="P151" s="2" t="s">
        <v>2078</v>
      </c>
      <c r="Q151" s="2"/>
      <c r="R151" s="2"/>
      <c r="S151" s="2" t="s">
        <v>2079</v>
      </c>
      <c r="T151" s="2" t="s">
        <v>2080</v>
      </c>
      <c r="U151" s="2" t="s">
        <v>2081</v>
      </c>
    </row>
    <row r="152" customFormat="false" ht="46.25" hidden="false" customHeight="false" outlineLevel="0" collapsed="false">
      <c r="A152" s="2" t="s">
        <v>1793</v>
      </c>
      <c r="B152" s="2" t="s">
        <v>2055</v>
      </c>
      <c r="C152" s="2" t="s">
        <v>2082</v>
      </c>
      <c r="D152" s="2" t="s">
        <v>2083</v>
      </c>
      <c r="E152" s="2" t="s">
        <v>2084</v>
      </c>
      <c r="F152" s="2" t="s">
        <v>193</v>
      </c>
      <c r="G152" s="2" t="s">
        <v>2085</v>
      </c>
      <c r="H152" s="2" t="s">
        <v>2086</v>
      </c>
      <c r="I152" s="2" t="s">
        <v>2087</v>
      </c>
      <c r="J152" s="2" t="s">
        <v>2088</v>
      </c>
      <c r="K152" s="2" t="s">
        <v>2089</v>
      </c>
      <c r="L152" s="2" t="s">
        <v>2090</v>
      </c>
      <c r="M152" s="2" t="s">
        <v>2091</v>
      </c>
      <c r="N152" s="2" t="s">
        <v>89</v>
      </c>
      <c r="O152" s="2" t="s">
        <v>89</v>
      </c>
      <c r="P152" s="2" t="s">
        <v>2092</v>
      </c>
      <c r="Q152" s="2"/>
      <c r="R152" s="2"/>
      <c r="S152" s="2" t="s">
        <v>2093</v>
      </c>
      <c r="T152" s="2" t="s">
        <v>2094</v>
      </c>
      <c r="U152" s="2" t="s">
        <v>2095</v>
      </c>
    </row>
    <row r="153" customFormat="false" ht="46.25" hidden="false" customHeight="false" outlineLevel="0" collapsed="false">
      <c r="A153" s="2" t="s">
        <v>1793</v>
      </c>
      <c r="B153" s="2" t="s">
        <v>2055</v>
      </c>
      <c r="C153" s="2" t="s">
        <v>2096</v>
      </c>
      <c r="D153" s="2" t="s">
        <v>2040</v>
      </c>
      <c r="E153" s="2" t="s">
        <v>2097</v>
      </c>
      <c r="F153" s="2" t="s">
        <v>193</v>
      </c>
      <c r="G153" s="2" t="s">
        <v>2098</v>
      </c>
      <c r="H153" s="2" t="s">
        <v>2099</v>
      </c>
      <c r="I153" s="2" t="s">
        <v>2100</v>
      </c>
      <c r="J153" s="2" t="s">
        <v>57</v>
      </c>
      <c r="K153" s="2" t="s">
        <v>2055</v>
      </c>
      <c r="L153" s="2" t="s">
        <v>2101</v>
      </c>
      <c r="M153" s="2" t="s">
        <v>2102</v>
      </c>
      <c r="N153" s="2" t="s">
        <v>89</v>
      </c>
      <c r="O153" s="2" t="s">
        <v>89</v>
      </c>
      <c r="P153" s="2" t="s">
        <v>2103</v>
      </c>
      <c r="Q153" s="2"/>
      <c r="R153" s="2"/>
      <c r="S153" s="2" t="s">
        <v>2104</v>
      </c>
      <c r="T153" s="2" t="s">
        <v>2105</v>
      </c>
      <c r="U153" s="2" t="s">
        <v>2106</v>
      </c>
    </row>
    <row r="154" customFormat="false" ht="46.25" hidden="false" customHeight="false" outlineLevel="0" collapsed="false">
      <c r="A154" s="2" t="s">
        <v>1793</v>
      </c>
      <c r="B154" s="2" t="s">
        <v>2107</v>
      </c>
      <c r="C154" s="2" t="s">
        <v>2108</v>
      </c>
      <c r="D154" s="2" t="s">
        <v>2109</v>
      </c>
      <c r="E154" s="2" t="s">
        <v>2110</v>
      </c>
      <c r="F154" s="2" t="s">
        <v>193</v>
      </c>
      <c r="G154" s="2" t="s">
        <v>2111</v>
      </c>
      <c r="H154" s="2" t="s">
        <v>2112</v>
      </c>
      <c r="I154" s="2" t="s">
        <v>2113</v>
      </c>
      <c r="J154" s="2" t="s">
        <v>2114</v>
      </c>
      <c r="K154" s="2" t="s">
        <v>2115</v>
      </c>
      <c r="L154" s="2" t="s">
        <v>2116</v>
      </c>
      <c r="M154" s="2" t="s">
        <v>2117</v>
      </c>
      <c r="N154" s="2" t="s">
        <v>89</v>
      </c>
      <c r="O154" s="2" t="s">
        <v>89</v>
      </c>
      <c r="P154" s="2" t="s">
        <v>2118</v>
      </c>
      <c r="Q154" s="2"/>
      <c r="R154" s="2"/>
      <c r="S154" s="2" t="s">
        <v>2119</v>
      </c>
      <c r="T154" s="2" t="s">
        <v>2120</v>
      </c>
      <c r="U154" s="2" t="s">
        <v>2121</v>
      </c>
    </row>
    <row r="155" customFormat="false" ht="57.45" hidden="false" customHeight="false" outlineLevel="0" collapsed="false">
      <c r="A155" s="2" t="s">
        <v>1793</v>
      </c>
      <c r="B155" s="2" t="s">
        <v>2122</v>
      </c>
      <c r="C155" s="2" t="s">
        <v>2123</v>
      </c>
      <c r="D155" s="2" t="s">
        <v>2124</v>
      </c>
      <c r="E155" s="2" t="s">
        <v>2125</v>
      </c>
      <c r="F155" s="2" t="s">
        <v>81</v>
      </c>
      <c r="G155" s="2" t="s">
        <v>2126</v>
      </c>
      <c r="H155" s="2" t="s">
        <v>1922</v>
      </c>
      <c r="I155" s="2" t="s">
        <v>2127</v>
      </c>
      <c r="J155" s="2" t="s">
        <v>57</v>
      </c>
      <c r="K155" s="2" t="s">
        <v>2128</v>
      </c>
      <c r="L155" s="2" t="s">
        <v>2129</v>
      </c>
      <c r="M155" s="2" t="s">
        <v>2130</v>
      </c>
      <c r="N155" s="2" t="s">
        <v>72</v>
      </c>
      <c r="O155" s="2" t="s">
        <v>89</v>
      </c>
      <c r="P155" s="2" t="s">
        <v>2131</v>
      </c>
      <c r="Q155" s="2"/>
      <c r="R155" s="2"/>
      <c r="S155" s="2" t="s">
        <v>2132</v>
      </c>
      <c r="T155" s="2" t="s">
        <v>2133</v>
      </c>
      <c r="U155" s="2" t="s">
        <v>2134</v>
      </c>
    </row>
    <row r="156" customFormat="false" ht="79.85" hidden="false" customHeight="false" outlineLevel="0" collapsed="false">
      <c r="A156" s="2" t="s">
        <v>1793</v>
      </c>
      <c r="B156" s="2" t="s">
        <v>2135</v>
      </c>
      <c r="C156" s="2" t="s">
        <v>2136</v>
      </c>
      <c r="D156" s="2" t="s">
        <v>2137</v>
      </c>
      <c r="E156" s="2" t="s">
        <v>2138</v>
      </c>
      <c r="F156" s="2" t="s">
        <v>81</v>
      </c>
      <c r="G156" s="2" t="s">
        <v>2139</v>
      </c>
      <c r="H156" s="2" t="s">
        <v>2140</v>
      </c>
      <c r="I156" s="2" t="s">
        <v>2141</v>
      </c>
      <c r="J156" s="2" t="s">
        <v>89</v>
      </c>
      <c r="K156" s="2" t="s">
        <v>2142</v>
      </c>
      <c r="L156" s="2" t="s">
        <v>2143</v>
      </c>
      <c r="M156" s="2" t="s">
        <v>2144</v>
      </c>
      <c r="N156" s="2" t="s">
        <v>89</v>
      </c>
      <c r="O156" s="2" t="s">
        <v>89</v>
      </c>
      <c r="P156" s="2" t="s">
        <v>57</v>
      </c>
      <c r="Q156" s="2"/>
      <c r="R156" s="2"/>
      <c r="S156" s="2" t="s">
        <v>2145</v>
      </c>
      <c r="T156" s="2" t="s">
        <v>2146</v>
      </c>
      <c r="U156" s="2" t="s">
        <v>2147</v>
      </c>
    </row>
    <row r="157" customFormat="false" ht="57.45" hidden="false" customHeight="false" outlineLevel="0" collapsed="false">
      <c r="A157" s="2" t="s">
        <v>1793</v>
      </c>
      <c r="B157" s="2" t="s">
        <v>2148</v>
      </c>
      <c r="C157" s="2" t="s">
        <v>2149</v>
      </c>
      <c r="D157" s="2" t="s">
        <v>2150</v>
      </c>
      <c r="E157" s="2" t="s">
        <v>2151</v>
      </c>
      <c r="F157" s="2" t="s">
        <v>1309</v>
      </c>
      <c r="G157" s="2" t="s">
        <v>2152</v>
      </c>
      <c r="H157" s="2" t="s">
        <v>89</v>
      </c>
      <c r="I157" s="2" t="s">
        <v>89</v>
      </c>
      <c r="J157" s="2" t="s">
        <v>89</v>
      </c>
      <c r="K157" s="2" t="s">
        <v>2153</v>
      </c>
      <c r="L157" s="2" t="s">
        <v>2154</v>
      </c>
      <c r="M157" s="2" t="s">
        <v>2155</v>
      </c>
      <c r="N157" s="2" t="s">
        <v>89</v>
      </c>
      <c r="O157" s="2" t="s">
        <v>57</v>
      </c>
      <c r="P157" s="2" t="s">
        <v>57</v>
      </c>
      <c r="Q157" s="2" t="s">
        <v>2156</v>
      </c>
      <c r="R157" s="2"/>
      <c r="S157" s="2" t="s">
        <v>2157</v>
      </c>
      <c r="T157" s="2" t="s">
        <v>2158</v>
      </c>
      <c r="U157" s="2" t="s">
        <v>2159</v>
      </c>
    </row>
    <row r="158" customFormat="false" ht="102.2" hidden="false" customHeight="false" outlineLevel="0" collapsed="false">
      <c r="A158" s="2" t="s">
        <v>1793</v>
      </c>
      <c r="B158" s="2" t="s">
        <v>2160</v>
      </c>
      <c r="C158" s="2" t="s">
        <v>2161</v>
      </c>
      <c r="D158" s="2" t="s">
        <v>2162</v>
      </c>
      <c r="E158" s="2" t="s">
        <v>2163</v>
      </c>
      <c r="F158" s="2" t="s">
        <v>139</v>
      </c>
      <c r="G158" s="2" t="s">
        <v>2164</v>
      </c>
      <c r="H158" s="2" t="s">
        <v>2165</v>
      </c>
      <c r="I158" s="2" t="s">
        <v>2166</v>
      </c>
      <c r="J158" s="2" t="s">
        <v>2167</v>
      </c>
      <c r="K158" s="2" t="s">
        <v>2168</v>
      </c>
      <c r="L158" s="2" t="s">
        <v>2169</v>
      </c>
      <c r="M158" s="2" t="s">
        <v>2170</v>
      </c>
      <c r="N158" s="2" t="s">
        <v>56</v>
      </c>
      <c r="O158" s="2" t="s">
        <v>89</v>
      </c>
      <c r="P158" s="2" t="s">
        <v>57</v>
      </c>
      <c r="Q158" s="2"/>
      <c r="R158" s="2"/>
      <c r="S158" s="2" t="s">
        <v>2171</v>
      </c>
      <c r="T158" s="2" t="s">
        <v>2172</v>
      </c>
      <c r="U158" s="2" t="s">
        <v>2173</v>
      </c>
    </row>
    <row r="159" customFormat="false" ht="46.25" hidden="false" customHeight="false" outlineLevel="0" collapsed="false">
      <c r="A159" s="2" t="s">
        <v>1793</v>
      </c>
      <c r="B159" s="2" t="s">
        <v>2174</v>
      </c>
      <c r="C159" s="2" t="s">
        <v>2174</v>
      </c>
      <c r="D159" s="2" t="s">
        <v>2175</v>
      </c>
      <c r="E159" s="2" t="s">
        <v>2176</v>
      </c>
      <c r="F159" s="2" t="s">
        <v>81</v>
      </c>
      <c r="G159" s="2" t="s">
        <v>2177</v>
      </c>
      <c r="H159" s="2" t="s">
        <v>2178</v>
      </c>
      <c r="I159" s="2" t="s">
        <v>2179</v>
      </c>
      <c r="J159" s="2" t="s">
        <v>2180</v>
      </c>
      <c r="K159" s="2" t="s">
        <v>2181</v>
      </c>
      <c r="L159" s="2" t="s">
        <v>1900</v>
      </c>
      <c r="M159" s="2" t="s">
        <v>2182</v>
      </c>
      <c r="N159" s="2" t="s">
        <v>42</v>
      </c>
      <c r="O159" s="2" t="s">
        <v>89</v>
      </c>
      <c r="P159" s="2" t="s">
        <v>57</v>
      </c>
      <c r="Q159" s="2"/>
      <c r="R159" s="2"/>
      <c r="S159" s="2" t="s">
        <v>2183</v>
      </c>
      <c r="T159" s="2" t="s">
        <v>2184</v>
      </c>
      <c r="U159" s="2" t="s">
        <v>2185</v>
      </c>
    </row>
    <row r="160" customFormat="false" ht="46.25" hidden="false" customHeight="false" outlineLevel="0" collapsed="false">
      <c r="A160" s="2" t="s">
        <v>1793</v>
      </c>
      <c r="B160" s="2" t="s">
        <v>2186</v>
      </c>
      <c r="C160" s="2" t="s">
        <v>2187</v>
      </c>
      <c r="D160" s="2" t="s">
        <v>2188</v>
      </c>
      <c r="E160" s="2" t="s">
        <v>2189</v>
      </c>
      <c r="F160" s="2" t="s">
        <v>66</v>
      </c>
      <c r="G160" s="2" t="s">
        <v>2190</v>
      </c>
      <c r="H160" s="2" t="s">
        <v>57</v>
      </c>
      <c r="I160" s="2" t="s">
        <v>2191</v>
      </c>
      <c r="J160" s="2" t="s">
        <v>57</v>
      </c>
      <c r="K160" s="2" t="s">
        <v>2192</v>
      </c>
      <c r="L160" s="2" t="s">
        <v>2193</v>
      </c>
      <c r="M160" s="2" t="s">
        <v>2194</v>
      </c>
      <c r="N160" s="2" t="s">
        <v>56</v>
      </c>
      <c r="O160" s="2" t="s">
        <v>89</v>
      </c>
      <c r="P160" s="2" t="s">
        <v>2195</v>
      </c>
      <c r="Q160" s="2"/>
      <c r="R160" s="2"/>
      <c r="S160" s="2" t="s">
        <v>2196</v>
      </c>
      <c r="T160" s="2" t="s">
        <v>2197</v>
      </c>
      <c r="U160" s="2" t="s">
        <v>2198</v>
      </c>
    </row>
    <row r="161" customFormat="false" ht="46.25" hidden="false" customHeight="false" outlineLevel="0" collapsed="false">
      <c r="A161" s="2" t="s">
        <v>1793</v>
      </c>
      <c r="B161" s="2" t="s">
        <v>2199</v>
      </c>
      <c r="C161" s="2" t="s">
        <v>2200</v>
      </c>
      <c r="D161" s="2" t="s">
        <v>2201</v>
      </c>
      <c r="E161" s="2" t="s">
        <v>2202</v>
      </c>
      <c r="F161" s="2" t="s">
        <v>720</v>
      </c>
      <c r="G161" s="2" t="s">
        <v>2203</v>
      </c>
      <c r="H161" s="2" t="s">
        <v>57</v>
      </c>
      <c r="I161" s="2" t="s">
        <v>2204</v>
      </c>
      <c r="J161" s="2" t="s">
        <v>57</v>
      </c>
      <c r="K161" s="2" t="s">
        <v>2205</v>
      </c>
      <c r="L161" s="2" t="s">
        <v>2206</v>
      </c>
      <c r="M161" s="2" t="s">
        <v>2207</v>
      </c>
      <c r="N161" s="2" t="s">
        <v>56</v>
      </c>
      <c r="O161" s="2" t="s">
        <v>89</v>
      </c>
      <c r="P161" s="2" t="s">
        <v>2208</v>
      </c>
      <c r="Q161" s="2"/>
      <c r="R161" s="2"/>
      <c r="S161" s="2" t="s">
        <v>2209</v>
      </c>
      <c r="T161" s="2" t="s">
        <v>2210</v>
      </c>
      <c r="U161" s="2" t="s">
        <v>2211</v>
      </c>
    </row>
    <row r="162" customFormat="false" ht="68.65" hidden="false" customHeight="false" outlineLevel="0" collapsed="false">
      <c r="A162" s="2" t="s">
        <v>1793</v>
      </c>
      <c r="B162" s="2" t="s">
        <v>2212</v>
      </c>
      <c r="C162" s="2" t="s">
        <v>2213</v>
      </c>
      <c r="D162" s="2" t="s">
        <v>2214</v>
      </c>
      <c r="E162" s="2" t="s">
        <v>2215</v>
      </c>
      <c r="F162" s="2" t="s">
        <v>81</v>
      </c>
      <c r="G162" s="2" t="s">
        <v>2216</v>
      </c>
      <c r="H162" s="2" t="s">
        <v>2217</v>
      </c>
      <c r="I162" s="2" t="s">
        <v>2218</v>
      </c>
      <c r="J162" s="2" t="s">
        <v>89</v>
      </c>
      <c r="K162" s="2" t="s">
        <v>2219</v>
      </c>
      <c r="L162" s="2" t="s">
        <v>2220</v>
      </c>
      <c r="M162" s="2" t="s">
        <v>2221</v>
      </c>
      <c r="N162" s="2" t="s">
        <v>56</v>
      </c>
      <c r="O162" s="2" t="s">
        <v>89</v>
      </c>
      <c r="P162" s="2" t="s">
        <v>57</v>
      </c>
      <c r="Q162" s="2"/>
      <c r="R162" s="2"/>
      <c r="S162" s="2" t="s">
        <v>2222</v>
      </c>
      <c r="T162" s="2" t="s">
        <v>2223</v>
      </c>
      <c r="U162" s="2" t="s">
        <v>2224</v>
      </c>
    </row>
    <row r="163" customFormat="false" ht="35.05" hidden="false" customHeight="false" outlineLevel="0" collapsed="false">
      <c r="A163" s="2" t="s">
        <v>1793</v>
      </c>
      <c r="B163" s="2" t="s">
        <v>2225</v>
      </c>
      <c r="C163" s="2" t="s">
        <v>2226</v>
      </c>
      <c r="D163" s="2" t="s">
        <v>2227</v>
      </c>
      <c r="E163" s="2" t="s">
        <v>2228</v>
      </c>
      <c r="F163" s="2" t="s">
        <v>280</v>
      </c>
      <c r="G163" s="2" t="s">
        <v>2229</v>
      </c>
      <c r="H163" s="2" t="s">
        <v>600</v>
      </c>
      <c r="I163" s="2" t="s">
        <v>2230</v>
      </c>
      <c r="J163" s="2" t="s">
        <v>2231</v>
      </c>
      <c r="K163" s="2" t="s">
        <v>2232</v>
      </c>
      <c r="L163" s="2" t="s">
        <v>2233</v>
      </c>
      <c r="M163" s="2" t="s">
        <v>2234</v>
      </c>
      <c r="N163" s="2" t="s">
        <v>144</v>
      </c>
      <c r="O163" s="2" t="s">
        <v>57</v>
      </c>
      <c r="P163" s="2" t="s">
        <v>2235</v>
      </c>
      <c r="Q163" s="2"/>
      <c r="R163" s="2"/>
      <c r="S163" s="2" t="s">
        <v>2236</v>
      </c>
      <c r="T163" s="2" t="s">
        <v>2237</v>
      </c>
      <c r="U163" s="2" t="s">
        <v>2238</v>
      </c>
    </row>
    <row r="164" customFormat="false" ht="35.05" hidden="false" customHeight="false" outlineLevel="0" collapsed="false">
      <c r="A164" s="2" t="s">
        <v>1793</v>
      </c>
      <c r="B164" s="2" t="s">
        <v>2225</v>
      </c>
      <c r="C164" s="2" t="s">
        <v>2225</v>
      </c>
      <c r="D164" s="2" t="s">
        <v>2239</v>
      </c>
      <c r="E164" s="2" t="s">
        <v>2240</v>
      </c>
      <c r="F164" s="2" t="s">
        <v>280</v>
      </c>
      <c r="G164" s="2" t="s">
        <v>2241</v>
      </c>
      <c r="H164" s="2" t="s">
        <v>2242</v>
      </c>
      <c r="I164" s="2" t="s">
        <v>2243</v>
      </c>
      <c r="J164" s="2" t="s">
        <v>2244</v>
      </c>
      <c r="K164" s="2" t="s">
        <v>2245</v>
      </c>
      <c r="L164" s="2" t="s">
        <v>2246</v>
      </c>
      <c r="M164" s="2" t="s">
        <v>2247</v>
      </c>
      <c r="N164" s="2" t="s">
        <v>144</v>
      </c>
      <c r="O164" s="2" t="s">
        <v>57</v>
      </c>
      <c r="P164" s="2" t="s">
        <v>2248</v>
      </c>
      <c r="Q164" s="2"/>
      <c r="R164" s="2"/>
      <c r="S164" s="2" t="s">
        <v>2249</v>
      </c>
      <c r="T164" s="2" t="s">
        <v>2250</v>
      </c>
      <c r="U164" s="2" t="s">
        <v>2251</v>
      </c>
    </row>
    <row r="165" customFormat="false" ht="46.25" hidden="false" customHeight="false" outlineLevel="0" collapsed="false">
      <c r="A165" s="2" t="s">
        <v>1793</v>
      </c>
      <c r="B165" s="2" t="s">
        <v>2252</v>
      </c>
      <c r="C165" s="2" t="s">
        <v>2253</v>
      </c>
      <c r="D165" s="2" t="s">
        <v>2254</v>
      </c>
      <c r="E165" s="2" t="s">
        <v>2255</v>
      </c>
      <c r="F165" s="2" t="s">
        <v>193</v>
      </c>
      <c r="G165" s="2" t="s">
        <v>2256</v>
      </c>
      <c r="H165" s="2" t="s">
        <v>2257</v>
      </c>
      <c r="I165" s="2" t="s">
        <v>2258</v>
      </c>
      <c r="J165" s="2" t="s">
        <v>2259</v>
      </c>
      <c r="K165" s="2" t="s">
        <v>2260</v>
      </c>
      <c r="L165" s="2" t="s">
        <v>2261</v>
      </c>
      <c r="M165" s="2" t="s">
        <v>2262</v>
      </c>
      <c r="N165" s="2" t="s">
        <v>89</v>
      </c>
      <c r="O165" s="2" t="s">
        <v>89</v>
      </c>
      <c r="P165" s="2" t="s">
        <v>2263</v>
      </c>
      <c r="Q165" s="2"/>
      <c r="R165" s="2"/>
      <c r="S165" s="2" t="s">
        <v>2264</v>
      </c>
      <c r="T165" s="2" t="s">
        <v>2265</v>
      </c>
      <c r="U165" s="2" t="s">
        <v>2266</v>
      </c>
    </row>
    <row r="166" customFormat="false" ht="35.05" hidden="false" customHeight="false" outlineLevel="0" collapsed="false">
      <c r="A166" s="2" t="s">
        <v>1793</v>
      </c>
      <c r="B166" s="2" t="s">
        <v>2267</v>
      </c>
      <c r="C166" s="2" t="s">
        <v>2268</v>
      </c>
      <c r="D166" s="2" t="s">
        <v>2269</v>
      </c>
      <c r="E166" s="2" t="s">
        <v>2270</v>
      </c>
      <c r="F166" s="2" t="s">
        <v>66</v>
      </c>
      <c r="G166" s="2" t="s">
        <v>2271</v>
      </c>
      <c r="H166" s="2" t="s">
        <v>57</v>
      </c>
      <c r="I166" s="2" t="s">
        <v>372</v>
      </c>
      <c r="J166" s="2" t="s">
        <v>2272</v>
      </c>
      <c r="K166" s="2" t="s">
        <v>2273</v>
      </c>
      <c r="L166" s="2" t="s">
        <v>2274</v>
      </c>
      <c r="M166" s="2" t="s">
        <v>2275</v>
      </c>
      <c r="N166" s="2" t="s">
        <v>144</v>
      </c>
      <c r="O166" s="2" t="s">
        <v>57</v>
      </c>
      <c r="P166" s="2" t="s">
        <v>57</v>
      </c>
      <c r="Q166" s="2"/>
      <c r="R166" s="2"/>
      <c r="S166" s="2" t="s">
        <v>2276</v>
      </c>
      <c r="T166" s="2" t="s">
        <v>2277</v>
      </c>
      <c r="U166" s="2" t="s">
        <v>2278</v>
      </c>
    </row>
    <row r="167" customFormat="false" ht="35.05" hidden="false" customHeight="false" outlineLevel="0" collapsed="false">
      <c r="A167" s="2" t="s">
        <v>1793</v>
      </c>
      <c r="B167" s="2" t="s">
        <v>2279</v>
      </c>
      <c r="C167" s="2" t="s">
        <v>2279</v>
      </c>
      <c r="D167" s="2" t="s">
        <v>2280</v>
      </c>
      <c r="E167" s="2" t="s">
        <v>2281</v>
      </c>
      <c r="F167" s="2" t="s">
        <v>66</v>
      </c>
      <c r="G167" s="2" t="s">
        <v>2282</v>
      </c>
      <c r="H167" s="2" t="s">
        <v>57</v>
      </c>
      <c r="I167" s="2" t="s">
        <v>1992</v>
      </c>
      <c r="J167" s="2" t="s">
        <v>57</v>
      </c>
      <c r="K167" s="2" t="s">
        <v>2279</v>
      </c>
      <c r="L167" s="2" t="s">
        <v>2283</v>
      </c>
      <c r="M167" s="2" t="s">
        <v>2284</v>
      </c>
      <c r="N167" s="2" t="s">
        <v>144</v>
      </c>
      <c r="O167" s="2" t="s">
        <v>57</v>
      </c>
      <c r="P167" s="2" t="s">
        <v>2285</v>
      </c>
      <c r="Q167" s="2"/>
      <c r="R167" s="2"/>
      <c r="S167" s="2" t="s">
        <v>2286</v>
      </c>
      <c r="T167" s="2" t="s">
        <v>2287</v>
      </c>
      <c r="U167" s="2" t="s">
        <v>2288</v>
      </c>
    </row>
    <row r="168" customFormat="false" ht="35.05" hidden="false" customHeight="false" outlineLevel="0" collapsed="false">
      <c r="A168" s="2" t="s">
        <v>1793</v>
      </c>
      <c r="B168" s="2" t="s">
        <v>2279</v>
      </c>
      <c r="C168" s="2" t="s">
        <v>2289</v>
      </c>
      <c r="D168" s="2" t="s">
        <v>2290</v>
      </c>
      <c r="E168" s="2" t="s">
        <v>2291</v>
      </c>
      <c r="F168" s="2" t="s">
        <v>66</v>
      </c>
      <c r="G168" s="2" t="s">
        <v>2292</v>
      </c>
      <c r="H168" s="2" t="s">
        <v>1600</v>
      </c>
      <c r="I168" s="2" t="s">
        <v>372</v>
      </c>
      <c r="J168" s="2" t="s">
        <v>2293</v>
      </c>
      <c r="K168" s="2" t="s">
        <v>2294</v>
      </c>
      <c r="L168" s="2" t="s">
        <v>2295</v>
      </c>
      <c r="M168" s="2" t="s">
        <v>2296</v>
      </c>
      <c r="N168" s="2" t="s">
        <v>144</v>
      </c>
      <c r="O168" s="2" t="s">
        <v>57</v>
      </c>
      <c r="P168" s="2" t="s">
        <v>2297</v>
      </c>
      <c r="Q168" s="2"/>
      <c r="R168" s="2"/>
      <c r="S168" s="2" t="s">
        <v>2298</v>
      </c>
      <c r="T168" s="2" t="s">
        <v>2299</v>
      </c>
      <c r="U168" s="2" t="s">
        <v>2300</v>
      </c>
    </row>
    <row r="169" customFormat="false" ht="46.25" hidden="false" customHeight="false" outlineLevel="0" collapsed="false">
      <c r="A169" s="2" t="s">
        <v>1793</v>
      </c>
      <c r="B169" s="2" t="s">
        <v>2301</v>
      </c>
      <c r="C169" s="2" t="s">
        <v>2302</v>
      </c>
      <c r="D169" s="2" t="s">
        <v>2303</v>
      </c>
      <c r="E169" s="2" t="s">
        <v>2304</v>
      </c>
      <c r="F169" s="2" t="s">
        <v>81</v>
      </c>
      <c r="G169" s="2" t="s">
        <v>2305</v>
      </c>
      <c r="H169" s="2" t="s">
        <v>2306</v>
      </c>
      <c r="I169" s="2" t="s">
        <v>540</v>
      </c>
      <c r="J169" s="2" t="s">
        <v>2307</v>
      </c>
      <c r="K169" s="2" t="s">
        <v>2308</v>
      </c>
      <c r="L169" s="2" t="s">
        <v>2309</v>
      </c>
      <c r="M169" s="2" t="s">
        <v>2310</v>
      </c>
      <c r="N169" s="2" t="s">
        <v>144</v>
      </c>
      <c r="O169" s="2" t="s">
        <v>57</v>
      </c>
      <c r="P169" s="2" t="s">
        <v>57</v>
      </c>
      <c r="Q169" s="2"/>
      <c r="R169" s="2"/>
      <c r="S169" s="2" t="s">
        <v>2311</v>
      </c>
      <c r="T169" s="2" t="s">
        <v>2312</v>
      </c>
      <c r="U169" s="2" t="s">
        <v>2313</v>
      </c>
    </row>
    <row r="170" customFormat="false" ht="35.05" hidden="false" customHeight="false" outlineLevel="0" collapsed="false">
      <c r="A170" s="2" t="s">
        <v>1793</v>
      </c>
      <c r="B170" s="2" t="s">
        <v>2314</v>
      </c>
      <c r="C170" s="2" t="s">
        <v>2315</v>
      </c>
      <c r="D170" s="2" t="s">
        <v>2316</v>
      </c>
      <c r="E170" s="2" t="s">
        <v>2317</v>
      </c>
      <c r="F170" s="2" t="s">
        <v>66</v>
      </c>
      <c r="G170" s="2" t="s">
        <v>2318</v>
      </c>
      <c r="H170" s="2" t="s">
        <v>57</v>
      </c>
      <c r="I170" s="2" t="s">
        <v>359</v>
      </c>
      <c r="J170" s="2" t="s">
        <v>2319</v>
      </c>
      <c r="K170" s="2" t="s">
        <v>2320</v>
      </c>
      <c r="L170" s="2" t="s">
        <v>2321</v>
      </c>
      <c r="M170" s="2" t="s">
        <v>2322</v>
      </c>
      <c r="N170" s="2" t="s">
        <v>72</v>
      </c>
      <c r="O170" s="2" t="s">
        <v>2323</v>
      </c>
      <c r="P170" s="2" t="s">
        <v>2324</v>
      </c>
      <c r="Q170" s="2"/>
      <c r="R170" s="2"/>
      <c r="S170" s="2" t="s">
        <v>2325</v>
      </c>
      <c r="T170" s="2" t="s">
        <v>2326</v>
      </c>
      <c r="U170" s="2" t="s">
        <v>2327</v>
      </c>
    </row>
    <row r="171" customFormat="false" ht="35.05" hidden="false" customHeight="false" outlineLevel="0" collapsed="false">
      <c r="A171" s="2" t="s">
        <v>1793</v>
      </c>
      <c r="B171" s="2" t="s">
        <v>2328</v>
      </c>
      <c r="C171" s="2" t="s">
        <v>2328</v>
      </c>
      <c r="D171" s="2" t="s">
        <v>2329</v>
      </c>
      <c r="E171" s="2" t="s">
        <v>2330</v>
      </c>
      <c r="F171" s="2" t="s">
        <v>66</v>
      </c>
      <c r="G171" s="2" t="s">
        <v>2331</v>
      </c>
      <c r="H171" s="2" t="s">
        <v>57</v>
      </c>
      <c r="I171" s="2" t="s">
        <v>359</v>
      </c>
      <c r="J171" s="2" t="s">
        <v>57</v>
      </c>
      <c r="K171" s="2" t="s">
        <v>2328</v>
      </c>
      <c r="L171" s="2" t="s">
        <v>2332</v>
      </c>
      <c r="M171" s="2" t="s">
        <v>2333</v>
      </c>
      <c r="N171" s="2" t="s">
        <v>144</v>
      </c>
      <c r="O171" s="2" t="s">
        <v>57</v>
      </c>
      <c r="P171" s="2" t="s">
        <v>2334</v>
      </c>
      <c r="Q171" s="2"/>
      <c r="R171" s="2"/>
      <c r="S171" s="2" t="s">
        <v>2335</v>
      </c>
      <c r="T171" s="2" t="s">
        <v>2336</v>
      </c>
      <c r="U171" s="2" t="s">
        <v>2337</v>
      </c>
    </row>
    <row r="172" customFormat="false" ht="68.65" hidden="false" customHeight="false" outlineLevel="0" collapsed="false">
      <c r="A172" s="2" t="s">
        <v>1793</v>
      </c>
      <c r="B172" s="2" t="s">
        <v>2338</v>
      </c>
      <c r="C172" s="2" t="s">
        <v>2339</v>
      </c>
      <c r="D172" s="2" t="s">
        <v>2340</v>
      </c>
      <c r="E172" s="2" t="s">
        <v>2341</v>
      </c>
      <c r="F172" s="2" t="s">
        <v>139</v>
      </c>
      <c r="G172" s="2" t="s">
        <v>2342</v>
      </c>
      <c r="H172" s="2" t="s">
        <v>89</v>
      </c>
      <c r="I172" s="2" t="s">
        <v>89</v>
      </c>
      <c r="J172" s="2" t="s">
        <v>89</v>
      </c>
      <c r="K172" s="2" t="s">
        <v>2343</v>
      </c>
      <c r="L172" s="2" t="s">
        <v>2344</v>
      </c>
      <c r="M172" s="2" t="s">
        <v>2345</v>
      </c>
      <c r="N172" s="2" t="s">
        <v>89</v>
      </c>
      <c r="O172" s="2" t="s">
        <v>57</v>
      </c>
      <c r="P172" s="2" t="s">
        <v>2346</v>
      </c>
      <c r="Q172" s="2"/>
      <c r="R172" s="2"/>
      <c r="S172" s="2" t="s">
        <v>2347</v>
      </c>
      <c r="T172" s="2" t="s">
        <v>2348</v>
      </c>
      <c r="U172" s="2" t="s">
        <v>2349</v>
      </c>
    </row>
    <row r="173" customFormat="false" ht="79.85" hidden="false" customHeight="false" outlineLevel="0" collapsed="false">
      <c r="A173" s="2" t="s">
        <v>2350</v>
      </c>
      <c r="B173" s="2" t="s">
        <v>2351</v>
      </c>
      <c r="C173" s="2" t="s">
        <v>2352</v>
      </c>
      <c r="D173" s="2" t="s">
        <v>2353</v>
      </c>
      <c r="E173" s="2" t="s">
        <v>2354</v>
      </c>
      <c r="F173" s="2" t="s">
        <v>34</v>
      </c>
      <c r="G173" s="2" t="s">
        <v>2355</v>
      </c>
      <c r="H173" s="2" t="s">
        <v>2356</v>
      </c>
      <c r="I173" s="2" t="s">
        <v>1248</v>
      </c>
      <c r="J173" s="2" t="s">
        <v>1545</v>
      </c>
      <c r="K173" s="2" t="s">
        <v>2357</v>
      </c>
      <c r="L173" s="2" t="s">
        <v>2358</v>
      </c>
      <c r="M173" s="2" t="s">
        <v>2359</v>
      </c>
      <c r="N173" s="2" t="s">
        <v>144</v>
      </c>
      <c r="O173" s="2" t="s">
        <v>2360</v>
      </c>
      <c r="P173" s="2" t="s">
        <v>2361</v>
      </c>
      <c r="Q173" s="2"/>
      <c r="R173" s="2"/>
      <c r="S173" s="2" t="s">
        <v>2362</v>
      </c>
      <c r="T173" s="2" t="s">
        <v>2363</v>
      </c>
      <c r="U173" s="2" t="s">
        <v>2364</v>
      </c>
    </row>
    <row r="174" customFormat="false" ht="46.25" hidden="false" customHeight="false" outlineLevel="0" collapsed="false">
      <c r="A174" s="2" t="s">
        <v>2350</v>
      </c>
      <c r="B174" s="2" t="s">
        <v>2365</v>
      </c>
      <c r="C174" s="2" t="s">
        <v>2366</v>
      </c>
      <c r="D174" s="2" t="s">
        <v>2367</v>
      </c>
      <c r="E174" s="2" t="s">
        <v>2368</v>
      </c>
      <c r="F174" s="2" t="s">
        <v>34</v>
      </c>
      <c r="G174" s="2" t="s">
        <v>2369</v>
      </c>
      <c r="H174" s="2" t="s">
        <v>1600</v>
      </c>
      <c r="I174" s="2" t="s">
        <v>2370</v>
      </c>
      <c r="J174" s="2" t="s">
        <v>2371</v>
      </c>
      <c r="K174" s="2" t="s">
        <v>2372</v>
      </c>
      <c r="L174" s="2" t="s">
        <v>2373</v>
      </c>
      <c r="M174" s="2" t="s">
        <v>2374</v>
      </c>
      <c r="N174" s="2" t="s">
        <v>56</v>
      </c>
      <c r="O174" s="2" t="s">
        <v>58</v>
      </c>
      <c r="P174" s="2" t="s">
        <v>2375</v>
      </c>
      <c r="Q174" s="2"/>
      <c r="R174" s="2"/>
      <c r="S174" s="2" t="s">
        <v>2376</v>
      </c>
      <c r="T174" s="2" t="s">
        <v>2377</v>
      </c>
      <c r="U174" s="2" t="s">
        <v>2378</v>
      </c>
    </row>
    <row r="175" customFormat="false" ht="57.45" hidden="false" customHeight="false" outlineLevel="0" collapsed="false">
      <c r="A175" s="2" t="s">
        <v>2350</v>
      </c>
      <c r="B175" s="2" t="s">
        <v>2379</v>
      </c>
      <c r="C175" s="2" t="s">
        <v>2380</v>
      </c>
      <c r="D175" s="2" t="s">
        <v>2379</v>
      </c>
      <c r="E175" s="2" t="s">
        <v>2381</v>
      </c>
      <c r="F175" s="2" t="s">
        <v>34</v>
      </c>
      <c r="G175" s="2" t="s">
        <v>2382</v>
      </c>
      <c r="H175" s="2" t="s">
        <v>2383</v>
      </c>
      <c r="I175" s="2" t="s">
        <v>1236</v>
      </c>
      <c r="J175" s="2" t="s">
        <v>2384</v>
      </c>
      <c r="K175" s="2" t="s">
        <v>2385</v>
      </c>
      <c r="L175" s="2" t="s">
        <v>2386</v>
      </c>
      <c r="M175" s="2" t="s">
        <v>2387</v>
      </c>
      <c r="N175" s="2" t="s">
        <v>144</v>
      </c>
      <c r="O175" s="2" t="s">
        <v>58</v>
      </c>
      <c r="P175" s="2" t="s">
        <v>2388</v>
      </c>
      <c r="Q175" s="2" t="s">
        <v>2389</v>
      </c>
      <c r="R175" s="2"/>
      <c r="S175" s="2" t="s">
        <v>2390</v>
      </c>
      <c r="T175" s="2" t="s">
        <v>2391</v>
      </c>
      <c r="U175" s="2" t="s">
        <v>2392</v>
      </c>
    </row>
    <row r="176" customFormat="false" ht="57.45" hidden="false" customHeight="false" outlineLevel="0" collapsed="false">
      <c r="A176" s="2" t="s">
        <v>2350</v>
      </c>
      <c r="B176" s="2" t="s">
        <v>2365</v>
      </c>
      <c r="C176" s="2" t="s">
        <v>2393</v>
      </c>
      <c r="D176" s="2" t="s">
        <v>2394</v>
      </c>
      <c r="E176" s="2" t="s">
        <v>2395</v>
      </c>
      <c r="F176" s="2" t="s">
        <v>347</v>
      </c>
      <c r="G176" s="2" t="s">
        <v>2396</v>
      </c>
      <c r="H176" s="2" t="s">
        <v>2397</v>
      </c>
      <c r="I176" s="2" t="s">
        <v>2398</v>
      </c>
      <c r="J176" s="2" t="s">
        <v>2399</v>
      </c>
      <c r="K176" s="2" t="s">
        <v>2400</v>
      </c>
      <c r="L176" s="2" t="s">
        <v>2401</v>
      </c>
      <c r="M176" s="2" t="s">
        <v>2402</v>
      </c>
      <c r="N176" s="2" t="s">
        <v>56</v>
      </c>
      <c r="O176" s="2" t="s">
        <v>58</v>
      </c>
      <c r="P176" s="2" t="s">
        <v>58</v>
      </c>
      <c r="Q176" s="2"/>
      <c r="R176" s="2"/>
      <c r="S176" s="2" t="s">
        <v>2403</v>
      </c>
      <c r="T176" s="2" t="s">
        <v>2404</v>
      </c>
      <c r="U176" s="2" t="s">
        <v>2405</v>
      </c>
    </row>
    <row r="177" customFormat="false" ht="68.65" hidden="false" customHeight="false" outlineLevel="0" collapsed="false">
      <c r="A177" s="2" t="s">
        <v>2350</v>
      </c>
      <c r="B177" s="2" t="s">
        <v>2379</v>
      </c>
      <c r="C177" s="2" t="s">
        <v>2406</v>
      </c>
      <c r="D177" s="2" t="s">
        <v>2379</v>
      </c>
      <c r="E177" s="2" t="s">
        <v>2407</v>
      </c>
      <c r="F177" s="2" t="s">
        <v>347</v>
      </c>
      <c r="G177" s="2" t="s">
        <v>2408</v>
      </c>
      <c r="H177" s="2" t="s">
        <v>2409</v>
      </c>
      <c r="I177" s="2" t="s">
        <v>2410</v>
      </c>
      <c r="J177" s="2" t="s">
        <v>2411</v>
      </c>
      <c r="K177" s="2" t="s">
        <v>2412</v>
      </c>
      <c r="L177" s="2" t="s">
        <v>2413</v>
      </c>
      <c r="M177" s="2" t="s">
        <v>2414</v>
      </c>
      <c r="N177" s="2" t="s">
        <v>144</v>
      </c>
      <c r="O177" s="2" t="s">
        <v>2415</v>
      </c>
      <c r="P177" s="2" t="s">
        <v>2416</v>
      </c>
      <c r="Q177" s="2" t="s">
        <v>2417</v>
      </c>
      <c r="R177" s="2"/>
      <c r="S177" s="2" t="s">
        <v>2418</v>
      </c>
      <c r="T177" s="2" t="s">
        <v>2419</v>
      </c>
      <c r="U177" s="2" t="s">
        <v>2420</v>
      </c>
    </row>
    <row r="178" customFormat="false" ht="68.65" hidden="false" customHeight="false" outlineLevel="0" collapsed="false">
      <c r="A178" s="2" t="s">
        <v>2350</v>
      </c>
      <c r="B178" s="2" t="s">
        <v>2379</v>
      </c>
      <c r="C178" s="2" t="s">
        <v>2421</v>
      </c>
      <c r="D178" s="2" t="s">
        <v>2379</v>
      </c>
      <c r="E178" s="2" t="s">
        <v>2422</v>
      </c>
      <c r="F178" s="2" t="s">
        <v>34</v>
      </c>
      <c r="G178" s="2" t="s">
        <v>2423</v>
      </c>
      <c r="H178" s="2" t="s">
        <v>2424</v>
      </c>
      <c r="I178" s="2" t="s">
        <v>183</v>
      </c>
      <c r="J178" s="2" t="s">
        <v>2425</v>
      </c>
      <c r="K178" s="2" t="s">
        <v>2426</v>
      </c>
      <c r="L178" s="2" t="s">
        <v>2427</v>
      </c>
      <c r="M178" s="2" t="s">
        <v>2428</v>
      </c>
      <c r="N178" s="2" t="s">
        <v>144</v>
      </c>
      <c r="O178" s="2" t="s">
        <v>2429</v>
      </c>
      <c r="P178" s="2" t="s">
        <v>2430</v>
      </c>
      <c r="Q178" s="2"/>
      <c r="R178" s="2"/>
      <c r="S178" s="2" t="s">
        <v>2431</v>
      </c>
      <c r="T178" s="2" t="s">
        <v>2432</v>
      </c>
      <c r="U178" s="2" t="s">
        <v>2433</v>
      </c>
    </row>
    <row r="179" customFormat="false" ht="46.25" hidden="false" customHeight="false" outlineLevel="0" collapsed="false">
      <c r="A179" s="2" t="s">
        <v>2350</v>
      </c>
      <c r="B179" s="2" t="s">
        <v>2365</v>
      </c>
      <c r="C179" s="2" t="s">
        <v>2434</v>
      </c>
      <c r="D179" s="2" t="s">
        <v>2367</v>
      </c>
      <c r="E179" s="2" t="s">
        <v>2435</v>
      </c>
      <c r="F179" s="2" t="s">
        <v>34</v>
      </c>
      <c r="G179" s="2" t="s">
        <v>2436</v>
      </c>
      <c r="H179" s="2" t="s">
        <v>1600</v>
      </c>
      <c r="I179" s="2" t="s">
        <v>2437</v>
      </c>
      <c r="J179" s="2" t="s">
        <v>2438</v>
      </c>
      <c r="K179" s="2" t="s">
        <v>2439</v>
      </c>
      <c r="L179" s="2" t="s">
        <v>2440</v>
      </c>
      <c r="M179" s="2" t="s">
        <v>2441</v>
      </c>
      <c r="N179" s="2" t="s">
        <v>144</v>
      </c>
      <c r="O179" s="2" t="s">
        <v>58</v>
      </c>
      <c r="P179" s="2" t="s">
        <v>58</v>
      </c>
      <c r="Q179" s="2" t="s">
        <v>2442</v>
      </c>
      <c r="R179" s="2" t="s">
        <v>2443</v>
      </c>
      <c r="S179" s="2" t="s">
        <v>2444</v>
      </c>
      <c r="T179" s="2" t="s">
        <v>2445</v>
      </c>
      <c r="U179" s="2" t="s">
        <v>2446</v>
      </c>
    </row>
    <row r="180" customFormat="false" ht="46.25" hidden="false" customHeight="false" outlineLevel="0" collapsed="false">
      <c r="A180" s="2" t="s">
        <v>2350</v>
      </c>
      <c r="B180" s="2" t="s">
        <v>2447</v>
      </c>
      <c r="C180" s="2" t="s">
        <v>2448</v>
      </c>
      <c r="D180" s="2" t="s">
        <v>2449</v>
      </c>
      <c r="E180" s="2" t="s">
        <v>2450</v>
      </c>
      <c r="F180" s="2" t="s">
        <v>34</v>
      </c>
      <c r="G180" s="2" t="s">
        <v>2451</v>
      </c>
      <c r="H180" s="2" t="s">
        <v>1543</v>
      </c>
      <c r="I180" s="2" t="s">
        <v>2452</v>
      </c>
      <c r="J180" s="2" t="s">
        <v>156</v>
      </c>
      <c r="K180" s="2" t="s">
        <v>2453</v>
      </c>
      <c r="L180" s="2" t="s">
        <v>2454</v>
      </c>
      <c r="M180" s="2" t="s">
        <v>2455</v>
      </c>
      <c r="N180" s="2" t="s">
        <v>56</v>
      </c>
      <c r="O180" s="2" t="s">
        <v>2456</v>
      </c>
      <c r="P180" s="2" t="s">
        <v>58</v>
      </c>
      <c r="Q180" s="2" t="s">
        <v>2457</v>
      </c>
      <c r="R180" s="2"/>
      <c r="S180" s="2" t="s">
        <v>2458</v>
      </c>
      <c r="T180" s="2" t="s">
        <v>2459</v>
      </c>
      <c r="U180" s="2" t="s">
        <v>2460</v>
      </c>
    </row>
    <row r="181" customFormat="false" ht="46.25" hidden="false" customHeight="false" outlineLevel="0" collapsed="false">
      <c r="A181" s="2" t="s">
        <v>2350</v>
      </c>
      <c r="B181" s="2" t="s">
        <v>2447</v>
      </c>
      <c r="C181" s="2" t="s">
        <v>2461</v>
      </c>
      <c r="D181" s="2" t="s">
        <v>2462</v>
      </c>
      <c r="E181" s="2" t="s">
        <v>2463</v>
      </c>
      <c r="F181" s="2" t="s">
        <v>34</v>
      </c>
      <c r="G181" s="2" t="s">
        <v>2464</v>
      </c>
      <c r="H181" s="2" t="s">
        <v>2465</v>
      </c>
      <c r="I181" s="2" t="s">
        <v>183</v>
      </c>
      <c r="J181" s="2" t="s">
        <v>1936</v>
      </c>
      <c r="K181" s="2" t="s">
        <v>2466</v>
      </c>
      <c r="L181" s="2" t="s">
        <v>2467</v>
      </c>
      <c r="M181" s="2" t="s">
        <v>2468</v>
      </c>
      <c r="N181" s="2" t="s">
        <v>144</v>
      </c>
      <c r="O181" s="2" t="s">
        <v>58</v>
      </c>
      <c r="P181" s="2" t="s">
        <v>58</v>
      </c>
      <c r="Q181" s="2"/>
      <c r="R181" s="2"/>
      <c r="S181" s="2" t="s">
        <v>2469</v>
      </c>
      <c r="T181" s="2" t="s">
        <v>2470</v>
      </c>
      <c r="U181" s="2" t="s">
        <v>2471</v>
      </c>
    </row>
    <row r="182" customFormat="false" ht="46.25" hidden="false" customHeight="false" outlineLevel="0" collapsed="false">
      <c r="A182" s="2" t="s">
        <v>2350</v>
      </c>
      <c r="B182" s="2" t="s">
        <v>2365</v>
      </c>
      <c r="C182" s="2" t="s">
        <v>2472</v>
      </c>
      <c r="D182" s="2" t="s">
        <v>2473</v>
      </c>
      <c r="E182" s="2" t="s">
        <v>2474</v>
      </c>
      <c r="F182" s="2" t="s">
        <v>34</v>
      </c>
      <c r="G182" s="2" t="s">
        <v>2475</v>
      </c>
      <c r="H182" s="2" t="s">
        <v>2476</v>
      </c>
      <c r="I182" s="2" t="s">
        <v>1236</v>
      </c>
      <c r="J182" s="2" t="s">
        <v>197</v>
      </c>
      <c r="K182" s="2" t="s">
        <v>2477</v>
      </c>
      <c r="L182" s="2" t="s">
        <v>2478</v>
      </c>
      <c r="M182" s="2" t="s">
        <v>2479</v>
      </c>
      <c r="N182" s="2" t="s">
        <v>144</v>
      </c>
      <c r="O182" s="2" t="s">
        <v>58</v>
      </c>
      <c r="P182" s="2" t="s">
        <v>2480</v>
      </c>
      <c r="Q182" s="2"/>
      <c r="R182" s="2"/>
      <c r="S182" s="2" t="s">
        <v>2481</v>
      </c>
      <c r="T182" s="2" t="s">
        <v>2482</v>
      </c>
      <c r="U182" s="2" t="s">
        <v>2483</v>
      </c>
    </row>
    <row r="183" customFormat="false" ht="46.25" hidden="false" customHeight="false" outlineLevel="0" collapsed="false">
      <c r="A183" s="2" t="s">
        <v>2350</v>
      </c>
      <c r="B183" s="2" t="s">
        <v>2365</v>
      </c>
      <c r="C183" s="2" t="s">
        <v>2484</v>
      </c>
      <c r="D183" s="2" t="s">
        <v>2473</v>
      </c>
      <c r="E183" s="2" t="s">
        <v>2485</v>
      </c>
      <c r="F183" s="2" t="s">
        <v>34</v>
      </c>
      <c r="G183" s="2" t="s">
        <v>1768</v>
      </c>
      <c r="H183" s="2" t="s">
        <v>2486</v>
      </c>
      <c r="I183" s="2" t="s">
        <v>1236</v>
      </c>
      <c r="J183" s="2" t="s">
        <v>197</v>
      </c>
      <c r="K183" s="2" t="s">
        <v>2487</v>
      </c>
      <c r="L183" s="2" t="s">
        <v>2488</v>
      </c>
      <c r="M183" s="2" t="s">
        <v>2489</v>
      </c>
      <c r="N183" s="2" t="s">
        <v>144</v>
      </c>
      <c r="O183" s="2" t="s">
        <v>58</v>
      </c>
      <c r="P183" s="2" t="s">
        <v>2490</v>
      </c>
      <c r="Q183" s="2"/>
      <c r="R183" s="2"/>
      <c r="S183" s="2" t="s">
        <v>2491</v>
      </c>
      <c r="T183" s="2" t="s">
        <v>2492</v>
      </c>
      <c r="U183" s="2" t="s">
        <v>2493</v>
      </c>
    </row>
    <row r="184" customFormat="false" ht="57.45" hidden="false" customHeight="false" outlineLevel="0" collapsed="false">
      <c r="A184" s="2" t="s">
        <v>2350</v>
      </c>
      <c r="B184" s="2" t="s">
        <v>2494</v>
      </c>
      <c r="C184" s="2" t="s">
        <v>2495</v>
      </c>
      <c r="D184" s="2" t="s">
        <v>2496</v>
      </c>
      <c r="E184" s="2" t="s">
        <v>2497</v>
      </c>
      <c r="F184" s="2" t="s">
        <v>34</v>
      </c>
      <c r="G184" s="2" t="s">
        <v>1626</v>
      </c>
      <c r="H184" s="2" t="s">
        <v>2498</v>
      </c>
      <c r="I184" s="2" t="s">
        <v>1236</v>
      </c>
      <c r="J184" s="2" t="s">
        <v>197</v>
      </c>
      <c r="K184" s="2" t="s">
        <v>2499</v>
      </c>
      <c r="L184" s="2" t="s">
        <v>2500</v>
      </c>
      <c r="M184" s="2" t="s">
        <v>2501</v>
      </c>
      <c r="N184" s="2" t="s">
        <v>144</v>
      </c>
      <c r="O184" s="2" t="s">
        <v>58</v>
      </c>
      <c r="P184" s="2" t="s">
        <v>58</v>
      </c>
      <c r="Q184" s="2"/>
      <c r="R184" s="2"/>
      <c r="S184" s="2" t="s">
        <v>2502</v>
      </c>
      <c r="T184" s="2" t="s">
        <v>2503</v>
      </c>
      <c r="U184" s="2" t="s">
        <v>2504</v>
      </c>
    </row>
    <row r="185" customFormat="false" ht="35.05" hidden="false" customHeight="false" outlineLevel="0" collapsed="false">
      <c r="A185" s="2" t="s">
        <v>2350</v>
      </c>
      <c r="B185" s="2" t="s">
        <v>2505</v>
      </c>
      <c r="C185" s="2" t="s">
        <v>2506</v>
      </c>
      <c r="D185" s="2" t="s">
        <v>2507</v>
      </c>
      <c r="E185" s="2" t="s">
        <v>2508</v>
      </c>
      <c r="F185" s="2" t="s">
        <v>627</v>
      </c>
      <c r="G185" s="2" t="s">
        <v>2509</v>
      </c>
      <c r="H185" s="2" t="s">
        <v>629</v>
      </c>
      <c r="I185" s="2" t="s">
        <v>2510</v>
      </c>
      <c r="J185" s="2" t="s">
        <v>2511</v>
      </c>
      <c r="K185" s="2" t="s">
        <v>2512</v>
      </c>
      <c r="L185" s="2" t="s">
        <v>2513</v>
      </c>
      <c r="M185" s="2" t="s">
        <v>2514</v>
      </c>
      <c r="N185" s="2" t="s">
        <v>144</v>
      </c>
      <c r="O185" s="2" t="s">
        <v>2515</v>
      </c>
      <c r="P185" s="2" t="s">
        <v>2516</v>
      </c>
      <c r="Q185" s="2"/>
      <c r="R185" s="2"/>
      <c r="S185" s="2" t="s">
        <v>2517</v>
      </c>
      <c r="T185" s="2" t="s">
        <v>2518</v>
      </c>
      <c r="U185" s="2" t="s">
        <v>2519</v>
      </c>
    </row>
    <row r="186" customFormat="false" ht="46.25" hidden="false" customHeight="false" outlineLevel="0" collapsed="false">
      <c r="A186" s="2" t="s">
        <v>2350</v>
      </c>
      <c r="B186" s="2" t="s">
        <v>2379</v>
      </c>
      <c r="C186" s="2" t="s">
        <v>2520</v>
      </c>
      <c r="D186" s="2" t="s">
        <v>2521</v>
      </c>
      <c r="E186" s="2" t="s">
        <v>2522</v>
      </c>
      <c r="F186" s="2" t="s">
        <v>627</v>
      </c>
      <c r="G186" s="2" t="s">
        <v>2509</v>
      </c>
      <c r="H186" s="2" t="s">
        <v>629</v>
      </c>
      <c r="I186" s="2" t="s">
        <v>2523</v>
      </c>
      <c r="J186" s="2" t="s">
        <v>2524</v>
      </c>
      <c r="K186" s="2" t="s">
        <v>2525</v>
      </c>
      <c r="L186" s="2" t="s">
        <v>2526</v>
      </c>
      <c r="M186" s="2" t="s">
        <v>2527</v>
      </c>
      <c r="N186" s="2" t="s">
        <v>144</v>
      </c>
      <c r="O186" s="2" t="s">
        <v>57</v>
      </c>
      <c r="P186" s="2" t="s">
        <v>57</v>
      </c>
      <c r="Q186" s="2"/>
      <c r="R186" s="2"/>
      <c r="S186" s="2" t="s">
        <v>2528</v>
      </c>
      <c r="T186" s="2" t="s">
        <v>2529</v>
      </c>
      <c r="U186" s="2" t="s">
        <v>2530</v>
      </c>
    </row>
    <row r="187" customFormat="false" ht="68.65" hidden="false" customHeight="false" outlineLevel="0" collapsed="false">
      <c r="A187" s="2" t="s">
        <v>2350</v>
      </c>
      <c r="B187" s="2" t="s">
        <v>2531</v>
      </c>
      <c r="C187" s="2" t="s">
        <v>2532</v>
      </c>
      <c r="D187" s="2" t="s">
        <v>2379</v>
      </c>
      <c r="E187" s="2" t="s">
        <v>2533</v>
      </c>
      <c r="F187" s="2" t="s">
        <v>627</v>
      </c>
      <c r="G187" s="2" t="s">
        <v>2509</v>
      </c>
      <c r="H187" s="2" t="s">
        <v>629</v>
      </c>
      <c r="I187" s="2" t="s">
        <v>2534</v>
      </c>
      <c r="J187" s="2" t="s">
        <v>2524</v>
      </c>
      <c r="K187" s="2" t="s">
        <v>2535</v>
      </c>
      <c r="L187" s="2" t="s">
        <v>2536</v>
      </c>
      <c r="M187" s="2" t="s">
        <v>2537</v>
      </c>
      <c r="N187" s="2" t="s">
        <v>144</v>
      </c>
      <c r="O187" s="2" t="s">
        <v>57</v>
      </c>
      <c r="P187" s="2" t="s">
        <v>57</v>
      </c>
      <c r="Q187" s="2"/>
      <c r="R187" s="2"/>
      <c r="S187" s="2" t="s">
        <v>2538</v>
      </c>
      <c r="T187" s="2" t="s">
        <v>2539</v>
      </c>
      <c r="U187" s="2" t="s">
        <v>2540</v>
      </c>
    </row>
    <row r="188" customFormat="false" ht="46.25" hidden="false" customHeight="false" outlineLevel="0" collapsed="false">
      <c r="A188" s="2" t="s">
        <v>2350</v>
      </c>
      <c r="B188" s="2" t="s">
        <v>2379</v>
      </c>
      <c r="C188" s="2" t="s">
        <v>2379</v>
      </c>
      <c r="D188" s="2" t="s">
        <v>2379</v>
      </c>
      <c r="E188" s="2" t="s">
        <v>2541</v>
      </c>
      <c r="F188" s="2" t="s">
        <v>627</v>
      </c>
      <c r="G188" s="2" t="s">
        <v>2509</v>
      </c>
      <c r="H188" s="2" t="s">
        <v>629</v>
      </c>
      <c r="I188" s="2" t="s">
        <v>2542</v>
      </c>
      <c r="J188" s="2" t="s">
        <v>2384</v>
      </c>
      <c r="K188" s="2" t="s">
        <v>2543</v>
      </c>
      <c r="L188" s="2" t="s">
        <v>2544</v>
      </c>
      <c r="M188" s="2" t="s">
        <v>2545</v>
      </c>
      <c r="N188" s="2" t="s">
        <v>144</v>
      </c>
      <c r="O188" s="2" t="s">
        <v>58</v>
      </c>
      <c r="P188" s="2" t="s">
        <v>58</v>
      </c>
      <c r="Q188" s="2"/>
      <c r="R188" s="2"/>
      <c r="S188" s="2" t="s">
        <v>2546</v>
      </c>
      <c r="T188" s="2" t="s">
        <v>2547</v>
      </c>
      <c r="U188" s="2" t="s">
        <v>2548</v>
      </c>
    </row>
    <row r="189" customFormat="false" ht="46.25" hidden="false" customHeight="false" outlineLevel="0" collapsed="false">
      <c r="A189" s="2" t="s">
        <v>2350</v>
      </c>
      <c r="B189" s="2" t="s">
        <v>2351</v>
      </c>
      <c r="C189" s="2" t="s">
        <v>2549</v>
      </c>
      <c r="D189" s="2" t="s">
        <v>2353</v>
      </c>
      <c r="E189" s="2" t="s">
        <v>2550</v>
      </c>
      <c r="F189" s="2" t="s">
        <v>81</v>
      </c>
      <c r="G189" s="2" t="s">
        <v>2551</v>
      </c>
      <c r="H189" s="2" t="s">
        <v>2552</v>
      </c>
      <c r="I189" s="2" t="s">
        <v>1248</v>
      </c>
      <c r="J189" s="2" t="s">
        <v>2553</v>
      </c>
      <c r="K189" s="2" t="s">
        <v>2554</v>
      </c>
      <c r="L189" s="2" t="s">
        <v>2555</v>
      </c>
      <c r="M189" s="2" t="s">
        <v>2556</v>
      </c>
      <c r="N189" s="2" t="s">
        <v>144</v>
      </c>
      <c r="O189" s="2" t="s">
        <v>2557</v>
      </c>
      <c r="P189" s="2" t="s">
        <v>2558</v>
      </c>
      <c r="Q189" s="2"/>
      <c r="R189" s="2"/>
      <c r="S189" s="2" t="s">
        <v>2559</v>
      </c>
      <c r="T189" s="2" t="s">
        <v>2560</v>
      </c>
      <c r="U189" s="2" t="s">
        <v>2561</v>
      </c>
    </row>
    <row r="190" customFormat="false" ht="46.25" hidden="false" customHeight="false" outlineLevel="0" collapsed="false">
      <c r="A190" s="2" t="s">
        <v>2350</v>
      </c>
      <c r="B190" s="2" t="s">
        <v>2447</v>
      </c>
      <c r="C190" s="2" t="s">
        <v>2562</v>
      </c>
      <c r="D190" s="2" t="s">
        <v>2563</v>
      </c>
      <c r="E190" s="2" t="s">
        <v>2564</v>
      </c>
      <c r="F190" s="2" t="s">
        <v>280</v>
      </c>
      <c r="G190" s="2" t="s">
        <v>2565</v>
      </c>
      <c r="H190" s="2" t="s">
        <v>2566</v>
      </c>
      <c r="I190" s="2" t="s">
        <v>2567</v>
      </c>
      <c r="J190" s="2" t="s">
        <v>57</v>
      </c>
      <c r="K190" s="2" t="s">
        <v>2568</v>
      </c>
      <c r="L190" s="2" t="s">
        <v>2569</v>
      </c>
      <c r="M190" s="2" t="s">
        <v>2570</v>
      </c>
      <c r="N190" s="2" t="s">
        <v>144</v>
      </c>
      <c r="O190" s="2" t="s">
        <v>2571</v>
      </c>
      <c r="P190" s="2" t="s">
        <v>2572</v>
      </c>
      <c r="Q190" s="2"/>
      <c r="R190" s="2"/>
      <c r="S190" s="2" t="s">
        <v>2573</v>
      </c>
      <c r="T190" s="2" t="s">
        <v>2574</v>
      </c>
      <c r="U190" s="2" t="s">
        <v>2575</v>
      </c>
    </row>
    <row r="191" customFormat="false" ht="46.25" hidden="false" customHeight="false" outlineLevel="0" collapsed="false">
      <c r="A191" s="2" t="s">
        <v>2350</v>
      </c>
      <c r="B191" s="2" t="s">
        <v>2576</v>
      </c>
      <c r="C191" s="2" t="s">
        <v>2577</v>
      </c>
      <c r="D191" s="2" t="s">
        <v>2578</v>
      </c>
      <c r="E191" s="2" t="s">
        <v>2579</v>
      </c>
      <c r="F191" s="2" t="s">
        <v>280</v>
      </c>
      <c r="G191" s="2" t="s">
        <v>2580</v>
      </c>
      <c r="H191" s="2" t="s">
        <v>600</v>
      </c>
      <c r="I191" s="2" t="s">
        <v>2581</v>
      </c>
      <c r="J191" s="2" t="s">
        <v>2582</v>
      </c>
      <c r="K191" s="2" t="s">
        <v>2583</v>
      </c>
      <c r="L191" s="2" t="s">
        <v>2584</v>
      </c>
      <c r="M191" s="2" t="s">
        <v>2585</v>
      </c>
      <c r="N191" s="2" t="s">
        <v>144</v>
      </c>
      <c r="O191" s="2" t="s">
        <v>58</v>
      </c>
      <c r="P191" s="2" t="s">
        <v>2586</v>
      </c>
      <c r="Q191" s="2"/>
      <c r="R191" s="2"/>
      <c r="S191" s="2" t="s">
        <v>2587</v>
      </c>
      <c r="T191" s="2" t="s">
        <v>2237</v>
      </c>
      <c r="U191" s="2" t="s">
        <v>2238</v>
      </c>
    </row>
    <row r="192" customFormat="false" ht="57.45" hidden="false" customHeight="false" outlineLevel="0" collapsed="false">
      <c r="A192" s="2" t="s">
        <v>2350</v>
      </c>
      <c r="B192" s="2" t="s">
        <v>2379</v>
      </c>
      <c r="C192" s="2" t="s">
        <v>2588</v>
      </c>
      <c r="D192" s="2" t="s">
        <v>2589</v>
      </c>
      <c r="E192" s="2" t="s">
        <v>2590</v>
      </c>
      <c r="F192" s="2" t="s">
        <v>34</v>
      </c>
      <c r="G192" s="2" t="s">
        <v>2591</v>
      </c>
      <c r="H192" s="2" t="s">
        <v>2592</v>
      </c>
      <c r="I192" s="2" t="s">
        <v>2593</v>
      </c>
      <c r="J192" s="2" t="s">
        <v>197</v>
      </c>
      <c r="K192" s="2" t="s">
        <v>2594</v>
      </c>
      <c r="L192" s="2" t="s">
        <v>2595</v>
      </c>
      <c r="M192" s="2" t="s">
        <v>2596</v>
      </c>
      <c r="N192" s="2" t="s">
        <v>144</v>
      </c>
      <c r="O192" s="2" t="s">
        <v>58</v>
      </c>
      <c r="P192" s="2" t="s">
        <v>58</v>
      </c>
      <c r="Q192" s="2"/>
      <c r="R192" s="2"/>
      <c r="S192" s="2" t="s">
        <v>2597</v>
      </c>
      <c r="T192" s="2" t="s">
        <v>2598</v>
      </c>
      <c r="U192" s="2" t="s">
        <v>2599</v>
      </c>
    </row>
    <row r="193" customFormat="false" ht="79.85" hidden="false" customHeight="false" outlineLevel="0" collapsed="false">
      <c r="A193" s="2" t="s">
        <v>2350</v>
      </c>
      <c r="B193" s="2" t="s">
        <v>2600</v>
      </c>
      <c r="C193" s="2" t="s">
        <v>2601</v>
      </c>
      <c r="D193" s="2" t="s">
        <v>2602</v>
      </c>
      <c r="E193" s="2" t="s">
        <v>2603</v>
      </c>
      <c r="F193" s="2" t="s">
        <v>34</v>
      </c>
      <c r="G193" s="2" t="s">
        <v>2604</v>
      </c>
      <c r="H193" s="2" t="s">
        <v>2605</v>
      </c>
      <c r="I193" s="2" t="s">
        <v>2606</v>
      </c>
      <c r="J193" s="2" t="s">
        <v>1470</v>
      </c>
      <c r="K193" s="2" t="s">
        <v>2607</v>
      </c>
      <c r="L193" s="2" t="s">
        <v>2608</v>
      </c>
      <c r="M193" s="2" t="s">
        <v>2609</v>
      </c>
      <c r="N193" s="2" t="s">
        <v>144</v>
      </c>
      <c r="O193" s="2" t="s">
        <v>2610</v>
      </c>
      <c r="P193" s="2" t="s">
        <v>58</v>
      </c>
      <c r="Q193" s="2"/>
      <c r="R193" s="2"/>
      <c r="S193" s="2" t="s">
        <v>2611</v>
      </c>
      <c r="T193" s="2" t="s">
        <v>2612</v>
      </c>
      <c r="U193" s="2" t="s">
        <v>2613</v>
      </c>
    </row>
    <row r="194" customFormat="false" ht="68.65" hidden="false" customHeight="false" outlineLevel="0" collapsed="false">
      <c r="A194" s="2" t="s">
        <v>2350</v>
      </c>
      <c r="B194" s="2" t="s">
        <v>2600</v>
      </c>
      <c r="C194" s="2" t="s">
        <v>2614</v>
      </c>
      <c r="D194" s="2" t="s">
        <v>2600</v>
      </c>
      <c r="E194" s="2" t="s">
        <v>2615</v>
      </c>
      <c r="F194" s="2" t="s">
        <v>34</v>
      </c>
      <c r="G194" s="2" t="s">
        <v>2616</v>
      </c>
      <c r="H194" s="2" t="s">
        <v>2617</v>
      </c>
      <c r="I194" s="2" t="s">
        <v>2618</v>
      </c>
      <c r="J194" s="2" t="s">
        <v>2619</v>
      </c>
      <c r="K194" s="2" t="s">
        <v>2620</v>
      </c>
      <c r="L194" s="2" t="s">
        <v>2621</v>
      </c>
      <c r="M194" s="2" t="s">
        <v>2622</v>
      </c>
      <c r="N194" s="2" t="s">
        <v>42</v>
      </c>
      <c r="O194" s="2" t="s">
        <v>2623</v>
      </c>
      <c r="P194" s="2" t="s">
        <v>2624</v>
      </c>
      <c r="Q194" s="2"/>
      <c r="R194" s="2"/>
      <c r="S194" s="2" t="s">
        <v>2625</v>
      </c>
      <c r="T194" s="2" t="s">
        <v>2626</v>
      </c>
      <c r="U194" s="2" t="s">
        <v>2627</v>
      </c>
    </row>
    <row r="195" customFormat="false" ht="57.45" hidden="false" customHeight="false" outlineLevel="0" collapsed="false">
      <c r="A195" s="2" t="s">
        <v>2350</v>
      </c>
      <c r="B195" s="2" t="s">
        <v>2600</v>
      </c>
      <c r="C195" s="2" t="s">
        <v>2628</v>
      </c>
      <c r="D195" s="2" t="s">
        <v>2600</v>
      </c>
      <c r="E195" s="2" t="s">
        <v>2629</v>
      </c>
      <c r="F195" s="2" t="s">
        <v>34</v>
      </c>
      <c r="G195" s="2" t="s">
        <v>1768</v>
      </c>
      <c r="H195" s="2" t="s">
        <v>2630</v>
      </c>
      <c r="I195" s="2" t="s">
        <v>2631</v>
      </c>
      <c r="J195" s="2" t="s">
        <v>1936</v>
      </c>
      <c r="K195" s="2" t="s">
        <v>2632</v>
      </c>
      <c r="L195" s="2" t="s">
        <v>2633</v>
      </c>
      <c r="M195" s="2" t="s">
        <v>2634</v>
      </c>
      <c r="N195" s="2" t="s">
        <v>56</v>
      </c>
      <c r="O195" s="2" t="s">
        <v>58</v>
      </c>
      <c r="P195" s="2" t="s">
        <v>58</v>
      </c>
      <c r="Q195" s="2"/>
      <c r="R195" s="2"/>
      <c r="S195" s="2" t="s">
        <v>2635</v>
      </c>
      <c r="T195" s="2" t="s">
        <v>2636</v>
      </c>
      <c r="U195" s="2" t="s">
        <v>2637</v>
      </c>
    </row>
    <row r="196" customFormat="false" ht="57.45" hidden="false" customHeight="false" outlineLevel="0" collapsed="false">
      <c r="A196" s="2" t="s">
        <v>2350</v>
      </c>
      <c r="B196" s="2" t="s">
        <v>2600</v>
      </c>
      <c r="C196" s="2" t="s">
        <v>2638</v>
      </c>
      <c r="D196" s="2" t="s">
        <v>2639</v>
      </c>
      <c r="E196" s="2" t="s">
        <v>2640</v>
      </c>
      <c r="F196" s="2" t="s">
        <v>34</v>
      </c>
      <c r="G196" s="2" t="s">
        <v>2641</v>
      </c>
      <c r="H196" s="2" t="s">
        <v>2642</v>
      </c>
      <c r="I196" s="2" t="s">
        <v>2643</v>
      </c>
      <c r="J196" s="2" t="s">
        <v>877</v>
      </c>
      <c r="K196" s="2" t="s">
        <v>2644</v>
      </c>
      <c r="L196" s="2" t="s">
        <v>2645</v>
      </c>
      <c r="M196" s="2" t="s">
        <v>2646</v>
      </c>
      <c r="N196" s="2" t="s">
        <v>144</v>
      </c>
      <c r="O196" s="2" t="s">
        <v>881</v>
      </c>
      <c r="P196" s="2" t="s">
        <v>2647</v>
      </c>
      <c r="Q196" s="2"/>
      <c r="R196" s="2"/>
      <c r="S196" s="2" t="s">
        <v>2648</v>
      </c>
      <c r="T196" s="2" t="s">
        <v>2649</v>
      </c>
      <c r="U196" s="2" t="s">
        <v>2650</v>
      </c>
    </row>
    <row r="197" customFormat="false" ht="57.45" hidden="false" customHeight="false" outlineLevel="0" collapsed="false">
      <c r="A197" s="2" t="s">
        <v>2350</v>
      </c>
      <c r="B197" s="2" t="s">
        <v>2600</v>
      </c>
      <c r="C197" s="2" t="s">
        <v>2651</v>
      </c>
      <c r="D197" s="2" t="s">
        <v>2600</v>
      </c>
      <c r="E197" s="2" t="s">
        <v>2652</v>
      </c>
      <c r="F197" s="2" t="s">
        <v>139</v>
      </c>
      <c r="G197" s="2" t="s">
        <v>2653</v>
      </c>
      <c r="H197" s="2" t="s">
        <v>2654</v>
      </c>
      <c r="I197" s="2" t="s">
        <v>2655</v>
      </c>
      <c r="J197" s="2" t="s">
        <v>2656</v>
      </c>
      <c r="K197" s="2" t="s">
        <v>2657</v>
      </c>
      <c r="L197" s="2" t="s">
        <v>2658</v>
      </c>
      <c r="M197" s="2" t="s">
        <v>2659</v>
      </c>
      <c r="N197" s="2" t="s">
        <v>42</v>
      </c>
      <c r="O197" s="2" t="s">
        <v>2660</v>
      </c>
      <c r="P197" s="2" t="s">
        <v>58</v>
      </c>
      <c r="Q197" s="2"/>
      <c r="R197" s="2"/>
      <c r="S197" s="2" t="s">
        <v>2661</v>
      </c>
      <c r="T197" s="2" t="s">
        <v>2662</v>
      </c>
      <c r="U197" s="2" t="s">
        <v>2663</v>
      </c>
    </row>
    <row r="198" customFormat="false" ht="46.25" hidden="false" customHeight="false" outlineLevel="0" collapsed="false">
      <c r="A198" s="2" t="s">
        <v>2350</v>
      </c>
      <c r="B198" s="2" t="s">
        <v>2664</v>
      </c>
      <c r="C198" s="2" t="s">
        <v>2665</v>
      </c>
      <c r="D198" s="2" t="s">
        <v>2664</v>
      </c>
      <c r="E198" s="2" t="s">
        <v>2666</v>
      </c>
      <c r="F198" s="2" t="s">
        <v>34</v>
      </c>
      <c r="G198" s="2" t="s">
        <v>2667</v>
      </c>
      <c r="H198" s="2" t="s">
        <v>1600</v>
      </c>
      <c r="I198" s="2" t="s">
        <v>2668</v>
      </c>
      <c r="J198" s="2" t="s">
        <v>2669</v>
      </c>
      <c r="K198" s="2" t="s">
        <v>2670</v>
      </c>
      <c r="L198" s="2" t="s">
        <v>2671</v>
      </c>
      <c r="M198" s="2" t="s">
        <v>2672</v>
      </c>
      <c r="N198" s="2" t="s">
        <v>144</v>
      </c>
      <c r="O198" s="2" t="s">
        <v>1577</v>
      </c>
      <c r="P198" s="2" t="s">
        <v>58</v>
      </c>
      <c r="Q198" s="2"/>
      <c r="R198" s="2"/>
      <c r="S198" s="2" t="s">
        <v>2673</v>
      </c>
      <c r="T198" s="2" t="s">
        <v>2674</v>
      </c>
      <c r="U198" s="2" t="s">
        <v>2675</v>
      </c>
    </row>
    <row r="199" customFormat="false" ht="46.25" hidden="false" customHeight="false" outlineLevel="0" collapsed="false">
      <c r="A199" s="2" t="s">
        <v>2350</v>
      </c>
      <c r="B199" s="2" t="s">
        <v>2664</v>
      </c>
      <c r="C199" s="2" t="s">
        <v>2676</v>
      </c>
      <c r="D199" s="2" t="s">
        <v>2664</v>
      </c>
      <c r="E199" s="2" t="s">
        <v>2677</v>
      </c>
      <c r="F199" s="2" t="s">
        <v>34</v>
      </c>
      <c r="G199" s="2" t="s">
        <v>2678</v>
      </c>
      <c r="H199" s="2" t="s">
        <v>2679</v>
      </c>
      <c r="I199" s="2" t="s">
        <v>2680</v>
      </c>
      <c r="J199" s="2" t="s">
        <v>38</v>
      </c>
      <c r="K199" s="2" t="s">
        <v>2681</v>
      </c>
      <c r="L199" s="2" t="s">
        <v>2682</v>
      </c>
      <c r="M199" s="2" t="s">
        <v>2683</v>
      </c>
      <c r="N199" s="2" t="s">
        <v>56</v>
      </c>
      <c r="O199" s="2" t="s">
        <v>2684</v>
      </c>
      <c r="P199" s="2" t="s">
        <v>2685</v>
      </c>
      <c r="Q199" s="2"/>
      <c r="R199" s="2"/>
      <c r="S199" s="2" t="s">
        <v>2686</v>
      </c>
      <c r="T199" s="2" t="s">
        <v>2687</v>
      </c>
      <c r="U199" s="2" t="s">
        <v>2688</v>
      </c>
    </row>
    <row r="200" customFormat="false" ht="57.45" hidden="false" customHeight="false" outlineLevel="0" collapsed="false">
      <c r="A200" s="2" t="s">
        <v>2350</v>
      </c>
      <c r="B200" s="2" t="s">
        <v>2689</v>
      </c>
      <c r="C200" s="2" t="s">
        <v>2690</v>
      </c>
      <c r="D200" s="2" t="s">
        <v>2691</v>
      </c>
      <c r="E200" s="2" t="s">
        <v>2692</v>
      </c>
      <c r="F200" s="2" t="s">
        <v>34</v>
      </c>
      <c r="G200" s="2" t="s">
        <v>1768</v>
      </c>
      <c r="H200" s="2" t="s">
        <v>2693</v>
      </c>
      <c r="I200" s="2" t="s">
        <v>183</v>
      </c>
      <c r="J200" s="2" t="s">
        <v>2694</v>
      </c>
      <c r="K200" s="2" t="s">
        <v>2695</v>
      </c>
      <c r="L200" s="2" t="s">
        <v>2696</v>
      </c>
      <c r="M200" s="2" t="s">
        <v>2697</v>
      </c>
      <c r="N200" s="2" t="s">
        <v>56</v>
      </c>
      <c r="O200" s="2" t="s">
        <v>58</v>
      </c>
      <c r="P200" s="2" t="s">
        <v>58</v>
      </c>
      <c r="Q200" s="2"/>
      <c r="R200" s="2"/>
      <c r="S200" s="2" t="s">
        <v>2698</v>
      </c>
      <c r="T200" s="2" t="s">
        <v>2699</v>
      </c>
      <c r="U200" s="2" t="s">
        <v>2700</v>
      </c>
    </row>
    <row r="201" customFormat="false" ht="46.25" hidden="false" customHeight="false" outlineLevel="0" collapsed="false">
      <c r="A201" s="2" t="s">
        <v>2350</v>
      </c>
      <c r="B201" s="2" t="s">
        <v>2689</v>
      </c>
      <c r="C201" s="2" t="s">
        <v>2701</v>
      </c>
      <c r="D201" s="2" t="s">
        <v>2691</v>
      </c>
      <c r="E201" s="2" t="s">
        <v>2702</v>
      </c>
      <c r="F201" s="2" t="s">
        <v>34</v>
      </c>
      <c r="G201" s="2" t="s">
        <v>2703</v>
      </c>
      <c r="H201" s="2" t="s">
        <v>2704</v>
      </c>
      <c r="I201" s="2" t="s">
        <v>2705</v>
      </c>
      <c r="J201" s="2" t="s">
        <v>1080</v>
      </c>
      <c r="K201" s="2" t="s">
        <v>2706</v>
      </c>
      <c r="L201" s="2" t="s">
        <v>2707</v>
      </c>
      <c r="M201" s="2" t="s">
        <v>2708</v>
      </c>
      <c r="N201" s="2" t="s">
        <v>56</v>
      </c>
      <c r="O201" s="2" t="s">
        <v>2709</v>
      </c>
      <c r="P201" s="2" t="s">
        <v>58</v>
      </c>
      <c r="Q201" s="2"/>
      <c r="R201" s="2"/>
      <c r="S201" s="2" t="s">
        <v>2710</v>
      </c>
      <c r="T201" s="2" t="s">
        <v>2711</v>
      </c>
      <c r="U201" s="2" t="s">
        <v>2712</v>
      </c>
    </row>
    <row r="202" customFormat="false" ht="57.45" hidden="false" customHeight="false" outlineLevel="0" collapsed="false">
      <c r="A202" s="2" t="s">
        <v>2350</v>
      </c>
      <c r="B202" s="2" t="s">
        <v>2713</v>
      </c>
      <c r="C202" s="2" t="s">
        <v>2714</v>
      </c>
      <c r="D202" s="2" t="s">
        <v>2691</v>
      </c>
      <c r="E202" s="2" t="s">
        <v>2715</v>
      </c>
      <c r="F202" s="2" t="s">
        <v>34</v>
      </c>
      <c r="G202" s="2" t="s">
        <v>2716</v>
      </c>
      <c r="H202" s="2" t="s">
        <v>2717</v>
      </c>
      <c r="I202" s="2" t="s">
        <v>2718</v>
      </c>
      <c r="J202" s="2" t="s">
        <v>2719</v>
      </c>
      <c r="K202" s="2" t="s">
        <v>2720</v>
      </c>
      <c r="L202" s="2" t="s">
        <v>2721</v>
      </c>
      <c r="M202" s="2" t="s">
        <v>2722</v>
      </c>
      <c r="N202" s="2" t="s">
        <v>42</v>
      </c>
      <c r="O202" s="2" t="s">
        <v>2723</v>
      </c>
      <c r="P202" s="2" t="s">
        <v>2724</v>
      </c>
      <c r="Q202" s="2"/>
      <c r="R202" s="2"/>
      <c r="S202" s="2" t="s">
        <v>2725</v>
      </c>
      <c r="T202" s="2" t="s">
        <v>2726</v>
      </c>
      <c r="U202" s="2" t="s">
        <v>2727</v>
      </c>
    </row>
    <row r="203" customFormat="false" ht="46.25" hidden="false" customHeight="false" outlineLevel="0" collapsed="false">
      <c r="A203" s="2" t="s">
        <v>2350</v>
      </c>
      <c r="B203" s="2" t="s">
        <v>2728</v>
      </c>
      <c r="C203" s="2" t="s">
        <v>2729</v>
      </c>
      <c r="D203" s="2" t="s">
        <v>2730</v>
      </c>
      <c r="E203" s="2" t="s">
        <v>2731</v>
      </c>
      <c r="F203" s="2" t="s">
        <v>34</v>
      </c>
      <c r="G203" s="2" t="s">
        <v>1768</v>
      </c>
      <c r="H203" s="2" t="s">
        <v>2732</v>
      </c>
      <c r="I203" s="2" t="s">
        <v>2733</v>
      </c>
      <c r="J203" s="2" t="s">
        <v>225</v>
      </c>
      <c r="K203" s="2" t="s">
        <v>2734</v>
      </c>
      <c r="L203" s="2" t="s">
        <v>2735</v>
      </c>
      <c r="M203" s="2" t="s">
        <v>2736</v>
      </c>
      <c r="N203" s="2" t="s">
        <v>56</v>
      </c>
      <c r="O203" s="2" t="s">
        <v>58</v>
      </c>
      <c r="P203" s="2" t="s">
        <v>58</v>
      </c>
      <c r="Q203" s="2"/>
      <c r="R203" s="2"/>
      <c r="S203" s="2" t="s">
        <v>2737</v>
      </c>
      <c r="T203" s="2" t="s">
        <v>2738</v>
      </c>
      <c r="U203" s="2" t="s">
        <v>2739</v>
      </c>
    </row>
    <row r="204" customFormat="false" ht="46.25" hidden="false" customHeight="false" outlineLevel="0" collapsed="false">
      <c r="A204" s="2" t="s">
        <v>2350</v>
      </c>
      <c r="B204" s="2" t="s">
        <v>2740</v>
      </c>
      <c r="C204" s="2" t="s">
        <v>2741</v>
      </c>
      <c r="D204" s="2" t="s">
        <v>2740</v>
      </c>
      <c r="E204" s="2" t="s">
        <v>2742</v>
      </c>
      <c r="F204" s="2" t="s">
        <v>81</v>
      </c>
      <c r="G204" s="2" t="s">
        <v>2743</v>
      </c>
      <c r="H204" s="2" t="s">
        <v>2744</v>
      </c>
      <c r="I204" s="2" t="s">
        <v>2745</v>
      </c>
      <c r="J204" s="2" t="s">
        <v>2746</v>
      </c>
      <c r="K204" s="2" t="s">
        <v>2747</v>
      </c>
      <c r="L204" s="2" t="s">
        <v>2748</v>
      </c>
      <c r="M204" s="2" t="s">
        <v>2749</v>
      </c>
      <c r="N204" s="2" t="s">
        <v>144</v>
      </c>
      <c r="O204" s="2" t="s">
        <v>89</v>
      </c>
      <c r="P204" s="2" t="s">
        <v>58</v>
      </c>
      <c r="Q204" s="2"/>
      <c r="R204" s="2"/>
      <c r="S204" s="2" t="s">
        <v>2750</v>
      </c>
      <c r="T204" s="2" t="s">
        <v>2751</v>
      </c>
      <c r="U204" s="2" t="s">
        <v>2752</v>
      </c>
    </row>
    <row r="205" customFormat="false" ht="46.25" hidden="false" customHeight="false" outlineLevel="0" collapsed="false">
      <c r="A205" s="2" t="s">
        <v>2350</v>
      </c>
      <c r="B205" s="2" t="s">
        <v>2740</v>
      </c>
      <c r="C205" s="2" t="s">
        <v>2753</v>
      </c>
      <c r="D205" s="2" t="s">
        <v>2740</v>
      </c>
      <c r="E205" s="2" t="s">
        <v>2754</v>
      </c>
      <c r="F205" s="2" t="s">
        <v>66</v>
      </c>
      <c r="G205" s="2" t="s">
        <v>2755</v>
      </c>
      <c r="H205" s="2" t="s">
        <v>57</v>
      </c>
      <c r="I205" s="2" t="s">
        <v>372</v>
      </c>
      <c r="J205" s="2" t="s">
        <v>1385</v>
      </c>
      <c r="K205" s="2" t="s">
        <v>2756</v>
      </c>
      <c r="L205" s="2" t="s">
        <v>2757</v>
      </c>
      <c r="M205" s="2" t="s">
        <v>2758</v>
      </c>
      <c r="N205" s="2" t="s">
        <v>144</v>
      </c>
      <c r="O205" s="2" t="s">
        <v>58</v>
      </c>
      <c r="P205" s="2" t="s">
        <v>58</v>
      </c>
      <c r="Q205" s="2"/>
      <c r="R205" s="2"/>
      <c r="S205" s="2" t="s">
        <v>2759</v>
      </c>
      <c r="T205" s="2" t="s">
        <v>2760</v>
      </c>
      <c r="U205" s="2" t="s">
        <v>2761</v>
      </c>
    </row>
    <row r="206" customFormat="false" ht="46.25" hidden="false" customHeight="false" outlineLevel="0" collapsed="false">
      <c r="A206" s="2" t="s">
        <v>2350</v>
      </c>
      <c r="B206" s="2" t="s">
        <v>2762</v>
      </c>
      <c r="C206" s="2" t="s">
        <v>2763</v>
      </c>
      <c r="D206" s="2" t="s">
        <v>2764</v>
      </c>
      <c r="E206" s="2" t="s">
        <v>2765</v>
      </c>
      <c r="F206" s="2" t="s">
        <v>66</v>
      </c>
      <c r="G206" s="2" t="s">
        <v>2766</v>
      </c>
      <c r="H206" s="2" t="s">
        <v>57</v>
      </c>
      <c r="I206" s="2" t="s">
        <v>2767</v>
      </c>
      <c r="J206" s="2" t="s">
        <v>2768</v>
      </c>
      <c r="K206" s="2" t="s">
        <v>2769</v>
      </c>
      <c r="L206" s="2" t="s">
        <v>2770</v>
      </c>
      <c r="M206" s="2" t="s">
        <v>2771</v>
      </c>
      <c r="N206" s="2" t="s">
        <v>144</v>
      </c>
      <c r="O206" s="2" t="s">
        <v>58</v>
      </c>
      <c r="P206" s="2" t="s">
        <v>58</v>
      </c>
      <c r="Q206" s="2"/>
      <c r="R206" s="2"/>
      <c r="S206" s="2" t="s">
        <v>2772</v>
      </c>
      <c r="T206" s="2" t="s">
        <v>2773</v>
      </c>
      <c r="U206" s="2" t="s">
        <v>2774</v>
      </c>
    </row>
    <row r="207" customFormat="false" ht="46.25" hidden="false" customHeight="false" outlineLevel="0" collapsed="false">
      <c r="A207" s="2" t="s">
        <v>2350</v>
      </c>
      <c r="B207" s="2" t="s">
        <v>2379</v>
      </c>
      <c r="C207" s="2" t="s">
        <v>2775</v>
      </c>
      <c r="D207" s="2" t="s">
        <v>2379</v>
      </c>
      <c r="E207" s="2" t="s">
        <v>2776</v>
      </c>
      <c r="F207" s="2" t="s">
        <v>66</v>
      </c>
      <c r="G207" s="2" t="s">
        <v>2777</v>
      </c>
      <c r="H207" s="2" t="s">
        <v>57</v>
      </c>
      <c r="I207" s="2" t="s">
        <v>2778</v>
      </c>
      <c r="J207" s="2" t="s">
        <v>1601</v>
      </c>
      <c r="K207" s="2" t="s">
        <v>2779</v>
      </c>
      <c r="L207" s="2" t="s">
        <v>2780</v>
      </c>
      <c r="M207" s="2" t="s">
        <v>2781</v>
      </c>
      <c r="N207" s="2" t="s">
        <v>42</v>
      </c>
      <c r="O207" s="2" t="s">
        <v>58</v>
      </c>
      <c r="P207" s="2" t="s">
        <v>58</v>
      </c>
      <c r="Q207" s="2"/>
      <c r="R207" s="2"/>
      <c r="S207" s="2" t="s">
        <v>2782</v>
      </c>
      <c r="T207" s="2" t="s">
        <v>2783</v>
      </c>
      <c r="U207" s="2" t="s">
        <v>2784</v>
      </c>
    </row>
    <row r="208" customFormat="false" ht="46.25" hidden="false" customHeight="false" outlineLevel="0" collapsed="false">
      <c r="A208" s="2" t="s">
        <v>2350</v>
      </c>
      <c r="B208" s="2" t="s">
        <v>2379</v>
      </c>
      <c r="C208" s="2" t="s">
        <v>2785</v>
      </c>
      <c r="D208" s="2" t="s">
        <v>2379</v>
      </c>
      <c r="E208" s="2" t="s">
        <v>2786</v>
      </c>
      <c r="F208" s="2" t="s">
        <v>66</v>
      </c>
      <c r="G208" s="2" t="s">
        <v>2787</v>
      </c>
      <c r="H208" s="2" t="s">
        <v>57</v>
      </c>
      <c r="I208" s="2" t="s">
        <v>2788</v>
      </c>
      <c r="J208" s="2" t="s">
        <v>2789</v>
      </c>
      <c r="K208" s="2" t="s">
        <v>2790</v>
      </c>
      <c r="L208" s="2" t="s">
        <v>2791</v>
      </c>
      <c r="M208" s="2" t="s">
        <v>2792</v>
      </c>
      <c r="N208" s="2" t="s">
        <v>144</v>
      </c>
      <c r="O208" s="2" t="s">
        <v>58</v>
      </c>
      <c r="P208" s="2" t="s">
        <v>58</v>
      </c>
      <c r="Q208" s="2"/>
      <c r="R208" s="2"/>
      <c r="S208" s="2" t="s">
        <v>2793</v>
      </c>
      <c r="T208" s="2" t="s">
        <v>2794</v>
      </c>
      <c r="U208" s="2" t="s">
        <v>2795</v>
      </c>
    </row>
    <row r="209" customFormat="false" ht="46.25" hidden="false" customHeight="false" outlineLevel="0" collapsed="false">
      <c r="A209" s="2" t="s">
        <v>2350</v>
      </c>
      <c r="B209" s="2" t="s">
        <v>2505</v>
      </c>
      <c r="C209" s="2" t="s">
        <v>2796</v>
      </c>
      <c r="D209" s="2" t="s">
        <v>2797</v>
      </c>
      <c r="E209" s="2" t="s">
        <v>2798</v>
      </c>
      <c r="F209" s="2" t="s">
        <v>66</v>
      </c>
      <c r="G209" s="2" t="s">
        <v>2799</v>
      </c>
      <c r="H209" s="2" t="s">
        <v>2800</v>
      </c>
      <c r="I209" s="2" t="s">
        <v>2801</v>
      </c>
      <c r="J209" s="2" t="s">
        <v>2802</v>
      </c>
      <c r="K209" s="2" t="s">
        <v>2803</v>
      </c>
      <c r="L209" s="2" t="s">
        <v>2804</v>
      </c>
      <c r="M209" s="2" t="s">
        <v>2805</v>
      </c>
      <c r="N209" s="2" t="s">
        <v>144</v>
      </c>
      <c r="O209" s="2" t="s">
        <v>57</v>
      </c>
      <c r="P209" s="2" t="s">
        <v>2806</v>
      </c>
      <c r="Q209" s="2"/>
      <c r="R209" s="2"/>
      <c r="S209" s="2" t="s">
        <v>2807</v>
      </c>
      <c r="T209" s="2" t="s">
        <v>2808</v>
      </c>
      <c r="U209" s="2" t="s">
        <v>2809</v>
      </c>
    </row>
    <row r="210" customFormat="false" ht="46.25" hidden="false" customHeight="false" outlineLevel="0" collapsed="false">
      <c r="A210" s="2" t="s">
        <v>2350</v>
      </c>
      <c r="B210" s="2" t="s">
        <v>2810</v>
      </c>
      <c r="C210" s="2" t="s">
        <v>2811</v>
      </c>
      <c r="D210" s="2" t="s">
        <v>2812</v>
      </c>
      <c r="E210" s="2" t="s">
        <v>2813</v>
      </c>
      <c r="F210" s="2" t="s">
        <v>66</v>
      </c>
      <c r="G210" s="2" t="s">
        <v>2814</v>
      </c>
      <c r="H210" s="2" t="s">
        <v>57</v>
      </c>
      <c r="I210" s="2" t="s">
        <v>2801</v>
      </c>
      <c r="J210" s="2" t="s">
        <v>2815</v>
      </c>
      <c r="K210" s="2" t="s">
        <v>2816</v>
      </c>
      <c r="L210" s="2" t="s">
        <v>2817</v>
      </c>
      <c r="M210" s="2" t="s">
        <v>2818</v>
      </c>
      <c r="N210" s="2" t="s">
        <v>144</v>
      </c>
      <c r="O210" s="2" t="s">
        <v>57</v>
      </c>
      <c r="P210" s="2" t="s">
        <v>58</v>
      </c>
      <c r="Q210" s="2"/>
      <c r="R210" s="2"/>
      <c r="S210" s="2" t="s">
        <v>2819</v>
      </c>
      <c r="T210" s="2" t="s">
        <v>2820</v>
      </c>
      <c r="U210" s="2" t="s">
        <v>2821</v>
      </c>
    </row>
    <row r="211" customFormat="false" ht="68.65" hidden="false" customHeight="false" outlineLevel="0" collapsed="false">
      <c r="A211" s="2" t="s">
        <v>2350</v>
      </c>
      <c r="B211" s="2" t="s">
        <v>2810</v>
      </c>
      <c r="C211" s="2" t="s">
        <v>2822</v>
      </c>
      <c r="D211" s="2" t="s">
        <v>2810</v>
      </c>
      <c r="E211" s="2" t="s">
        <v>2823</v>
      </c>
      <c r="F211" s="2" t="s">
        <v>34</v>
      </c>
      <c r="G211" s="2" t="s">
        <v>2824</v>
      </c>
      <c r="H211" s="2" t="s">
        <v>1412</v>
      </c>
      <c r="I211" s="2" t="s">
        <v>2825</v>
      </c>
      <c r="J211" s="2" t="s">
        <v>2824</v>
      </c>
      <c r="K211" s="2" t="s">
        <v>2826</v>
      </c>
      <c r="L211" s="2" t="s">
        <v>2827</v>
      </c>
      <c r="M211" s="2" t="s">
        <v>2828</v>
      </c>
      <c r="N211" s="2" t="s">
        <v>144</v>
      </c>
      <c r="O211" s="2" t="s">
        <v>58</v>
      </c>
      <c r="P211" s="2" t="s">
        <v>58</v>
      </c>
      <c r="Q211" s="2"/>
      <c r="R211" s="2"/>
      <c r="S211" s="2" t="s">
        <v>2829</v>
      </c>
      <c r="T211" s="2" t="s">
        <v>2830</v>
      </c>
      <c r="U211" s="2" t="s">
        <v>2831</v>
      </c>
    </row>
    <row r="212" customFormat="false" ht="35.05" hidden="false" customHeight="false" outlineLevel="0" collapsed="false">
      <c r="A212" s="2" t="s">
        <v>2350</v>
      </c>
      <c r="B212" s="2" t="s">
        <v>2832</v>
      </c>
      <c r="C212" s="2" t="s">
        <v>2832</v>
      </c>
      <c r="D212" s="2" t="s">
        <v>2833</v>
      </c>
      <c r="E212" s="2" t="s">
        <v>2834</v>
      </c>
      <c r="F212" s="2" t="s">
        <v>81</v>
      </c>
      <c r="G212" s="2" t="s">
        <v>2835</v>
      </c>
      <c r="H212" s="2" t="s">
        <v>2836</v>
      </c>
      <c r="I212" s="2" t="s">
        <v>2837</v>
      </c>
      <c r="J212" s="2" t="s">
        <v>2838</v>
      </c>
      <c r="K212" s="2" t="s">
        <v>2839</v>
      </c>
      <c r="L212" s="2" t="s">
        <v>2840</v>
      </c>
      <c r="M212" s="2" t="s">
        <v>2841</v>
      </c>
      <c r="N212" s="2" t="s">
        <v>144</v>
      </c>
      <c r="O212" s="2" t="s">
        <v>57</v>
      </c>
      <c r="P212" s="2" t="s">
        <v>58</v>
      </c>
      <c r="Q212" s="2"/>
      <c r="R212" s="2"/>
      <c r="S212" s="2" t="s">
        <v>2842</v>
      </c>
      <c r="T212" s="2" t="s">
        <v>2843</v>
      </c>
      <c r="U212" s="2" t="s">
        <v>2844</v>
      </c>
    </row>
    <row r="213" customFormat="false" ht="46.25" hidden="false" customHeight="false" outlineLevel="0" collapsed="false">
      <c r="A213" s="2" t="s">
        <v>2350</v>
      </c>
      <c r="B213" s="2" t="s">
        <v>2447</v>
      </c>
      <c r="C213" s="2" t="s">
        <v>2845</v>
      </c>
      <c r="D213" s="2" t="s">
        <v>2447</v>
      </c>
      <c r="E213" s="2" t="s">
        <v>2846</v>
      </c>
      <c r="F213" s="2" t="s">
        <v>193</v>
      </c>
      <c r="G213" s="2" t="s">
        <v>2847</v>
      </c>
      <c r="H213" s="2" t="s">
        <v>2848</v>
      </c>
      <c r="I213" s="2" t="s">
        <v>1248</v>
      </c>
      <c r="J213" s="2" t="s">
        <v>2849</v>
      </c>
      <c r="K213" s="2" t="s">
        <v>2850</v>
      </c>
      <c r="L213" s="2" t="s">
        <v>2851</v>
      </c>
      <c r="M213" s="2" t="s">
        <v>2852</v>
      </c>
      <c r="N213" s="2" t="s">
        <v>89</v>
      </c>
      <c r="O213" s="2" t="s">
        <v>57</v>
      </c>
      <c r="P213" s="2" t="s">
        <v>2853</v>
      </c>
      <c r="Q213" s="2"/>
      <c r="R213" s="2"/>
      <c r="S213" s="2" t="s">
        <v>2854</v>
      </c>
      <c r="T213" s="2" t="s">
        <v>2855</v>
      </c>
      <c r="U213" s="2" t="s">
        <v>2856</v>
      </c>
    </row>
    <row r="214" customFormat="false" ht="46.25" hidden="false" customHeight="false" outlineLevel="0" collapsed="false">
      <c r="A214" s="2" t="s">
        <v>2350</v>
      </c>
      <c r="B214" s="2" t="s">
        <v>2365</v>
      </c>
      <c r="C214" s="2" t="s">
        <v>2857</v>
      </c>
      <c r="D214" s="2" t="s">
        <v>2367</v>
      </c>
      <c r="E214" s="2" t="s">
        <v>2858</v>
      </c>
      <c r="F214" s="2" t="s">
        <v>193</v>
      </c>
      <c r="G214" s="2" t="s">
        <v>2847</v>
      </c>
      <c r="H214" s="2" t="s">
        <v>2859</v>
      </c>
      <c r="I214" s="2" t="s">
        <v>2860</v>
      </c>
      <c r="J214" s="2" t="s">
        <v>2838</v>
      </c>
      <c r="K214" s="2" t="s">
        <v>2861</v>
      </c>
      <c r="L214" s="2" t="s">
        <v>2862</v>
      </c>
      <c r="M214" s="2" t="s">
        <v>2863</v>
      </c>
      <c r="N214" s="2" t="s">
        <v>89</v>
      </c>
      <c r="O214" s="2" t="s">
        <v>57</v>
      </c>
      <c r="P214" s="2" t="s">
        <v>2864</v>
      </c>
      <c r="Q214" s="2"/>
      <c r="R214" s="2"/>
      <c r="S214" s="2" t="s">
        <v>2865</v>
      </c>
      <c r="T214" s="2" t="s">
        <v>2866</v>
      </c>
      <c r="U214" s="2" t="s">
        <v>2867</v>
      </c>
    </row>
    <row r="215" customFormat="false" ht="35.05" hidden="false" customHeight="false" outlineLevel="0" collapsed="false">
      <c r="A215" s="2" t="s">
        <v>2350</v>
      </c>
      <c r="B215" s="2" t="s">
        <v>2379</v>
      </c>
      <c r="C215" s="2" t="s">
        <v>2868</v>
      </c>
      <c r="D215" s="2" t="s">
        <v>2379</v>
      </c>
      <c r="E215" s="2" t="s">
        <v>2869</v>
      </c>
      <c r="F215" s="2" t="s">
        <v>193</v>
      </c>
      <c r="G215" s="2" t="s">
        <v>1234</v>
      </c>
      <c r="H215" s="2" t="s">
        <v>586</v>
      </c>
      <c r="I215" s="2" t="s">
        <v>183</v>
      </c>
      <c r="J215" s="2" t="s">
        <v>38</v>
      </c>
      <c r="K215" s="2" t="s">
        <v>2868</v>
      </c>
      <c r="L215" s="2" t="s">
        <v>2870</v>
      </c>
      <c r="M215" s="2" t="s">
        <v>2871</v>
      </c>
      <c r="N215" s="2" t="s">
        <v>89</v>
      </c>
      <c r="O215" s="2" t="s">
        <v>57</v>
      </c>
      <c r="P215" s="2" t="s">
        <v>2872</v>
      </c>
      <c r="Q215" s="2"/>
      <c r="R215" s="2"/>
      <c r="S215" s="2" t="s">
        <v>2873</v>
      </c>
      <c r="T215" s="2" t="s">
        <v>2874</v>
      </c>
      <c r="U215" s="2" t="s">
        <v>2875</v>
      </c>
    </row>
    <row r="216" customFormat="false" ht="57.45" hidden="false" customHeight="false" outlineLevel="0" collapsed="false">
      <c r="A216" s="2" t="s">
        <v>2350</v>
      </c>
      <c r="B216" s="2" t="s">
        <v>2379</v>
      </c>
      <c r="C216" s="2" t="s">
        <v>2876</v>
      </c>
      <c r="D216" s="2" t="s">
        <v>2379</v>
      </c>
      <c r="E216" s="2" t="s">
        <v>2877</v>
      </c>
      <c r="F216" s="2" t="s">
        <v>193</v>
      </c>
      <c r="G216" s="2" t="s">
        <v>2878</v>
      </c>
      <c r="H216" s="2" t="s">
        <v>2879</v>
      </c>
      <c r="I216" s="2" t="s">
        <v>183</v>
      </c>
      <c r="J216" s="2" t="s">
        <v>225</v>
      </c>
      <c r="K216" s="2" t="s">
        <v>2880</v>
      </c>
      <c r="L216" s="2" t="s">
        <v>2881</v>
      </c>
      <c r="M216" s="2" t="s">
        <v>2882</v>
      </c>
      <c r="N216" s="2" t="s">
        <v>89</v>
      </c>
      <c r="O216" s="2" t="s">
        <v>57</v>
      </c>
      <c r="P216" s="2" t="s">
        <v>2883</v>
      </c>
      <c r="Q216" s="2"/>
      <c r="R216" s="2"/>
      <c r="S216" s="2" t="s">
        <v>2884</v>
      </c>
      <c r="T216" s="2" t="s">
        <v>2885</v>
      </c>
      <c r="U216" s="2" t="s">
        <v>2886</v>
      </c>
    </row>
    <row r="217" customFormat="false" ht="57.45" hidden="false" customHeight="false" outlineLevel="0" collapsed="false">
      <c r="A217" s="2" t="s">
        <v>2350</v>
      </c>
      <c r="B217" s="2" t="s">
        <v>2505</v>
      </c>
      <c r="C217" s="2" t="s">
        <v>2887</v>
      </c>
      <c r="D217" s="2" t="s">
        <v>2797</v>
      </c>
      <c r="E217" s="2" t="s">
        <v>2888</v>
      </c>
      <c r="F217" s="2" t="s">
        <v>193</v>
      </c>
      <c r="G217" s="2" t="s">
        <v>2889</v>
      </c>
      <c r="H217" s="2" t="s">
        <v>2890</v>
      </c>
      <c r="I217" s="2" t="s">
        <v>2891</v>
      </c>
      <c r="J217" s="2" t="s">
        <v>2892</v>
      </c>
      <c r="K217" s="2" t="s">
        <v>2893</v>
      </c>
      <c r="L217" s="2" t="s">
        <v>2894</v>
      </c>
      <c r="M217" s="2" t="s">
        <v>2895</v>
      </c>
      <c r="N217" s="2" t="s">
        <v>89</v>
      </c>
      <c r="O217" s="2" t="s">
        <v>57</v>
      </c>
      <c r="P217" s="2" t="s">
        <v>2896</v>
      </c>
      <c r="Q217" s="2"/>
      <c r="R217" s="2"/>
      <c r="S217" s="2" t="s">
        <v>2897</v>
      </c>
      <c r="T217" s="2" t="s">
        <v>2898</v>
      </c>
      <c r="U217" s="2" t="s">
        <v>2899</v>
      </c>
    </row>
    <row r="218" customFormat="false" ht="102.2" hidden="false" customHeight="false" outlineLevel="0" collapsed="false">
      <c r="A218" s="2" t="s">
        <v>2900</v>
      </c>
      <c r="B218" s="2" t="s">
        <v>2901</v>
      </c>
      <c r="C218" s="2" t="s">
        <v>2902</v>
      </c>
      <c r="D218" s="2" t="s">
        <v>2903</v>
      </c>
      <c r="E218" s="2" t="s">
        <v>2904</v>
      </c>
      <c r="F218" s="2" t="s">
        <v>34</v>
      </c>
      <c r="G218" s="2" t="s">
        <v>2905</v>
      </c>
      <c r="H218" s="2" t="s">
        <v>2906</v>
      </c>
      <c r="I218" s="2" t="s">
        <v>2907</v>
      </c>
      <c r="J218" s="2" t="s">
        <v>2908</v>
      </c>
      <c r="K218" s="2" t="s">
        <v>2909</v>
      </c>
      <c r="L218" s="2" t="s">
        <v>2910</v>
      </c>
      <c r="M218" s="2" t="s">
        <v>2911</v>
      </c>
      <c r="N218" s="2" t="s">
        <v>144</v>
      </c>
      <c r="O218" s="2" t="s">
        <v>2912</v>
      </c>
      <c r="P218" s="2" t="s">
        <v>2913</v>
      </c>
      <c r="Q218" s="2"/>
      <c r="R218" s="2"/>
      <c r="S218" s="2" t="s">
        <v>2914</v>
      </c>
      <c r="T218" s="2" t="s">
        <v>2915</v>
      </c>
      <c r="U218" s="2" t="s">
        <v>2916</v>
      </c>
    </row>
    <row r="219" customFormat="false" ht="57.45" hidden="false" customHeight="false" outlineLevel="0" collapsed="false">
      <c r="A219" s="2" t="s">
        <v>2900</v>
      </c>
      <c r="B219" s="2" t="s">
        <v>2901</v>
      </c>
      <c r="C219" s="2" t="s">
        <v>2917</v>
      </c>
      <c r="D219" s="2" t="s">
        <v>2918</v>
      </c>
      <c r="E219" s="2" t="s">
        <v>2919</v>
      </c>
      <c r="F219" s="2" t="s">
        <v>280</v>
      </c>
      <c r="G219" s="2" t="s">
        <v>2920</v>
      </c>
      <c r="H219" s="2" t="s">
        <v>2921</v>
      </c>
      <c r="I219" s="2" t="s">
        <v>37</v>
      </c>
      <c r="J219" s="2" t="s">
        <v>2922</v>
      </c>
      <c r="K219" s="2" t="s">
        <v>2923</v>
      </c>
      <c r="L219" s="2" t="s">
        <v>2924</v>
      </c>
      <c r="M219" s="2" t="s">
        <v>2925</v>
      </c>
      <c r="N219" s="2" t="s">
        <v>144</v>
      </c>
      <c r="O219" s="2" t="s">
        <v>2926</v>
      </c>
      <c r="P219" s="2" t="s">
        <v>2927</v>
      </c>
      <c r="Q219" s="2"/>
      <c r="R219" s="2"/>
      <c r="S219" s="2" t="s">
        <v>2928</v>
      </c>
      <c r="T219" s="2" t="s">
        <v>2929</v>
      </c>
      <c r="U219" s="2" t="s">
        <v>2930</v>
      </c>
    </row>
    <row r="220" customFormat="false" ht="57.45" hidden="false" customHeight="false" outlineLevel="0" collapsed="false">
      <c r="A220" s="2" t="s">
        <v>2900</v>
      </c>
      <c r="B220" s="2" t="s">
        <v>2901</v>
      </c>
      <c r="C220" s="2" t="s">
        <v>2931</v>
      </c>
      <c r="D220" s="2" t="s">
        <v>2932</v>
      </c>
      <c r="E220" s="2" t="s">
        <v>2933</v>
      </c>
      <c r="F220" s="2" t="s">
        <v>34</v>
      </c>
      <c r="G220" s="2" t="s">
        <v>2934</v>
      </c>
      <c r="H220" s="2" t="s">
        <v>2935</v>
      </c>
      <c r="I220" s="2" t="s">
        <v>2936</v>
      </c>
      <c r="J220" s="2" t="s">
        <v>2937</v>
      </c>
      <c r="K220" s="2" t="s">
        <v>2938</v>
      </c>
      <c r="L220" s="2" t="s">
        <v>2939</v>
      </c>
      <c r="M220" s="2" t="s">
        <v>2940</v>
      </c>
      <c r="N220" s="2" t="s">
        <v>144</v>
      </c>
      <c r="O220" s="2"/>
      <c r="P220" s="2" t="s">
        <v>2941</v>
      </c>
      <c r="Q220" s="2"/>
      <c r="R220" s="2"/>
      <c r="S220" s="2" t="s">
        <v>2942</v>
      </c>
      <c r="T220" s="2" t="s">
        <v>2943</v>
      </c>
      <c r="U220" s="2" t="s">
        <v>2944</v>
      </c>
    </row>
    <row r="221" customFormat="false" ht="57.45" hidden="false" customHeight="false" outlineLevel="0" collapsed="false">
      <c r="A221" s="2" t="s">
        <v>2900</v>
      </c>
      <c r="B221" s="2" t="s">
        <v>2901</v>
      </c>
      <c r="C221" s="2" t="s">
        <v>2945</v>
      </c>
      <c r="D221" s="2" t="s">
        <v>2946</v>
      </c>
      <c r="E221" s="2" t="s">
        <v>2947</v>
      </c>
      <c r="F221" s="2" t="s">
        <v>34</v>
      </c>
      <c r="G221" s="2" t="s">
        <v>2948</v>
      </c>
      <c r="H221" s="2" t="s">
        <v>2949</v>
      </c>
      <c r="I221" s="2" t="s">
        <v>183</v>
      </c>
      <c r="J221" s="2" t="s">
        <v>2950</v>
      </c>
      <c r="K221" s="2" t="s">
        <v>2951</v>
      </c>
      <c r="L221" s="2" t="s">
        <v>2952</v>
      </c>
      <c r="M221" s="2" t="s">
        <v>2953</v>
      </c>
      <c r="N221" s="2" t="s">
        <v>144</v>
      </c>
      <c r="O221" s="2"/>
      <c r="P221" s="2" t="s">
        <v>2954</v>
      </c>
      <c r="Q221" s="2"/>
      <c r="R221" s="2"/>
      <c r="S221" s="2" t="s">
        <v>2955</v>
      </c>
      <c r="T221" s="2" t="s">
        <v>2956</v>
      </c>
      <c r="U221" s="2" t="s">
        <v>2957</v>
      </c>
    </row>
    <row r="222" customFormat="false" ht="91" hidden="false" customHeight="false" outlineLevel="0" collapsed="false">
      <c r="A222" s="2" t="s">
        <v>2900</v>
      </c>
      <c r="B222" s="2" t="s">
        <v>2901</v>
      </c>
      <c r="C222" s="2" t="s">
        <v>2958</v>
      </c>
      <c r="D222" s="2" t="s">
        <v>2946</v>
      </c>
      <c r="E222" s="2" t="s">
        <v>2959</v>
      </c>
      <c r="F222" s="2" t="s">
        <v>347</v>
      </c>
      <c r="G222" s="2" t="s">
        <v>2960</v>
      </c>
      <c r="H222" s="2" t="s">
        <v>2961</v>
      </c>
      <c r="I222" s="2" t="s">
        <v>2962</v>
      </c>
      <c r="J222" s="2" t="s">
        <v>2963</v>
      </c>
      <c r="K222" s="2" t="s">
        <v>2964</v>
      </c>
      <c r="L222" s="2" t="s">
        <v>2965</v>
      </c>
      <c r="M222" s="2" t="s">
        <v>2966</v>
      </c>
      <c r="N222" s="2" t="s">
        <v>144</v>
      </c>
      <c r="O222" s="2"/>
      <c r="P222" s="2" t="s">
        <v>2967</v>
      </c>
      <c r="Q222" s="2"/>
      <c r="R222" s="2"/>
      <c r="S222" s="2" t="s">
        <v>2968</v>
      </c>
      <c r="T222" s="2" t="s">
        <v>2969</v>
      </c>
      <c r="U222" s="2" t="s">
        <v>2970</v>
      </c>
    </row>
    <row r="223" customFormat="false" ht="46.25" hidden="false" customHeight="false" outlineLevel="0" collapsed="false">
      <c r="A223" s="2" t="s">
        <v>2900</v>
      </c>
      <c r="B223" s="2" t="s">
        <v>2901</v>
      </c>
      <c r="C223" s="2" t="s">
        <v>2971</v>
      </c>
      <c r="D223" s="2" t="s">
        <v>2972</v>
      </c>
      <c r="E223" s="2" t="s">
        <v>2973</v>
      </c>
      <c r="F223" s="2" t="s">
        <v>347</v>
      </c>
      <c r="G223" s="2" t="s">
        <v>2974</v>
      </c>
      <c r="H223" s="2" t="s">
        <v>2975</v>
      </c>
      <c r="I223" s="2" t="s">
        <v>2976</v>
      </c>
      <c r="J223" s="2" t="s">
        <v>2977</v>
      </c>
      <c r="K223" s="2" t="s">
        <v>2978</v>
      </c>
      <c r="L223" s="2" t="s">
        <v>2979</v>
      </c>
      <c r="M223" s="2" t="s">
        <v>2980</v>
      </c>
      <c r="N223" s="2" t="s">
        <v>144</v>
      </c>
      <c r="O223" s="2" t="s">
        <v>2981</v>
      </c>
      <c r="P223" s="2" t="s">
        <v>57</v>
      </c>
      <c r="Q223" s="2"/>
      <c r="R223" s="2"/>
      <c r="S223" s="2" t="s">
        <v>2982</v>
      </c>
      <c r="T223" s="2" t="s">
        <v>2983</v>
      </c>
      <c r="U223" s="2" t="s">
        <v>2984</v>
      </c>
    </row>
    <row r="224" customFormat="false" ht="46.25" hidden="false" customHeight="false" outlineLevel="0" collapsed="false">
      <c r="A224" s="2" t="s">
        <v>2900</v>
      </c>
      <c r="B224" s="2" t="s">
        <v>2985</v>
      </c>
      <c r="C224" s="2" t="s">
        <v>2986</v>
      </c>
      <c r="D224" s="2" t="s">
        <v>2987</v>
      </c>
      <c r="E224" s="2" t="s">
        <v>2988</v>
      </c>
      <c r="F224" s="2" t="s">
        <v>347</v>
      </c>
      <c r="G224" s="2" t="s">
        <v>2989</v>
      </c>
      <c r="H224" s="2" t="s">
        <v>2990</v>
      </c>
      <c r="I224" s="2" t="s">
        <v>2991</v>
      </c>
      <c r="J224" s="2" t="s">
        <v>2992</v>
      </c>
      <c r="K224" s="2" t="s">
        <v>2993</v>
      </c>
      <c r="L224" s="2" t="s">
        <v>2994</v>
      </c>
      <c r="M224" s="2" t="s">
        <v>2995</v>
      </c>
      <c r="N224" s="2" t="s">
        <v>144</v>
      </c>
      <c r="O224" s="2"/>
      <c r="P224" s="2" t="s">
        <v>57</v>
      </c>
      <c r="Q224" s="2" t="s">
        <v>2996</v>
      </c>
      <c r="R224" s="2" t="s">
        <v>57</v>
      </c>
      <c r="S224" s="2" t="s">
        <v>2997</v>
      </c>
      <c r="T224" s="2" t="s">
        <v>2998</v>
      </c>
      <c r="U224" s="2" t="s">
        <v>2999</v>
      </c>
    </row>
    <row r="225" customFormat="false" ht="57.45" hidden="false" customHeight="false" outlineLevel="0" collapsed="false">
      <c r="A225" s="2" t="s">
        <v>2900</v>
      </c>
      <c r="B225" s="2" t="s">
        <v>2901</v>
      </c>
      <c r="C225" s="2" t="s">
        <v>3000</v>
      </c>
      <c r="D225" s="2" t="s">
        <v>3001</v>
      </c>
      <c r="E225" s="2" t="s">
        <v>3002</v>
      </c>
      <c r="F225" s="2" t="s">
        <v>139</v>
      </c>
      <c r="G225" s="2" t="s">
        <v>3003</v>
      </c>
      <c r="H225" s="2" t="s">
        <v>3004</v>
      </c>
      <c r="I225" s="2" t="s">
        <v>3005</v>
      </c>
      <c r="J225" s="2" t="s">
        <v>3006</v>
      </c>
      <c r="K225" s="2" t="s">
        <v>3007</v>
      </c>
      <c r="L225" s="2" t="s">
        <v>3008</v>
      </c>
      <c r="M225" s="2" t="s">
        <v>3009</v>
      </c>
      <c r="N225" s="2" t="s">
        <v>56</v>
      </c>
      <c r="O225" s="2" t="s">
        <v>3010</v>
      </c>
      <c r="P225" s="2" t="s">
        <v>3011</v>
      </c>
      <c r="Q225" s="2"/>
      <c r="R225" s="2"/>
      <c r="S225" s="2" t="s">
        <v>3012</v>
      </c>
      <c r="T225" s="2" t="s">
        <v>3013</v>
      </c>
      <c r="U225" s="2" t="s">
        <v>3014</v>
      </c>
    </row>
    <row r="226" customFormat="false" ht="46.25" hidden="false" customHeight="false" outlineLevel="0" collapsed="false">
      <c r="A226" s="2" t="s">
        <v>2900</v>
      </c>
      <c r="B226" s="2" t="s">
        <v>2901</v>
      </c>
      <c r="C226" s="2" t="s">
        <v>3015</v>
      </c>
      <c r="D226" s="2" t="s">
        <v>3016</v>
      </c>
      <c r="E226" s="2" t="s">
        <v>3017</v>
      </c>
      <c r="F226" s="2" t="s">
        <v>66</v>
      </c>
      <c r="G226" s="2" t="s">
        <v>3018</v>
      </c>
      <c r="H226" s="2" t="s">
        <v>58</v>
      </c>
      <c r="I226" s="2" t="s">
        <v>3019</v>
      </c>
      <c r="J226" s="2" t="s">
        <v>58</v>
      </c>
      <c r="K226" s="2" t="s">
        <v>3020</v>
      </c>
      <c r="L226" s="2" t="s">
        <v>3021</v>
      </c>
      <c r="M226" s="2" t="s">
        <v>3022</v>
      </c>
      <c r="N226" s="2" t="s">
        <v>144</v>
      </c>
      <c r="O226" s="2"/>
      <c r="P226" s="2" t="s">
        <v>3023</v>
      </c>
      <c r="Q226" s="2"/>
      <c r="R226" s="2"/>
      <c r="S226" s="2" t="s">
        <v>3024</v>
      </c>
      <c r="T226" s="2" t="s">
        <v>3025</v>
      </c>
      <c r="U226" s="2" t="s">
        <v>3026</v>
      </c>
    </row>
    <row r="227" customFormat="false" ht="57.45" hidden="false" customHeight="false" outlineLevel="0" collapsed="false">
      <c r="A227" s="2" t="s">
        <v>2900</v>
      </c>
      <c r="B227" s="2" t="s">
        <v>3027</v>
      </c>
      <c r="C227" s="2" t="s">
        <v>3028</v>
      </c>
      <c r="D227" s="2" t="s">
        <v>3029</v>
      </c>
      <c r="E227" s="2" t="s">
        <v>3030</v>
      </c>
      <c r="F227" s="2" t="s">
        <v>34</v>
      </c>
      <c r="G227" s="2" t="s">
        <v>3031</v>
      </c>
      <c r="H227" s="2" t="s">
        <v>3032</v>
      </c>
      <c r="I227" s="2" t="s">
        <v>3033</v>
      </c>
      <c r="J227" s="2" t="s">
        <v>3034</v>
      </c>
      <c r="K227" s="2" t="s">
        <v>3035</v>
      </c>
      <c r="L227" s="2" t="s">
        <v>3036</v>
      </c>
      <c r="M227" s="2" t="s">
        <v>3037</v>
      </c>
      <c r="N227" s="2" t="s">
        <v>144</v>
      </c>
      <c r="O227" s="2" t="s">
        <v>3038</v>
      </c>
      <c r="P227" s="2" t="s">
        <v>58</v>
      </c>
      <c r="Q227" s="2" t="s">
        <v>3039</v>
      </c>
      <c r="R227" s="2"/>
      <c r="S227" s="2" t="s">
        <v>3040</v>
      </c>
      <c r="T227" s="2" t="s">
        <v>3041</v>
      </c>
      <c r="U227" s="2" t="s">
        <v>3042</v>
      </c>
    </row>
    <row r="228" customFormat="false" ht="35.05" hidden="false" customHeight="false" outlineLevel="0" collapsed="false">
      <c r="A228" s="2" t="s">
        <v>2900</v>
      </c>
      <c r="B228" s="2" t="s">
        <v>3027</v>
      </c>
      <c r="C228" s="2" t="s">
        <v>3043</v>
      </c>
      <c r="D228" s="2" t="s">
        <v>3029</v>
      </c>
      <c r="E228" s="2" t="s">
        <v>3044</v>
      </c>
      <c r="F228" s="2" t="s">
        <v>347</v>
      </c>
      <c r="G228" s="2" t="s">
        <v>3045</v>
      </c>
      <c r="H228" s="2" t="s">
        <v>3046</v>
      </c>
      <c r="I228" s="2" t="s">
        <v>238</v>
      </c>
      <c r="J228" s="2" t="s">
        <v>3047</v>
      </c>
      <c r="K228" s="2" t="s">
        <v>3048</v>
      </c>
      <c r="L228" s="2" t="s">
        <v>3049</v>
      </c>
      <c r="M228" s="2" t="s">
        <v>3050</v>
      </c>
      <c r="N228" s="2" t="s">
        <v>56</v>
      </c>
      <c r="O228" s="2"/>
      <c r="P228" s="2" t="s">
        <v>57</v>
      </c>
      <c r="Q228" s="2"/>
      <c r="R228" s="2"/>
      <c r="S228" s="2" t="s">
        <v>3051</v>
      </c>
      <c r="T228" s="2" t="s">
        <v>3052</v>
      </c>
      <c r="U228" s="2" t="s">
        <v>3053</v>
      </c>
    </row>
    <row r="229" customFormat="false" ht="57.45" hidden="false" customHeight="false" outlineLevel="0" collapsed="false">
      <c r="A229" s="2" t="s">
        <v>2900</v>
      </c>
      <c r="B229" s="2" t="s">
        <v>3027</v>
      </c>
      <c r="C229" s="2" t="s">
        <v>3054</v>
      </c>
      <c r="D229" s="2" t="s">
        <v>3055</v>
      </c>
      <c r="E229" s="2" t="s">
        <v>3056</v>
      </c>
      <c r="F229" s="2" t="s">
        <v>34</v>
      </c>
      <c r="G229" s="2" t="s">
        <v>3057</v>
      </c>
      <c r="H229" s="2" t="s">
        <v>58</v>
      </c>
      <c r="I229" s="2" t="s">
        <v>37</v>
      </c>
      <c r="J229" s="2" t="s">
        <v>3058</v>
      </c>
      <c r="K229" s="2" t="s">
        <v>3054</v>
      </c>
      <c r="L229" s="2" t="s">
        <v>3059</v>
      </c>
      <c r="M229" s="2" t="s">
        <v>3060</v>
      </c>
      <c r="N229" s="2" t="s">
        <v>144</v>
      </c>
      <c r="O229" s="2"/>
      <c r="P229" s="2" t="s">
        <v>3061</v>
      </c>
      <c r="Q229" s="2"/>
      <c r="R229" s="2"/>
      <c r="S229" s="2" t="s">
        <v>3062</v>
      </c>
      <c r="T229" s="2" t="s">
        <v>3063</v>
      </c>
      <c r="U229" s="2" t="s">
        <v>3064</v>
      </c>
    </row>
    <row r="230" customFormat="false" ht="46.25" hidden="false" customHeight="false" outlineLevel="0" collapsed="false">
      <c r="A230" s="2" t="s">
        <v>2900</v>
      </c>
      <c r="B230" s="2" t="s">
        <v>2531</v>
      </c>
      <c r="C230" s="2" t="s">
        <v>3065</v>
      </c>
      <c r="D230" s="2" t="s">
        <v>3066</v>
      </c>
      <c r="E230" s="2" t="s">
        <v>3067</v>
      </c>
      <c r="F230" s="2" t="s">
        <v>34</v>
      </c>
      <c r="G230" s="2" t="s">
        <v>321</v>
      </c>
      <c r="H230" s="2" t="s">
        <v>2679</v>
      </c>
      <c r="I230" s="2" t="s">
        <v>3068</v>
      </c>
      <c r="J230" s="2" t="s">
        <v>3069</v>
      </c>
      <c r="K230" s="2" t="s">
        <v>3070</v>
      </c>
      <c r="L230" s="2" t="s">
        <v>3071</v>
      </c>
      <c r="M230" s="2" t="s">
        <v>3072</v>
      </c>
      <c r="N230" s="2" t="s">
        <v>144</v>
      </c>
      <c r="O230" s="2" t="s">
        <v>3073</v>
      </c>
      <c r="P230" s="2" t="s">
        <v>3074</v>
      </c>
      <c r="Q230" s="2" t="s">
        <v>3075</v>
      </c>
      <c r="R230" s="2"/>
      <c r="S230" s="2" t="s">
        <v>3076</v>
      </c>
      <c r="T230" s="2" t="s">
        <v>3077</v>
      </c>
      <c r="U230" s="2" t="s">
        <v>3078</v>
      </c>
    </row>
    <row r="231" customFormat="false" ht="57.45" hidden="false" customHeight="false" outlineLevel="0" collapsed="false">
      <c r="A231" s="2" t="s">
        <v>2900</v>
      </c>
      <c r="B231" s="2" t="s">
        <v>2531</v>
      </c>
      <c r="C231" s="2" t="s">
        <v>3079</v>
      </c>
      <c r="D231" s="2" t="s">
        <v>3080</v>
      </c>
      <c r="E231" s="2" t="s">
        <v>3081</v>
      </c>
      <c r="F231" s="2" t="s">
        <v>280</v>
      </c>
      <c r="G231" s="2" t="s">
        <v>3082</v>
      </c>
      <c r="H231" s="2" t="s">
        <v>2921</v>
      </c>
      <c r="I231" s="2" t="s">
        <v>3083</v>
      </c>
      <c r="J231" s="2" t="s">
        <v>3084</v>
      </c>
      <c r="K231" s="2" t="s">
        <v>3085</v>
      </c>
      <c r="L231" s="2" t="s">
        <v>3086</v>
      </c>
      <c r="M231" s="2" t="s">
        <v>3087</v>
      </c>
      <c r="N231" s="2" t="s">
        <v>144</v>
      </c>
      <c r="O231" s="2"/>
      <c r="P231" s="2" t="s">
        <v>3088</v>
      </c>
      <c r="Q231" s="2" t="s">
        <v>3089</v>
      </c>
      <c r="R231" s="2"/>
      <c r="S231" s="2" t="s">
        <v>3090</v>
      </c>
      <c r="T231" s="2" t="s">
        <v>3091</v>
      </c>
      <c r="U231" s="2" t="s">
        <v>3092</v>
      </c>
    </row>
    <row r="232" customFormat="false" ht="35.05" hidden="false" customHeight="false" outlineLevel="0" collapsed="false">
      <c r="A232" s="2" t="s">
        <v>2900</v>
      </c>
      <c r="B232" s="2" t="s">
        <v>2531</v>
      </c>
      <c r="C232" s="2" t="s">
        <v>3093</v>
      </c>
      <c r="D232" s="2" t="s">
        <v>3094</v>
      </c>
      <c r="E232" s="2" t="s">
        <v>3095</v>
      </c>
      <c r="F232" s="2" t="s">
        <v>34</v>
      </c>
      <c r="G232" s="2" t="s">
        <v>3096</v>
      </c>
      <c r="H232" s="2" t="s">
        <v>3097</v>
      </c>
      <c r="I232" s="2" t="s">
        <v>424</v>
      </c>
      <c r="J232" s="2" t="s">
        <v>225</v>
      </c>
      <c r="K232" s="2" t="s">
        <v>3098</v>
      </c>
      <c r="L232" s="2" t="s">
        <v>3099</v>
      </c>
      <c r="M232" s="2" t="s">
        <v>3100</v>
      </c>
      <c r="N232" s="2" t="s">
        <v>144</v>
      </c>
      <c r="O232" s="2" t="s">
        <v>3101</v>
      </c>
      <c r="P232" s="2" t="s">
        <v>58</v>
      </c>
      <c r="Q232" s="2" t="s">
        <v>3102</v>
      </c>
      <c r="R232" s="2"/>
      <c r="S232" s="2" t="s">
        <v>3103</v>
      </c>
      <c r="T232" s="2" t="s">
        <v>3104</v>
      </c>
      <c r="U232" s="2" t="s">
        <v>3105</v>
      </c>
    </row>
    <row r="233" customFormat="false" ht="57.45" hidden="false" customHeight="false" outlineLevel="0" collapsed="false">
      <c r="A233" s="2" t="s">
        <v>2900</v>
      </c>
      <c r="B233" s="2" t="s">
        <v>2531</v>
      </c>
      <c r="C233" s="2" t="s">
        <v>3106</v>
      </c>
      <c r="D233" s="2" t="s">
        <v>3094</v>
      </c>
      <c r="E233" s="2" t="s">
        <v>3107</v>
      </c>
      <c r="F233" s="2" t="s">
        <v>193</v>
      </c>
      <c r="G233" s="2" t="s">
        <v>3108</v>
      </c>
      <c r="H233" s="2" t="s">
        <v>1600</v>
      </c>
      <c r="I233" s="2" t="s">
        <v>424</v>
      </c>
      <c r="J233" s="2" t="s">
        <v>225</v>
      </c>
      <c r="K233" s="2" t="s">
        <v>3109</v>
      </c>
      <c r="L233" s="2" t="s">
        <v>3110</v>
      </c>
      <c r="M233" s="2" t="s">
        <v>3111</v>
      </c>
      <c r="N233" s="2" t="s">
        <v>56</v>
      </c>
      <c r="O233" s="2"/>
      <c r="P233" s="2" t="s">
        <v>3112</v>
      </c>
      <c r="Q233" s="2"/>
      <c r="R233" s="2"/>
      <c r="S233" s="2" t="s">
        <v>3113</v>
      </c>
      <c r="T233" s="2" t="s">
        <v>3114</v>
      </c>
      <c r="U233" s="2" t="s">
        <v>3115</v>
      </c>
    </row>
    <row r="234" customFormat="false" ht="57.45" hidden="false" customHeight="false" outlineLevel="0" collapsed="false">
      <c r="A234" s="2" t="s">
        <v>2900</v>
      </c>
      <c r="B234" s="2" t="s">
        <v>2531</v>
      </c>
      <c r="C234" s="2" t="s">
        <v>3116</v>
      </c>
      <c r="D234" s="2" t="s">
        <v>3117</v>
      </c>
      <c r="E234" s="2" t="s">
        <v>3118</v>
      </c>
      <c r="F234" s="2" t="s">
        <v>34</v>
      </c>
      <c r="G234" s="2" t="s">
        <v>3119</v>
      </c>
      <c r="H234" s="2" t="s">
        <v>3120</v>
      </c>
      <c r="I234" s="2" t="s">
        <v>1236</v>
      </c>
      <c r="J234" s="2" t="s">
        <v>3121</v>
      </c>
      <c r="K234" s="2" t="s">
        <v>3122</v>
      </c>
      <c r="L234" s="2" t="s">
        <v>3123</v>
      </c>
      <c r="M234" s="2" t="s">
        <v>3124</v>
      </c>
      <c r="N234" s="2" t="s">
        <v>144</v>
      </c>
      <c r="O234" s="2" t="s">
        <v>3125</v>
      </c>
      <c r="P234" s="2" t="s">
        <v>3126</v>
      </c>
      <c r="Q234" s="2"/>
      <c r="R234" s="2"/>
      <c r="S234" s="2" t="s">
        <v>3127</v>
      </c>
      <c r="T234" s="2" t="s">
        <v>3128</v>
      </c>
      <c r="U234" s="2" t="s">
        <v>3129</v>
      </c>
    </row>
    <row r="235" customFormat="false" ht="46.25" hidden="false" customHeight="false" outlineLevel="0" collapsed="false">
      <c r="A235" s="2" t="s">
        <v>2900</v>
      </c>
      <c r="B235" s="2" t="s">
        <v>2531</v>
      </c>
      <c r="C235" s="2" t="s">
        <v>3130</v>
      </c>
      <c r="D235" s="2" t="s">
        <v>3080</v>
      </c>
      <c r="E235" s="2" t="s">
        <v>3131</v>
      </c>
      <c r="F235" s="2" t="s">
        <v>34</v>
      </c>
      <c r="G235" s="2" t="s">
        <v>3132</v>
      </c>
      <c r="H235" s="2" t="s">
        <v>3133</v>
      </c>
      <c r="I235" s="2" t="s">
        <v>3134</v>
      </c>
      <c r="J235" s="2" t="s">
        <v>58</v>
      </c>
      <c r="K235" s="2" t="s">
        <v>3135</v>
      </c>
      <c r="L235" s="2" t="s">
        <v>3136</v>
      </c>
      <c r="M235" s="2" t="s">
        <v>3137</v>
      </c>
      <c r="N235" s="2" t="s">
        <v>56</v>
      </c>
      <c r="O235" s="2" t="s">
        <v>3138</v>
      </c>
      <c r="P235" s="2" t="s">
        <v>3139</v>
      </c>
      <c r="Q235" s="2"/>
      <c r="R235" s="2"/>
      <c r="S235" s="2" t="s">
        <v>3140</v>
      </c>
      <c r="T235" s="2" t="s">
        <v>3141</v>
      </c>
      <c r="U235" s="2" t="s">
        <v>3142</v>
      </c>
    </row>
    <row r="236" customFormat="false" ht="46.25" hidden="false" customHeight="false" outlineLevel="0" collapsed="false">
      <c r="A236" s="2" t="s">
        <v>2900</v>
      </c>
      <c r="B236" s="2" t="s">
        <v>2531</v>
      </c>
      <c r="C236" s="2" t="s">
        <v>3143</v>
      </c>
      <c r="D236" s="2" t="s">
        <v>3080</v>
      </c>
      <c r="E236" s="2" t="s">
        <v>3144</v>
      </c>
      <c r="F236" s="2" t="s">
        <v>193</v>
      </c>
      <c r="G236" s="2" t="s">
        <v>3145</v>
      </c>
      <c r="H236" s="2" t="s">
        <v>2630</v>
      </c>
      <c r="I236" s="2" t="s">
        <v>3146</v>
      </c>
      <c r="J236" s="2" t="s">
        <v>3147</v>
      </c>
      <c r="K236" s="2" t="s">
        <v>3148</v>
      </c>
      <c r="L236" s="2" t="s">
        <v>3149</v>
      </c>
      <c r="M236" s="2" t="s">
        <v>3150</v>
      </c>
      <c r="N236" s="2" t="s">
        <v>89</v>
      </c>
      <c r="O236" s="2"/>
      <c r="P236" s="2" t="s">
        <v>3151</v>
      </c>
      <c r="Q236" s="2"/>
      <c r="R236" s="2"/>
      <c r="S236" s="2" t="s">
        <v>3152</v>
      </c>
      <c r="T236" s="2" t="s">
        <v>3153</v>
      </c>
      <c r="U236" s="2" t="s">
        <v>3154</v>
      </c>
    </row>
    <row r="237" customFormat="false" ht="46.25" hidden="false" customHeight="false" outlineLevel="0" collapsed="false">
      <c r="A237" s="2" t="s">
        <v>2900</v>
      </c>
      <c r="B237" s="2" t="s">
        <v>2531</v>
      </c>
      <c r="C237" s="2" t="s">
        <v>3155</v>
      </c>
      <c r="D237" s="2" t="s">
        <v>3156</v>
      </c>
      <c r="E237" s="2" t="s">
        <v>3157</v>
      </c>
      <c r="F237" s="2" t="s">
        <v>1309</v>
      </c>
      <c r="G237" s="2" t="s">
        <v>3158</v>
      </c>
      <c r="H237" s="2" t="s">
        <v>89</v>
      </c>
      <c r="I237" s="2" t="s">
        <v>89</v>
      </c>
      <c r="J237" s="2" t="s">
        <v>89</v>
      </c>
      <c r="K237" s="2" t="s">
        <v>3159</v>
      </c>
      <c r="L237" s="2" t="s">
        <v>3160</v>
      </c>
      <c r="M237" s="2" t="s">
        <v>3161</v>
      </c>
      <c r="N237" s="2" t="s">
        <v>89</v>
      </c>
      <c r="O237" s="2"/>
      <c r="P237" s="2" t="s">
        <v>57</v>
      </c>
      <c r="Q237" s="2"/>
      <c r="R237" s="2"/>
      <c r="S237" s="2" t="s">
        <v>3162</v>
      </c>
      <c r="T237" s="2" t="s">
        <v>3163</v>
      </c>
      <c r="U237" s="2" t="s">
        <v>3164</v>
      </c>
    </row>
    <row r="238" customFormat="false" ht="57.45" hidden="false" customHeight="false" outlineLevel="0" collapsed="false">
      <c r="A238" s="2" t="s">
        <v>2900</v>
      </c>
      <c r="B238" s="2" t="s">
        <v>3165</v>
      </c>
      <c r="C238" s="2" t="s">
        <v>3166</v>
      </c>
      <c r="D238" s="2" t="s">
        <v>3167</v>
      </c>
      <c r="E238" s="2" t="s">
        <v>3168</v>
      </c>
      <c r="F238" s="2" t="s">
        <v>66</v>
      </c>
      <c r="G238" s="2" t="s">
        <v>3169</v>
      </c>
      <c r="H238" s="2" t="s">
        <v>58</v>
      </c>
      <c r="I238" s="2" t="s">
        <v>3170</v>
      </c>
      <c r="J238" s="2" t="s">
        <v>58</v>
      </c>
      <c r="K238" s="2" t="s">
        <v>3171</v>
      </c>
      <c r="L238" s="2" t="s">
        <v>3172</v>
      </c>
      <c r="M238" s="2" t="s">
        <v>3173</v>
      </c>
      <c r="N238" s="2" t="s">
        <v>144</v>
      </c>
      <c r="O238" s="2"/>
      <c r="P238" s="2" t="s">
        <v>3174</v>
      </c>
      <c r="Q238" s="2"/>
      <c r="R238" s="2"/>
      <c r="S238" s="2" t="s">
        <v>3175</v>
      </c>
      <c r="T238" s="2" t="s">
        <v>3176</v>
      </c>
      <c r="U238" s="2" t="s">
        <v>3177</v>
      </c>
    </row>
    <row r="239" customFormat="false" ht="46.25" hidden="false" customHeight="false" outlineLevel="0" collapsed="false">
      <c r="A239" s="2" t="s">
        <v>2900</v>
      </c>
      <c r="B239" s="2" t="s">
        <v>3165</v>
      </c>
      <c r="C239" s="2" t="s">
        <v>3178</v>
      </c>
      <c r="D239" s="2" t="s">
        <v>3167</v>
      </c>
      <c r="E239" s="2" t="s">
        <v>3179</v>
      </c>
      <c r="F239" s="2" t="s">
        <v>34</v>
      </c>
      <c r="G239" s="2" t="s">
        <v>3180</v>
      </c>
      <c r="H239" s="2" t="s">
        <v>3181</v>
      </c>
      <c r="I239" s="2" t="s">
        <v>3182</v>
      </c>
      <c r="J239" s="2" t="s">
        <v>1601</v>
      </c>
      <c r="K239" s="2" t="s">
        <v>3171</v>
      </c>
      <c r="L239" s="2" t="s">
        <v>3183</v>
      </c>
      <c r="M239" s="2" t="s">
        <v>3184</v>
      </c>
      <c r="N239" s="2" t="s">
        <v>144</v>
      </c>
      <c r="O239" s="2"/>
      <c r="P239" s="2" t="s">
        <v>58</v>
      </c>
      <c r="Q239" s="2"/>
      <c r="R239" s="2"/>
      <c r="S239" s="2" t="s">
        <v>3185</v>
      </c>
      <c r="T239" s="2" t="s">
        <v>3186</v>
      </c>
      <c r="U239" s="2" t="s">
        <v>3187</v>
      </c>
    </row>
    <row r="240" customFormat="false" ht="57.45" hidden="false" customHeight="false" outlineLevel="0" collapsed="false">
      <c r="A240" s="2" t="s">
        <v>2900</v>
      </c>
      <c r="B240" s="2" t="s">
        <v>3165</v>
      </c>
      <c r="C240" s="2" t="s">
        <v>3188</v>
      </c>
      <c r="D240" s="2" t="s">
        <v>3189</v>
      </c>
      <c r="E240" s="2" t="s">
        <v>3190</v>
      </c>
      <c r="F240" s="2" t="s">
        <v>34</v>
      </c>
      <c r="G240" s="2" t="s">
        <v>3191</v>
      </c>
      <c r="H240" s="2" t="s">
        <v>3192</v>
      </c>
      <c r="I240" s="2" t="s">
        <v>3193</v>
      </c>
      <c r="J240" s="2" t="s">
        <v>3194</v>
      </c>
      <c r="K240" s="2" t="s">
        <v>3195</v>
      </c>
      <c r="L240" s="2" t="s">
        <v>3196</v>
      </c>
      <c r="M240" s="2" t="s">
        <v>3197</v>
      </c>
      <c r="N240" s="2" t="s">
        <v>72</v>
      </c>
      <c r="O240" s="2" t="s">
        <v>3198</v>
      </c>
      <c r="P240" s="2" t="s">
        <v>3199</v>
      </c>
      <c r="Q240" s="2"/>
      <c r="R240" s="2"/>
      <c r="S240" s="2" t="s">
        <v>3200</v>
      </c>
      <c r="T240" s="2" t="s">
        <v>3201</v>
      </c>
      <c r="U240" s="2" t="s">
        <v>3202</v>
      </c>
    </row>
    <row r="241" customFormat="false" ht="46.25" hidden="false" customHeight="false" outlineLevel="0" collapsed="false">
      <c r="A241" s="2" t="s">
        <v>2900</v>
      </c>
      <c r="B241" s="2" t="s">
        <v>3165</v>
      </c>
      <c r="C241" s="2" t="s">
        <v>3203</v>
      </c>
      <c r="D241" s="2" t="s">
        <v>3204</v>
      </c>
      <c r="E241" s="2" t="s">
        <v>3205</v>
      </c>
      <c r="F241" s="2" t="s">
        <v>139</v>
      </c>
      <c r="G241" s="2" t="s">
        <v>3206</v>
      </c>
      <c r="H241" s="2" t="s">
        <v>3207</v>
      </c>
      <c r="I241" s="2" t="s">
        <v>183</v>
      </c>
      <c r="J241" s="2" t="s">
        <v>3006</v>
      </c>
      <c r="K241" s="2" t="s">
        <v>3171</v>
      </c>
      <c r="L241" s="2" t="s">
        <v>3208</v>
      </c>
      <c r="M241" s="2" t="s">
        <v>3209</v>
      </c>
      <c r="N241" s="2" t="s">
        <v>144</v>
      </c>
      <c r="O241" s="2" t="s">
        <v>3210</v>
      </c>
      <c r="P241" s="2" t="s">
        <v>57</v>
      </c>
      <c r="Q241" s="2"/>
      <c r="R241" s="2"/>
      <c r="S241" s="2" t="s">
        <v>3211</v>
      </c>
      <c r="T241" s="2" t="s">
        <v>3212</v>
      </c>
      <c r="U241" s="2" t="s">
        <v>3213</v>
      </c>
    </row>
    <row r="242" customFormat="false" ht="46.25" hidden="false" customHeight="false" outlineLevel="0" collapsed="false">
      <c r="A242" s="2" t="s">
        <v>2900</v>
      </c>
      <c r="B242" s="2" t="s">
        <v>3165</v>
      </c>
      <c r="C242" s="2" t="s">
        <v>3214</v>
      </c>
      <c r="D242" s="2" t="s">
        <v>3204</v>
      </c>
      <c r="E242" s="2" t="s">
        <v>3215</v>
      </c>
      <c r="F242" s="2" t="s">
        <v>66</v>
      </c>
      <c r="G242" s="2" t="s">
        <v>3216</v>
      </c>
      <c r="H242" s="2" t="s">
        <v>58</v>
      </c>
      <c r="I242" s="2" t="s">
        <v>575</v>
      </c>
      <c r="J242" s="2" t="s">
        <v>1601</v>
      </c>
      <c r="K242" s="2" t="s">
        <v>3217</v>
      </c>
      <c r="L242" s="2" t="s">
        <v>3218</v>
      </c>
      <c r="M242" s="2" t="s">
        <v>3219</v>
      </c>
      <c r="N242" s="2" t="s">
        <v>144</v>
      </c>
      <c r="O242" s="2"/>
      <c r="P242" s="2" t="s">
        <v>3220</v>
      </c>
      <c r="Q242" s="2"/>
      <c r="R242" s="2"/>
      <c r="S242" s="2" t="s">
        <v>3221</v>
      </c>
      <c r="T242" s="2" t="s">
        <v>3222</v>
      </c>
      <c r="U242" s="2" t="s">
        <v>3223</v>
      </c>
    </row>
    <row r="243" customFormat="false" ht="35.05" hidden="false" customHeight="false" outlineLevel="0" collapsed="false">
      <c r="A243" s="2" t="s">
        <v>2900</v>
      </c>
      <c r="B243" s="2" t="s">
        <v>3165</v>
      </c>
      <c r="C243" s="2" t="s">
        <v>3224</v>
      </c>
      <c r="D243" s="2" t="s">
        <v>3225</v>
      </c>
      <c r="E243" s="2" t="s">
        <v>3226</v>
      </c>
      <c r="F243" s="2" t="s">
        <v>193</v>
      </c>
      <c r="G243" s="2" t="s">
        <v>3227</v>
      </c>
      <c r="H243" s="2" t="s">
        <v>3228</v>
      </c>
      <c r="I243" s="2" t="s">
        <v>3229</v>
      </c>
      <c r="J243" s="2" t="s">
        <v>1601</v>
      </c>
      <c r="K243" s="2" t="s">
        <v>3230</v>
      </c>
      <c r="L243" s="2" t="s">
        <v>3231</v>
      </c>
      <c r="M243" s="2" t="s">
        <v>3232</v>
      </c>
      <c r="N243" s="2" t="s">
        <v>89</v>
      </c>
      <c r="O243" s="2"/>
      <c r="P243" s="2" t="s">
        <v>3233</v>
      </c>
      <c r="Q243" s="2"/>
      <c r="R243" s="2"/>
      <c r="S243" s="2" t="s">
        <v>3234</v>
      </c>
      <c r="T243" s="2" t="s">
        <v>3235</v>
      </c>
      <c r="U243" s="2" t="s">
        <v>3236</v>
      </c>
    </row>
    <row r="244" customFormat="false" ht="35.05" hidden="false" customHeight="false" outlineLevel="0" collapsed="false">
      <c r="A244" s="2" t="s">
        <v>2900</v>
      </c>
      <c r="B244" s="2" t="s">
        <v>3165</v>
      </c>
      <c r="C244" s="2" t="s">
        <v>3237</v>
      </c>
      <c r="D244" s="2" t="s">
        <v>3225</v>
      </c>
      <c r="E244" s="2" t="s">
        <v>3238</v>
      </c>
      <c r="F244" s="2" t="s">
        <v>193</v>
      </c>
      <c r="G244" s="2" t="s">
        <v>3239</v>
      </c>
      <c r="H244" s="2" t="s">
        <v>3240</v>
      </c>
      <c r="I244" s="2" t="s">
        <v>3241</v>
      </c>
      <c r="J244" s="2" t="s">
        <v>3242</v>
      </c>
      <c r="K244" s="2" t="s">
        <v>3243</v>
      </c>
      <c r="L244" s="2" t="s">
        <v>3244</v>
      </c>
      <c r="M244" s="2" t="s">
        <v>3245</v>
      </c>
      <c r="N244" s="2" t="s">
        <v>89</v>
      </c>
      <c r="O244" s="2"/>
      <c r="P244" s="2" t="s">
        <v>3246</v>
      </c>
      <c r="Q244" s="2"/>
      <c r="R244" s="2"/>
      <c r="S244" s="2" t="s">
        <v>3247</v>
      </c>
      <c r="T244" s="2" t="s">
        <v>3248</v>
      </c>
      <c r="U244" s="2" t="s">
        <v>3249</v>
      </c>
    </row>
    <row r="245" customFormat="false" ht="46.25" hidden="false" customHeight="false" outlineLevel="0" collapsed="false">
      <c r="A245" s="2" t="s">
        <v>2900</v>
      </c>
      <c r="B245" s="2" t="s">
        <v>3250</v>
      </c>
      <c r="C245" s="2" t="s">
        <v>3251</v>
      </c>
      <c r="D245" s="2" t="s">
        <v>3252</v>
      </c>
      <c r="E245" s="2" t="s">
        <v>3253</v>
      </c>
      <c r="F245" s="2" t="s">
        <v>280</v>
      </c>
      <c r="G245" s="2" t="s">
        <v>3254</v>
      </c>
      <c r="H245" s="2" t="s">
        <v>1247</v>
      </c>
      <c r="I245" s="2" t="s">
        <v>3255</v>
      </c>
      <c r="J245" s="2" t="s">
        <v>3256</v>
      </c>
      <c r="K245" s="2" t="s">
        <v>3257</v>
      </c>
      <c r="L245" s="2" t="s">
        <v>3258</v>
      </c>
      <c r="M245" s="2" t="s">
        <v>3259</v>
      </c>
      <c r="N245" s="2" t="s">
        <v>144</v>
      </c>
      <c r="O245" s="2" t="s">
        <v>3260</v>
      </c>
      <c r="P245" s="2" t="s">
        <v>58</v>
      </c>
      <c r="Q245" s="2" t="s">
        <v>3261</v>
      </c>
      <c r="R245" s="2"/>
      <c r="S245" s="2" t="s">
        <v>3262</v>
      </c>
      <c r="T245" s="2" t="s">
        <v>3263</v>
      </c>
      <c r="U245" s="2" t="s">
        <v>3264</v>
      </c>
    </row>
    <row r="246" customFormat="false" ht="46.25" hidden="false" customHeight="false" outlineLevel="0" collapsed="false">
      <c r="A246" s="2" t="s">
        <v>2900</v>
      </c>
      <c r="B246" s="2" t="s">
        <v>3265</v>
      </c>
      <c r="C246" s="2" t="s">
        <v>3266</v>
      </c>
      <c r="D246" s="2" t="s">
        <v>3267</v>
      </c>
      <c r="E246" s="2" t="s">
        <v>3268</v>
      </c>
      <c r="F246" s="2" t="s">
        <v>34</v>
      </c>
      <c r="G246" s="2" t="s">
        <v>3269</v>
      </c>
      <c r="H246" s="2" t="s">
        <v>3270</v>
      </c>
      <c r="I246" s="2" t="s">
        <v>2976</v>
      </c>
      <c r="J246" s="2" t="s">
        <v>3271</v>
      </c>
      <c r="K246" s="2" t="s">
        <v>3272</v>
      </c>
      <c r="L246" s="2" t="s">
        <v>3273</v>
      </c>
      <c r="M246" s="2" t="s">
        <v>3274</v>
      </c>
      <c r="N246" s="2" t="s">
        <v>56</v>
      </c>
      <c r="O246" s="2" t="s">
        <v>3101</v>
      </c>
      <c r="P246" s="2"/>
      <c r="Q246" s="2"/>
      <c r="R246" s="2"/>
      <c r="S246" s="2" t="s">
        <v>3275</v>
      </c>
      <c r="T246" s="2" t="s">
        <v>3276</v>
      </c>
      <c r="U246" s="2" t="s">
        <v>3277</v>
      </c>
    </row>
    <row r="247" customFormat="false" ht="46.25" hidden="false" customHeight="false" outlineLevel="0" collapsed="false">
      <c r="A247" s="2" t="s">
        <v>2900</v>
      </c>
      <c r="B247" s="2" t="s">
        <v>3278</v>
      </c>
      <c r="C247" s="2" t="s">
        <v>3279</v>
      </c>
      <c r="D247" s="2" t="s">
        <v>3280</v>
      </c>
      <c r="E247" s="2" t="s">
        <v>3281</v>
      </c>
      <c r="F247" s="2" t="s">
        <v>280</v>
      </c>
      <c r="G247" s="2" t="s">
        <v>3282</v>
      </c>
      <c r="H247" s="2" t="s">
        <v>3283</v>
      </c>
      <c r="I247" s="2" t="s">
        <v>3284</v>
      </c>
      <c r="J247" s="2" t="s">
        <v>3285</v>
      </c>
      <c r="K247" s="2" t="s">
        <v>3286</v>
      </c>
      <c r="L247" s="2" t="s">
        <v>3287</v>
      </c>
      <c r="M247" s="2" t="s">
        <v>3288</v>
      </c>
      <c r="N247" s="2" t="s">
        <v>144</v>
      </c>
      <c r="O247" s="2" t="s">
        <v>3289</v>
      </c>
      <c r="P247" s="2" t="s">
        <v>57</v>
      </c>
      <c r="Q247" s="2"/>
      <c r="R247" s="2"/>
      <c r="S247" s="2" t="s">
        <v>3290</v>
      </c>
      <c r="T247" s="2" t="s">
        <v>3291</v>
      </c>
      <c r="U247" s="2" t="s">
        <v>3292</v>
      </c>
    </row>
    <row r="248" customFormat="false" ht="57.45" hidden="false" customHeight="false" outlineLevel="0" collapsed="false">
      <c r="A248" s="2" t="s">
        <v>2900</v>
      </c>
      <c r="B248" s="2" t="s">
        <v>3278</v>
      </c>
      <c r="C248" s="2" t="s">
        <v>3293</v>
      </c>
      <c r="D248" s="2" t="s">
        <v>3294</v>
      </c>
      <c r="E248" s="2" t="s">
        <v>3295</v>
      </c>
      <c r="F248" s="2" t="s">
        <v>139</v>
      </c>
      <c r="G248" s="2" t="s">
        <v>3296</v>
      </c>
      <c r="H248" s="2" t="s">
        <v>2879</v>
      </c>
      <c r="I248" s="2" t="s">
        <v>3255</v>
      </c>
      <c r="J248" s="2" t="s">
        <v>3006</v>
      </c>
      <c r="K248" s="2" t="s">
        <v>3297</v>
      </c>
      <c r="L248" s="2" t="s">
        <v>3298</v>
      </c>
      <c r="M248" s="2" t="s">
        <v>3299</v>
      </c>
      <c r="N248" s="2" t="s">
        <v>56</v>
      </c>
      <c r="O248" s="2" t="s">
        <v>3300</v>
      </c>
      <c r="P248" s="2"/>
      <c r="Q248" s="2"/>
      <c r="R248" s="2"/>
      <c r="S248" s="2" t="s">
        <v>3301</v>
      </c>
      <c r="T248" s="2" t="s">
        <v>3302</v>
      </c>
      <c r="U248" s="2" t="s">
        <v>3303</v>
      </c>
    </row>
    <row r="249" customFormat="false" ht="46.25" hidden="false" customHeight="false" outlineLevel="0" collapsed="false">
      <c r="A249" s="2" t="s">
        <v>2900</v>
      </c>
      <c r="B249" s="2" t="s">
        <v>3304</v>
      </c>
      <c r="C249" s="2" t="s">
        <v>3305</v>
      </c>
      <c r="D249" s="2" t="s">
        <v>3306</v>
      </c>
      <c r="E249" s="2" t="s">
        <v>3307</v>
      </c>
      <c r="F249" s="2" t="s">
        <v>34</v>
      </c>
      <c r="G249" s="2" t="s">
        <v>3308</v>
      </c>
      <c r="H249" s="2" t="s">
        <v>2630</v>
      </c>
      <c r="I249" s="2" t="s">
        <v>3309</v>
      </c>
      <c r="J249" s="2" t="s">
        <v>225</v>
      </c>
      <c r="K249" s="2" t="s">
        <v>3310</v>
      </c>
      <c r="L249" s="2" t="s">
        <v>3311</v>
      </c>
      <c r="M249" s="2" t="s">
        <v>3312</v>
      </c>
      <c r="N249" s="2" t="s">
        <v>144</v>
      </c>
      <c r="O249" s="2" t="s">
        <v>3313</v>
      </c>
      <c r="P249" s="2" t="s">
        <v>57</v>
      </c>
      <c r="Q249" s="2"/>
      <c r="R249" s="2"/>
      <c r="S249" s="2" t="s">
        <v>3314</v>
      </c>
      <c r="T249" s="2" t="s">
        <v>3315</v>
      </c>
      <c r="U249" s="2" t="s">
        <v>3316</v>
      </c>
    </row>
    <row r="250" customFormat="false" ht="35.05" hidden="false" customHeight="false" outlineLevel="0" collapsed="false">
      <c r="A250" s="2" t="s">
        <v>2900</v>
      </c>
      <c r="B250" s="2" t="s">
        <v>3304</v>
      </c>
      <c r="C250" s="2" t="s">
        <v>3317</v>
      </c>
      <c r="D250" s="2" t="s">
        <v>3318</v>
      </c>
      <c r="E250" s="2" t="s">
        <v>3319</v>
      </c>
      <c r="F250" s="2" t="s">
        <v>193</v>
      </c>
      <c r="G250" s="2" t="s">
        <v>1077</v>
      </c>
      <c r="H250" s="2" t="s">
        <v>3320</v>
      </c>
      <c r="I250" s="2" t="s">
        <v>183</v>
      </c>
      <c r="J250" s="2" t="s">
        <v>3321</v>
      </c>
      <c r="K250" s="2" t="s">
        <v>3322</v>
      </c>
      <c r="L250" s="2" t="s">
        <v>3323</v>
      </c>
      <c r="M250" s="2" t="s">
        <v>3324</v>
      </c>
      <c r="N250" s="2" t="s">
        <v>89</v>
      </c>
      <c r="O250" s="2"/>
      <c r="P250" s="2" t="s">
        <v>3325</v>
      </c>
      <c r="Q250" s="2"/>
      <c r="R250" s="2"/>
      <c r="S250" s="2" t="s">
        <v>3326</v>
      </c>
      <c r="T250" s="2" t="s">
        <v>3327</v>
      </c>
      <c r="U250" s="2" t="s">
        <v>3328</v>
      </c>
    </row>
    <row r="251" customFormat="false" ht="35.05" hidden="false" customHeight="false" outlineLevel="0" collapsed="false">
      <c r="A251" s="2" t="s">
        <v>2900</v>
      </c>
      <c r="B251" s="2" t="s">
        <v>3329</v>
      </c>
      <c r="C251" s="2" t="s">
        <v>3330</v>
      </c>
      <c r="D251" s="2" t="s">
        <v>3331</v>
      </c>
      <c r="E251" s="2" t="s">
        <v>3332</v>
      </c>
      <c r="F251" s="2" t="s">
        <v>139</v>
      </c>
      <c r="G251" s="2" t="s">
        <v>3333</v>
      </c>
      <c r="H251" s="2" t="s">
        <v>3334</v>
      </c>
      <c r="I251" s="2" t="s">
        <v>3255</v>
      </c>
      <c r="J251" s="2" t="s">
        <v>3006</v>
      </c>
      <c r="K251" s="2" t="s">
        <v>3335</v>
      </c>
      <c r="L251" s="2" t="s">
        <v>351</v>
      </c>
      <c r="M251" s="2" t="s">
        <v>3336</v>
      </c>
      <c r="N251" s="2" t="s">
        <v>144</v>
      </c>
      <c r="O251" s="2"/>
      <c r="P251" s="2"/>
      <c r="Q251" s="2"/>
      <c r="R251" s="2"/>
      <c r="S251" s="2" t="s">
        <v>3337</v>
      </c>
      <c r="T251" s="2" t="s">
        <v>3338</v>
      </c>
      <c r="U251" s="2" t="s">
        <v>3339</v>
      </c>
    </row>
    <row r="252" customFormat="false" ht="35.05" hidden="false" customHeight="false" outlineLevel="0" collapsed="false">
      <c r="A252" s="2" t="s">
        <v>2900</v>
      </c>
      <c r="B252" s="2" t="s">
        <v>3340</v>
      </c>
      <c r="C252" s="2" t="s">
        <v>3341</v>
      </c>
      <c r="D252" s="2" t="s">
        <v>3342</v>
      </c>
      <c r="E252" s="2" t="s">
        <v>3343</v>
      </c>
      <c r="F252" s="2" t="s">
        <v>139</v>
      </c>
      <c r="G252" s="2" t="s">
        <v>3344</v>
      </c>
      <c r="H252" s="2" t="s">
        <v>3345</v>
      </c>
      <c r="I252" s="2" t="s">
        <v>3255</v>
      </c>
      <c r="J252" s="2" t="s">
        <v>3006</v>
      </c>
      <c r="K252" s="2" t="s">
        <v>3340</v>
      </c>
      <c r="L252" s="2" t="s">
        <v>3346</v>
      </c>
      <c r="M252" s="2" t="s">
        <v>3347</v>
      </c>
      <c r="N252" s="2" t="s">
        <v>144</v>
      </c>
      <c r="O252" s="2"/>
      <c r="P252" s="2"/>
      <c r="Q252" s="2"/>
      <c r="R252" s="2"/>
      <c r="S252" s="2" t="s">
        <v>3348</v>
      </c>
      <c r="T252" s="2" t="s">
        <v>3349</v>
      </c>
      <c r="U252" s="2" t="s">
        <v>3350</v>
      </c>
    </row>
    <row r="253" customFormat="false" ht="46.25" hidden="false" customHeight="false" outlineLevel="0" collapsed="false">
      <c r="A253" s="2" t="s">
        <v>2900</v>
      </c>
      <c r="B253" s="2" t="s">
        <v>3351</v>
      </c>
      <c r="C253" s="2" t="s">
        <v>3352</v>
      </c>
      <c r="D253" s="2" t="s">
        <v>3353</v>
      </c>
      <c r="E253" s="2" t="s">
        <v>3354</v>
      </c>
      <c r="F253" s="2" t="s">
        <v>81</v>
      </c>
      <c r="G253" s="2" t="s">
        <v>3355</v>
      </c>
      <c r="H253" s="2" t="s">
        <v>3356</v>
      </c>
      <c r="I253" s="2" t="s">
        <v>3357</v>
      </c>
      <c r="J253" s="2" t="s">
        <v>3358</v>
      </c>
      <c r="K253" s="2" t="s">
        <v>3359</v>
      </c>
      <c r="L253" s="2" t="s">
        <v>3360</v>
      </c>
      <c r="M253" s="2" t="s">
        <v>3361</v>
      </c>
      <c r="N253" s="2" t="s">
        <v>144</v>
      </c>
      <c r="O253" s="2"/>
      <c r="P253" s="2" t="s">
        <v>3362</v>
      </c>
      <c r="Q253" s="2" t="s">
        <v>3363</v>
      </c>
      <c r="R253" s="2"/>
      <c r="S253" s="2" t="s">
        <v>3364</v>
      </c>
      <c r="T253" s="2" t="s">
        <v>3365</v>
      </c>
      <c r="U253" s="2" t="s">
        <v>3366</v>
      </c>
    </row>
    <row r="254" customFormat="false" ht="46.25" hidden="false" customHeight="false" outlineLevel="0" collapsed="false">
      <c r="A254" s="2" t="s">
        <v>2900</v>
      </c>
      <c r="B254" s="2" t="s">
        <v>3367</v>
      </c>
      <c r="C254" s="2" t="s">
        <v>3368</v>
      </c>
      <c r="D254" s="2" t="s">
        <v>3369</v>
      </c>
      <c r="E254" s="2" t="s">
        <v>3370</v>
      </c>
      <c r="F254" s="2" t="s">
        <v>347</v>
      </c>
      <c r="G254" s="2" t="s">
        <v>3371</v>
      </c>
      <c r="H254" s="2" t="s">
        <v>1260</v>
      </c>
      <c r="I254" s="2" t="s">
        <v>3372</v>
      </c>
      <c r="J254" s="2" t="s">
        <v>3373</v>
      </c>
      <c r="K254" s="2" t="s">
        <v>3367</v>
      </c>
      <c r="L254" s="2" t="s">
        <v>3374</v>
      </c>
      <c r="M254" s="2" t="s">
        <v>3375</v>
      </c>
      <c r="N254" s="2" t="s">
        <v>144</v>
      </c>
      <c r="O254" s="2" t="s">
        <v>3376</v>
      </c>
      <c r="P254" s="2" t="s">
        <v>3377</v>
      </c>
      <c r="Q254" s="2"/>
      <c r="R254" s="2"/>
      <c r="S254" s="2" t="s">
        <v>3378</v>
      </c>
      <c r="T254" s="2" t="s">
        <v>3379</v>
      </c>
      <c r="U254" s="2" t="s">
        <v>3380</v>
      </c>
    </row>
    <row r="255" customFormat="false" ht="35.05" hidden="false" customHeight="false" outlineLevel="0" collapsed="false">
      <c r="A255" s="2" t="s">
        <v>2900</v>
      </c>
      <c r="B255" s="2" t="s">
        <v>3381</v>
      </c>
      <c r="C255" s="2" t="s">
        <v>3382</v>
      </c>
      <c r="D255" s="2" t="s">
        <v>3383</v>
      </c>
      <c r="E255" s="2" t="s">
        <v>3384</v>
      </c>
      <c r="F255" s="2" t="s">
        <v>34</v>
      </c>
      <c r="G255" s="2" t="s">
        <v>3385</v>
      </c>
      <c r="H255" s="2" t="s">
        <v>335</v>
      </c>
      <c r="I255" s="2" t="s">
        <v>3309</v>
      </c>
      <c r="J255" s="2" t="s">
        <v>156</v>
      </c>
      <c r="K255" s="2" t="s">
        <v>3386</v>
      </c>
      <c r="L255" s="2" t="s">
        <v>3387</v>
      </c>
      <c r="M255" s="2" t="s">
        <v>3388</v>
      </c>
      <c r="N255" s="2" t="s">
        <v>144</v>
      </c>
      <c r="O255" s="2"/>
      <c r="P255" s="2" t="s">
        <v>3389</v>
      </c>
      <c r="Q255" s="2"/>
      <c r="R255" s="2"/>
      <c r="S255" s="2" t="s">
        <v>3390</v>
      </c>
      <c r="T255" s="2" t="s">
        <v>3391</v>
      </c>
      <c r="U255" s="2" t="s">
        <v>3392</v>
      </c>
    </row>
    <row r="256" customFormat="false" ht="35.05" hidden="false" customHeight="false" outlineLevel="0" collapsed="false">
      <c r="A256" s="2" t="s">
        <v>2900</v>
      </c>
      <c r="B256" s="2" t="s">
        <v>3381</v>
      </c>
      <c r="C256" s="2" t="s">
        <v>3393</v>
      </c>
      <c r="D256" s="2" t="s">
        <v>3394</v>
      </c>
      <c r="E256" s="2" t="s">
        <v>3395</v>
      </c>
      <c r="F256" s="2" t="s">
        <v>347</v>
      </c>
      <c r="G256" s="2" t="s">
        <v>3396</v>
      </c>
      <c r="H256" s="2" t="s">
        <v>1600</v>
      </c>
      <c r="I256" s="2" t="s">
        <v>3397</v>
      </c>
      <c r="J256" s="2" t="s">
        <v>3398</v>
      </c>
      <c r="K256" s="2" t="s">
        <v>3399</v>
      </c>
      <c r="L256" s="2" t="s">
        <v>3400</v>
      </c>
      <c r="M256" s="2" t="s">
        <v>3401</v>
      </c>
      <c r="N256" s="2" t="s">
        <v>144</v>
      </c>
      <c r="O256" s="2"/>
      <c r="P256" s="2" t="s">
        <v>3402</v>
      </c>
      <c r="Q256" s="2" t="s">
        <v>3403</v>
      </c>
      <c r="R256" s="2"/>
      <c r="S256" s="2" t="s">
        <v>3404</v>
      </c>
      <c r="T256" s="2" t="s">
        <v>3405</v>
      </c>
      <c r="U256" s="2" t="s">
        <v>3406</v>
      </c>
    </row>
    <row r="257" customFormat="false" ht="57.45" hidden="false" customHeight="false" outlineLevel="0" collapsed="false">
      <c r="A257" s="2" t="s">
        <v>2900</v>
      </c>
      <c r="B257" s="2" t="s">
        <v>3407</v>
      </c>
      <c r="C257" s="2" t="s">
        <v>3408</v>
      </c>
      <c r="D257" s="2" t="s">
        <v>3409</v>
      </c>
      <c r="E257" s="2" t="s">
        <v>3410</v>
      </c>
      <c r="F257" s="2" t="s">
        <v>347</v>
      </c>
      <c r="G257" s="2" t="s">
        <v>3411</v>
      </c>
      <c r="H257" s="2" t="s">
        <v>3412</v>
      </c>
      <c r="I257" s="2" t="s">
        <v>3413</v>
      </c>
      <c r="J257" s="2" t="s">
        <v>3414</v>
      </c>
      <c r="K257" s="2" t="s">
        <v>3415</v>
      </c>
      <c r="L257" s="2" t="s">
        <v>3416</v>
      </c>
      <c r="M257" s="2" t="s">
        <v>3417</v>
      </c>
      <c r="N257" s="2" t="s">
        <v>42</v>
      </c>
      <c r="O257" s="2"/>
      <c r="P257" s="2" t="s">
        <v>57</v>
      </c>
      <c r="Q257" s="2"/>
      <c r="R257" s="2"/>
      <c r="S257" s="2" t="s">
        <v>3418</v>
      </c>
      <c r="T257" s="2" t="s">
        <v>3419</v>
      </c>
      <c r="U257" s="2" t="s">
        <v>3420</v>
      </c>
    </row>
    <row r="258" customFormat="false" ht="46.25" hidden="false" customHeight="false" outlineLevel="0" collapsed="false">
      <c r="A258" s="2" t="s">
        <v>2900</v>
      </c>
      <c r="B258" s="2" t="s">
        <v>3421</v>
      </c>
      <c r="C258" s="2" t="s">
        <v>3422</v>
      </c>
      <c r="D258" s="2" t="s">
        <v>3423</v>
      </c>
      <c r="E258" s="2" t="s">
        <v>3424</v>
      </c>
      <c r="F258" s="2" t="s">
        <v>34</v>
      </c>
      <c r="G258" s="2" t="s">
        <v>3425</v>
      </c>
      <c r="H258" s="2" t="s">
        <v>3426</v>
      </c>
      <c r="I258" s="2" t="s">
        <v>3427</v>
      </c>
      <c r="J258" s="2" t="s">
        <v>3428</v>
      </c>
      <c r="K258" s="2" t="s">
        <v>3429</v>
      </c>
      <c r="L258" s="2" t="s">
        <v>3430</v>
      </c>
      <c r="M258" s="2" t="s">
        <v>3431</v>
      </c>
      <c r="N258" s="2" t="s">
        <v>42</v>
      </c>
      <c r="O258" s="2"/>
      <c r="P258" s="2" t="s">
        <v>3432</v>
      </c>
      <c r="Q258" s="2"/>
      <c r="R258" s="2"/>
      <c r="S258" s="2" t="s">
        <v>3433</v>
      </c>
      <c r="T258" s="2" t="s">
        <v>3434</v>
      </c>
      <c r="U258" s="2" t="s">
        <v>3435</v>
      </c>
    </row>
    <row r="259" customFormat="false" ht="35.05" hidden="false" customHeight="false" outlineLevel="0" collapsed="false">
      <c r="A259" s="2" t="s">
        <v>2900</v>
      </c>
      <c r="B259" s="2" t="s">
        <v>3421</v>
      </c>
      <c r="C259" s="2" t="s">
        <v>3436</v>
      </c>
      <c r="D259" s="2" t="s">
        <v>3437</v>
      </c>
      <c r="E259" s="2" t="s">
        <v>3438</v>
      </c>
      <c r="F259" s="2" t="s">
        <v>34</v>
      </c>
      <c r="G259" s="2" t="s">
        <v>3439</v>
      </c>
      <c r="H259" s="2" t="s">
        <v>3440</v>
      </c>
      <c r="I259" s="2" t="s">
        <v>3309</v>
      </c>
      <c r="J259" s="2" t="s">
        <v>38</v>
      </c>
      <c r="K259" s="2" t="s">
        <v>3441</v>
      </c>
      <c r="L259" s="2" t="s">
        <v>3442</v>
      </c>
      <c r="M259" s="2" t="s">
        <v>3443</v>
      </c>
      <c r="N259" s="2" t="s">
        <v>144</v>
      </c>
      <c r="O259" s="2"/>
      <c r="P259" s="2" t="s">
        <v>3444</v>
      </c>
      <c r="Q259" s="2"/>
      <c r="R259" s="2"/>
      <c r="S259" s="2" t="s">
        <v>3445</v>
      </c>
      <c r="T259" s="2" t="s">
        <v>3446</v>
      </c>
      <c r="U259" s="2" t="s">
        <v>3447</v>
      </c>
    </row>
    <row r="260" customFormat="false" ht="46.25" hidden="false" customHeight="false" outlineLevel="0" collapsed="false">
      <c r="A260" s="2" t="s">
        <v>2900</v>
      </c>
      <c r="B260" s="2" t="s">
        <v>3448</v>
      </c>
      <c r="C260" s="2" t="s">
        <v>3449</v>
      </c>
      <c r="D260" s="2" t="s">
        <v>3450</v>
      </c>
      <c r="E260" s="2" t="s">
        <v>3451</v>
      </c>
      <c r="F260" s="2" t="s">
        <v>139</v>
      </c>
      <c r="G260" s="2" t="s">
        <v>3452</v>
      </c>
      <c r="H260" s="2" t="s">
        <v>89</v>
      </c>
      <c r="I260" s="2" t="s">
        <v>183</v>
      </c>
      <c r="J260" s="2" t="s">
        <v>89</v>
      </c>
      <c r="K260" s="2" t="s">
        <v>3453</v>
      </c>
      <c r="L260" s="2" t="s">
        <v>3454</v>
      </c>
      <c r="M260" s="2" t="s">
        <v>3455</v>
      </c>
      <c r="N260" s="2" t="s">
        <v>89</v>
      </c>
      <c r="O260" s="2"/>
      <c r="P260" s="2" t="s">
        <v>57</v>
      </c>
      <c r="Q260" s="2"/>
      <c r="R260" s="2"/>
      <c r="S260" s="2" t="s">
        <v>3456</v>
      </c>
      <c r="T260" s="2" t="s">
        <v>3457</v>
      </c>
      <c r="U260" s="2" t="s">
        <v>3458</v>
      </c>
    </row>
    <row r="261" customFormat="false" ht="46.25" hidden="false" customHeight="false" outlineLevel="0" collapsed="false">
      <c r="A261" s="2" t="s">
        <v>2900</v>
      </c>
      <c r="B261" s="2" t="s">
        <v>2901</v>
      </c>
      <c r="C261" s="2" t="s">
        <v>3459</v>
      </c>
      <c r="D261" s="2" t="s">
        <v>3460</v>
      </c>
      <c r="E261" s="2" t="s">
        <v>3461</v>
      </c>
      <c r="F261" s="2" t="s">
        <v>193</v>
      </c>
      <c r="G261" s="2" t="s">
        <v>3462</v>
      </c>
      <c r="H261" s="2" t="s">
        <v>3463</v>
      </c>
      <c r="I261" s="2" t="s">
        <v>3464</v>
      </c>
      <c r="J261" s="2" t="s">
        <v>3465</v>
      </c>
      <c r="K261" s="2" t="s">
        <v>3466</v>
      </c>
      <c r="L261" s="2" t="s">
        <v>3467</v>
      </c>
      <c r="M261" s="2" t="s">
        <v>3468</v>
      </c>
      <c r="N261" s="2" t="s">
        <v>89</v>
      </c>
      <c r="O261" s="2"/>
      <c r="P261" s="2" t="s">
        <v>3469</v>
      </c>
      <c r="Q261" s="2"/>
      <c r="R261" s="2"/>
      <c r="S261" s="2" t="s">
        <v>3470</v>
      </c>
      <c r="T261" s="2" t="s">
        <v>3471</v>
      </c>
      <c r="U261" s="2" t="s">
        <v>3472</v>
      </c>
    </row>
    <row r="262" customFormat="false" ht="57.45" hidden="false" customHeight="false" outlineLevel="0" collapsed="false">
      <c r="A262" s="2" t="s">
        <v>2900</v>
      </c>
      <c r="B262" s="2" t="s">
        <v>2531</v>
      </c>
      <c r="C262" s="2" t="s">
        <v>3473</v>
      </c>
      <c r="D262" s="2" t="s">
        <v>3474</v>
      </c>
      <c r="E262" s="2" t="s">
        <v>3475</v>
      </c>
      <c r="F262" s="2" t="s">
        <v>1188</v>
      </c>
      <c r="G262" s="2" t="s">
        <v>3476</v>
      </c>
      <c r="H262" s="2" t="s">
        <v>89</v>
      </c>
      <c r="I262" s="2" t="s">
        <v>3477</v>
      </c>
      <c r="J262" s="2" t="s">
        <v>3478</v>
      </c>
      <c r="K262" s="2" t="s">
        <v>3479</v>
      </c>
      <c r="L262" s="2" t="s">
        <v>3480</v>
      </c>
      <c r="M262" s="2" t="s">
        <v>3481</v>
      </c>
      <c r="N262" s="2" t="s">
        <v>56</v>
      </c>
      <c r="O262" s="2"/>
      <c r="P262" s="2" t="s">
        <v>3482</v>
      </c>
      <c r="Q262" s="2"/>
      <c r="R262" s="2"/>
      <c r="S262" s="2" t="s">
        <v>3483</v>
      </c>
      <c r="T262" s="2" t="s">
        <v>3484</v>
      </c>
      <c r="U262" s="2" t="s">
        <v>3484</v>
      </c>
    </row>
    <row r="263" customFormat="false" ht="46.25" hidden="false" customHeight="false" outlineLevel="0" collapsed="false">
      <c r="A263" s="2" t="s">
        <v>3485</v>
      </c>
      <c r="B263" s="2" t="s">
        <v>3486</v>
      </c>
      <c r="C263" s="2" t="s">
        <v>3487</v>
      </c>
      <c r="D263" s="2" t="s">
        <v>3488</v>
      </c>
      <c r="E263" s="2" t="s">
        <v>3489</v>
      </c>
      <c r="F263" s="2" t="s">
        <v>34</v>
      </c>
      <c r="G263" s="2" t="s">
        <v>3490</v>
      </c>
      <c r="H263" s="2" t="s">
        <v>3491</v>
      </c>
      <c r="I263" s="2" t="s">
        <v>3492</v>
      </c>
      <c r="J263" s="2" t="s">
        <v>3493</v>
      </c>
      <c r="K263" s="2" t="s">
        <v>3494</v>
      </c>
      <c r="L263" s="2" t="s">
        <v>3495</v>
      </c>
      <c r="M263" s="2" t="s">
        <v>3496</v>
      </c>
      <c r="N263" s="2" t="s">
        <v>144</v>
      </c>
      <c r="O263" s="2" t="s">
        <v>58</v>
      </c>
      <c r="P263" s="2" t="s">
        <v>3497</v>
      </c>
      <c r="Q263" s="2" t="s">
        <v>3498</v>
      </c>
      <c r="R263" s="2"/>
      <c r="S263" s="2" t="s">
        <v>3499</v>
      </c>
      <c r="T263" s="2" t="s">
        <v>3500</v>
      </c>
      <c r="U263" s="2" t="s">
        <v>3501</v>
      </c>
    </row>
    <row r="264" customFormat="false" ht="57.45" hidden="false" customHeight="false" outlineLevel="0" collapsed="false">
      <c r="A264" s="2" t="s">
        <v>3485</v>
      </c>
      <c r="B264" s="2" t="s">
        <v>3486</v>
      </c>
      <c r="C264" s="2" t="s">
        <v>3502</v>
      </c>
      <c r="D264" s="2" t="s">
        <v>3503</v>
      </c>
      <c r="E264" s="2" t="s">
        <v>3504</v>
      </c>
      <c r="F264" s="2" t="s">
        <v>34</v>
      </c>
      <c r="G264" s="2" t="s">
        <v>3505</v>
      </c>
      <c r="H264" s="2" t="s">
        <v>3506</v>
      </c>
      <c r="I264" s="2" t="s">
        <v>3507</v>
      </c>
      <c r="J264" s="2" t="s">
        <v>3508</v>
      </c>
      <c r="K264" s="2" t="s">
        <v>3509</v>
      </c>
      <c r="L264" s="2" t="s">
        <v>3510</v>
      </c>
      <c r="M264" s="2" t="s">
        <v>3511</v>
      </c>
      <c r="N264" s="2" t="s">
        <v>144</v>
      </c>
      <c r="O264" s="2" t="s">
        <v>3512</v>
      </c>
      <c r="P264" s="2" t="s">
        <v>57</v>
      </c>
      <c r="Q264" s="2"/>
      <c r="R264" s="2"/>
      <c r="S264" s="2" t="s">
        <v>3513</v>
      </c>
      <c r="T264" s="2" t="s">
        <v>3514</v>
      </c>
      <c r="U264" s="2" t="s">
        <v>3515</v>
      </c>
    </row>
    <row r="265" customFormat="false" ht="68.65" hidden="false" customHeight="false" outlineLevel="0" collapsed="false">
      <c r="A265" s="2" t="s">
        <v>3485</v>
      </c>
      <c r="B265" s="2" t="s">
        <v>3486</v>
      </c>
      <c r="C265" s="2" t="s">
        <v>3486</v>
      </c>
      <c r="D265" s="2" t="s">
        <v>3503</v>
      </c>
      <c r="E265" s="2" t="s">
        <v>3516</v>
      </c>
      <c r="F265" s="2" t="s">
        <v>139</v>
      </c>
      <c r="G265" s="2" t="s">
        <v>3517</v>
      </c>
      <c r="H265" s="2" t="s">
        <v>3518</v>
      </c>
      <c r="I265" s="2" t="s">
        <v>3519</v>
      </c>
      <c r="J265" s="2" t="s">
        <v>1457</v>
      </c>
      <c r="K265" s="2" t="s">
        <v>3520</v>
      </c>
      <c r="L265" s="2" t="s">
        <v>3521</v>
      </c>
      <c r="M265" s="2" t="s">
        <v>3522</v>
      </c>
      <c r="N265" s="2" t="s">
        <v>56</v>
      </c>
      <c r="O265" s="2" t="s">
        <v>3523</v>
      </c>
      <c r="P265" s="2" t="s">
        <v>57</v>
      </c>
      <c r="Q265" s="2"/>
      <c r="R265" s="2"/>
      <c r="S265" s="2" t="s">
        <v>3524</v>
      </c>
      <c r="T265" s="2" t="s">
        <v>3525</v>
      </c>
      <c r="U265" s="2" t="s">
        <v>3526</v>
      </c>
    </row>
    <row r="266" customFormat="false" ht="35.05" hidden="false" customHeight="false" outlineLevel="0" collapsed="false">
      <c r="A266" s="2" t="s">
        <v>3485</v>
      </c>
      <c r="B266" s="2" t="s">
        <v>3486</v>
      </c>
      <c r="C266" s="2" t="s">
        <v>3527</v>
      </c>
      <c r="D266" s="2" t="s">
        <v>3503</v>
      </c>
      <c r="E266" s="2" t="s">
        <v>3528</v>
      </c>
      <c r="F266" s="2" t="s">
        <v>34</v>
      </c>
      <c r="G266" s="2" t="s">
        <v>3529</v>
      </c>
      <c r="H266" s="2" t="s">
        <v>3530</v>
      </c>
      <c r="I266" s="2" t="s">
        <v>3531</v>
      </c>
      <c r="J266" s="2" t="s">
        <v>2824</v>
      </c>
      <c r="K266" s="2" t="s">
        <v>3532</v>
      </c>
      <c r="L266" s="2" t="s">
        <v>3533</v>
      </c>
      <c r="M266" s="2" t="s">
        <v>3534</v>
      </c>
      <c r="N266" s="2" t="s">
        <v>42</v>
      </c>
      <c r="O266" s="2" t="s">
        <v>3535</v>
      </c>
      <c r="P266" s="2" t="s">
        <v>57</v>
      </c>
      <c r="Q266" s="2"/>
      <c r="R266" s="2"/>
      <c r="S266" s="2" t="s">
        <v>3536</v>
      </c>
      <c r="T266" s="2" t="s">
        <v>3537</v>
      </c>
      <c r="U266" s="2" t="s">
        <v>3538</v>
      </c>
    </row>
    <row r="267" customFormat="false" ht="68.65" hidden="false" customHeight="false" outlineLevel="0" collapsed="false">
      <c r="A267" s="2" t="s">
        <v>3485</v>
      </c>
      <c r="B267" s="2" t="s">
        <v>3539</v>
      </c>
      <c r="C267" s="2" t="s">
        <v>3540</v>
      </c>
      <c r="D267" s="2" t="s">
        <v>3541</v>
      </c>
      <c r="E267" s="2" t="s">
        <v>3542</v>
      </c>
      <c r="F267" s="2" t="s">
        <v>34</v>
      </c>
      <c r="G267" s="2" t="s">
        <v>3543</v>
      </c>
      <c r="H267" s="2" t="s">
        <v>3046</v>
      </c>
      <c r="I267" s="2" t="s">
        <v>1248</v>
      </c>
      <c r="J267" s="2" t="s">
        <v>1066</v>
      </c>
      <c r="K267" s="2" t="s">
        <v>3544</v>
      </c>
      <c r="L267" s="2" t="s">
        <v>3545</v>
      </c>
      <c r="M267" s="2" t="s">
        <v>3546</v>
      </c>
      <c r="N267" s="2" t="s">
        <v>144</v>
      </c>
      <c r="O267" s="2" t="s">
        <v>3547</v>
      </c>
      <c r="P267" s="2" t="s">
        <v>57</v>
      </c>
      <c r="Q267" s="2" t="s">
        <v>3548</v>
      </c>
      <c r="R267" s="2"/>
      <c r="S267" s="2" t="s">
        <v>3549</v>
      </c>
      <c r="T267" s="2" t="s">
        <v>3550</v>
      </c>
      <c r="U267" s="2" t="s">
        <v>3551</v>
      </c>
    </row>
    <row r="268" customFormat="false" ht="35.05" hidden="false" customHeight="false" outlineLevel="0" collapsed="false">
      <c r="A268" s="2" t="s">
        <v>3485</v>
      </c>
      <c r="B268" s="2" t="s">
        <v>3539</v>
      </c>
      <c r="C268" s="2" t="s">
        <v>3552</v>
      </c>
      <c r="D268" s="2" t="s">
        <v>3553</v>
      </c>
      <c r="E268" s="2" t="s">
        <v>3554</v>
      </c>
      <c r="F268" s="2" t="s">
        <v>34</v>
      </c>
      <c r="G268" s="2" t="s">
        <v>3555</v>
      </c>
      <c r="H268" s="2" t="s">
        <v>36</v>
      </c>
      <c r="I268" s="2" t="s">
        <v>3556</v>
      </c>
      <c r="J268" s="2" t="s">
        <v>38</v>
      </c>
      <c r="K268" s="2" t="s">
        <v>3557</v>
      </c>
      <c r="L268" s="2" t="s">
        <v>3558</v>
      </c>
      <c r="M268" s="2" t="s">
        <v>3559</v>
      </c>
      <c r="N268" s="2" t="s">
        <v>42</v>
      </c>
      <c r="O268" s="2" t="s">
        <v>3560</v>
      </c>
      <c r="P268" s="2" t="s">
        <v>3561</v>
      </c>
      <c r="Q268" s="2"/>
      <c r="R268" s="2"/>
      <c r="S268" s="2" t="s">
        <v>3562</v>
      </c>
      <c r="T268" s="2" t="s">
        <v>3563</v>
      </c>
      <c r="U268" s="2" t="s">
        <v>3564</v>
      </c>
    </row>
    <row r="269" customFormat="false" ht="46.25" hidden="false" customHeight="false" outlineLevel="0" collapsed="false">
      <c r="A269" s="2" t="s">
        <v>3485</v>
      </c>
      <c r="B269" s="2" t="s">
        <v>3539</v>
      </c>
      <c r="C269" s="2" t="s">
        <v>3565</v>
      </c>
      <c r="D269" s="2" t="s">
        <v>3566</v>
      </c>
      <c r="E269" s="2" t="s">
        <v>3567</v>
      </c>
      <c r="F269" s="2" t="s">
        <v>34</v>
      </c>
      <c r="G269" s="2" t="s">
        <v>3568</v>
      </c>
      <c r="H269" s="2" t="s">
        <v>3569</v>
      </c>
      <c r="I269" s="2" t="s">
        <v>3570</v>
      </c>
      <c r="J269" s="2" t="s">
        <v>38</v>
      </c>
      <c r="K269" s="2" t="s">
        <v>58</v>
      </c>
      <c r="L269" s="2" t="s">
        <v>3571</v>
      </c>
      <c r="M269" s="2" t="s">
        <v>3572</v>
      </c>
      <c r="N269" s="2" t="s">
        <v>144</v>
      </c>
      <c r="O269" s="2" t="s">
        <v>58</v>
      </c>
      <c r="P269" s="2" t="s">
        <v>57</v>
      </c>
      <c r="Q269" s="2"/>
      <c r="R269" s="2"/>
      <c r="S269" s="2" t="s">
        <v>3573</v>
      </c>
      <c r="T269" s="2" t="s">
        <v>3574</v>
      </c>
      <c r="U269" s="2" t="s">
        <v>3575</v>
      </c>
    </row>
    <row r="270" customFormat="false" ht="35.05" hidden="false" customHeight="false" outlineLevel="0" collapsed="false">
      <c r="A270" s="2" t="s">
        <v>3485</v>
      </c>
      <c r="B270" s="2" t="s">
        <v>3576</v>
      </c>
      <c r="C270" s="2" t="s">
        <v>3577</v>
      </c>
      <c r="D270" s="2" t="s">
        <v>3578</v>
      </c>
      <c r="E270" s="2" t="s">
        <v>3579</v>
      </c>
      <c r="F270" s="2" t="s">
        <v>34</v>
      </c>
      <c r="G270" s="2" t="s">
        <v>3580</v>
      </c>
      <c r="H270" s="2" t="s">
        <v>3412</v>
      </c>
      <c r="I270" s="2" t="s">
        <v>3581</v>
      </c>
      <c r="J270" s="2" t="s">
        <v>1470</v>
      </c>
      <c r="K270" s="2" t="s">
        <v>3582</v>
      </c>
      <c r="L270" s="2" t="s">
        <v>3545</v>
      </c>
      <c r="M270" s="2" t="s">
        <v>3583</v>
      </c>
      <c r="N270" s="2" t="s">
        <v>144</v>
      </c>
      <c r="O270" s="2" t="s">
        <v>58</v>
      </c>
      <c r="P270" s="2" t="s">
        <v>57</v>
      </c>
      <c r="Q270" s="2" t="s">
        <v>3584</v>
      </c>
      <c r="R270" s="2"/>
      <c r="S270" s="2" t="s">
        <v>3585</v>
      </c>
      <c r="T270" s="2" t="s">
        <v>3586</v>
      </c>
      <c r="U270" s="2" t="s">
        <v>3587</v>
      </c>
    </row>
    <row r="271" customFormat="false" ht="35.05" hidden="false" customHeight="false" outlineLevel="0" collapsed="false">
      <c r="A271" s="2" t="s">
        <v>3485</v>
      </c>
      <c r="B271" s="2" t="s">
        <v>3588</v>
      </c>
      <c r="C271" s="2" t="s">
        <v>3589</v>
      </c>
      <c r="D271" s="2" t="s">
        <v>3578</v>
      </c>
      <c r="E271" s="2" t="s">
        <v>3590</v>
      </c>
      <c r="F271" s="2" t="s">
        <v>34</v>
      </c>
      <c r="G271" s="2" t="s">
        <v>3580</v>
      </c>
      <c r="H271" s="2" t="s">
        <v>3412</v>
      </c>
      <c r="I271" s="2" t="s">
        <v>1248</v>
      </c>
      <c r="J271" s="2" t="s">
        <v>1470</v>
      </c>
      <c r="K271" s="2" t="s">
        <v>3591</v>
      </c>
      <c r="L271" s="2" t="s">
        <v>3545</v>
      </c>
      <c r="M271" s="2" t="s">
        <v>3592</v>
      </c>
      <c r="N271" s="2" t="s">
        <v>144</v>
      </c>
      <c r="O271" s="2" t="s">
        <v>58</v>
      </c>
      <c r="P271" s="2" t="s">
        <v>57</v>
      </c>
      <c r="Q271" s="2"/>
      <c r="R271" s="2"/>
      <c r="S271" s="2" t="s">
        <v>3593</v>
      </c>
      <c r="T271" s="2" t="s">
        <v>3594</v>
      </c>
      <c r="U271" s="2" t="s">
        <v>3595</v>
      </c>
    </row>
    <row r="272" customFormat="false" ht="46.25" hidden="false" customHeight="false" outlineLevel="0" collapsed="false">
      <c r="A272" s="2" t="s">
        <v>3485</v>
      </c>
      <c r="B272" s="2" t="s">
        <v>3596</v>
      </c>
      <c r="C272" s="2" t="s">
        <v>3597</v>
      </c>
      <c r="D272" s="2" t="s">
        <v>3598</v>
      </c>
      <c r="E272" s="2" t="s">
        <v>3599</v>
      </c>
      <c r="F272" s="2" t="s">
        <v>34</v>
      </c>
      <c r="G272" s="2" t="s">
        <v>3600</v>
      </c>
      <c r="H272" s="2" t="s">
        <v>3601</v>
      </c>
      <c r="I272" s="2" t="s">
        <v>3602</v>
      </c>
      <c r="J272" s="2" t="s">
        <v>877</v>
      </c>
      <c r="K272" s="2" t="s">
        <v>3603</v>
      </c>
      <c r="L272" s="2" t="s">
        <v>3604</v>
      </c>
      <c r="M272" s="2" t="s">
        <v>3605</v>
      </c>
      <c r="N272" s="2" t="s">
        <v>144</v>
      </c>
      <c r="O272" s="2" t="s">
        <v>3606</v>
      </c>
      <c r="P272" s="2" t="s">
        <v>57</v>
      </c>
      <c r="Q272" s="2"/>
      <c r="R272" s="2"/>
      <c r="S272" s="2" t="s">
        <v>3607</v>
      </c>
      <c r="T272" s="2" t="s">
        <v>3608</v>
      </c>
      <c r="U272" s="2" t="s">
        <v>3609</v>
      </c>
    </row>
    <row r="273" customFormat="false" ht="46.25" hidden="false" customHeight="false" outlineLevel="0" collapsed="false">
      <c r="A273" s="2" t="s">
        <v>3485</v>
      </c>
      <c r="B273" s="2" t="s">
        <v>3610</v>
      </c>
      <c r="C273" s="2" t="s">
        <v>3611</v>
      </c>
      <c r="D273" s="2" t="s">
        <v>3612</v>
      </c>
      <c r="E273" s="2" t="s">
        <v>3613</v>
      </c>
      <c r="F273" s="2" t="s">
        <v>347</v>
      </c>
      <c r="G273" s="2" t="s">
        <v>3614</v>
      </c>
      <c r="H273" s="2" t="s">
        <v>3615</v>
      </c>
      <c r="I273" s="2" t="s">
        <v>3616</v>
      </c>
      <c r="J273" s="2" t="s">
        <v>3617</v>
      </c>
      <c r="K273" s="2" t="s">
        <v>3618</v>
      </c>
      <c r="L273" s="2" t="s">
        <v>3619</v>
      </c>
      <c r="M273" s="2" t="s">
        <v>3620</v>
      </c>
      <c r="N273" s="2" t="s">
        <v>144</v>
      </c>
      <c r="O273" s="2" t="s">
        <v>3621</v>
      </c>
      <c r="P273" s="2" t="s">
        <v>57</v>
      </c>
      <c r="Q273" s="2"/>
      <c r="R273" s="2"/>
      <c r="S273" s="2" t="s">
        <v>3622</v>
      </c>
      <c r="T273" s="2" t="s">
        <v>3623</v>
      </c>
      <c r="U273" s="2" t="s">
        <v>3624</v>
      </c>
    </row>
    <row r="274" customFormat="false" ht="35.05" hidden="false" customHeight="false" outlineLevel="0" collapsed="false">
      <c r="A274" s="2" t="s">
        <v>3485</v>
      </c>
      <c r="B274" s="2" t="s">
        <v>3625</v>
      </c>
      <c r="C274" s="2" t="s">
        <v>3626</v>
      </c>
      <c r="D274" s="2" t="s">
        <v>3627</v>
      </c>
      <c r="E274" s="2" t="s">
        <v>3628</v>
      </c>
      <c r="F274" s="2" t="s">
        <v>34</v>
      </c>
      <c r="G274" s="2" t="s">
        <v>1768</v>
      </c>
      <c r="H274" s="2" t="s">
        <v>3629</v>
      </c>
      <c r="I274" s="2" t="s">
        <v>3630</v>
      </c>
      <c r="J274" s="2" t="s">
        <v>3631</v>
      </c>
      <c r="K274" s="2" t="s">
        <v>3632</v>
      </c>
      <c r="L274" s="2" t="s">
        <v>3633</v>
      </c>
      <c r="M274" s="2" t="s">
        <v>3634</v>
      </c>
      <c r="N274" s="2" t="s">
        <v>144</v>
      </c>
      <c r="O274" s="2" t="s">
        <v>3635</v>
      </c>
      <c r="P274" s="2" t="s">
        <v>57</v>
      </c>
      <c r="Q274" s="2" t="s">
        <v>3636</v>
      </c>
      <c r="R274" s="2"/>
      <c r="S274" s="2" t="s">
        <v>3637</v>
      </c>
      <c r="T274" s="2" t="s">
        <v>3638</v>
      </c>
      <c r="U274" s="2" t="s">
        <v>3639</v>
      </c>
    </row>
    <row r="275" customFormat="false" ht="57.45" hidden="false" customHeight="false" outlineLevel="0" collapsed="false">
      <c r="A275" s="2" t="s">
        <v>3485</v>
      </c>
      <c r="B275" s="2" t="s">
        <v>3625</v>
      </c>
      <c r="C275" s="2" t="s">
        <v>3640</v>
      </c>
      <c r="D275" s="2" t="s">
        <v>3641</v>
      </c>
      <c r="E275" s="2" t="s">
        <v>3642</v>
      </c>
      <c r="F275" s="2" t="s">
        <v>34</v>
      </c>
      <c r="G275" s="2" t="s">
        <v>3643</v>
      </c>
      <c r="H275" s="2" t="s">
        <v>58</v>
      </c>
      <c r="I275" s="2" t="s">
        <v>37</v>
      </c>
      <c r="J275" s="2" t="s">
        <v>3644</v>
      </c>
      <c r="K275" s="2" t="s">
        <v>3645</v>
      </c>
      <c r="L275" s="2" t="s">
        <v>3646</v>
      </c>
      <c r="M275" s="2" t="s">
        <v>3647</v>
      </c>
      <c r="N275" s="2" t="s">
        <v>144</v>
      </c>
      <c r="O275" s="2" t="s">
        <v>3648</v>
      </c>
      <c r="P275" s="2" t="s">
        <v>57</v>
      </c>
      <c r="Q275" s="2"/>
      <c r="R275" s="2"/>
      <c r="S275" s="2" t="s">
        <v>3649</v>
      </c>
      <c r="T275" s="2" t="s">
        <v>3650</v>
      </c>
      <c r="U275" s="2" t="s">
        <v>3651</v>
      </c>
    </row>
    <row r="276" customFormat="false" ht="68.65" hidden="false" customHeight="false" outlineLevel="0" collapsed="false">
      <c r="A276" s="2" t="s">
        <v>3485</v>
      </c>
      <c r="B276" s="2" t="s">
        <v>3625</v>
      </c>
      <c r="C276" s="2" t="s">
        <v>3652</v>
      </c>
      <c r="D276" s="2" t="s">
        <v>3641</v>
      </c>
      <c r="E276" s="2" t="s">
        <v>3653</v>
      </c>
      <c r="F276" s="2" t="s">
        <v>193</v>
      </c>
      <c r="G276" s="2" t="s">
        <v>3654</v>
      </c>
      <c r="H276" s="2" t="s">
        <v>3655</v>
      </c>
      <c r="I276" s="2" t="s">
        <v>3656</v>
      </c>
      <c r="J276" s="2" t="s">
        <v>3657</v>
      </c>
      <c r="K276" s="2" t="s">
        <v>3658</v>
      </c>
      <c r="L276" s="2" t="s">
        <v>3659</v>
      </c>
      <c r="M276" s="2" t="s">
        <v>3660</v>
      </c>
      <c r="N276" s="2" t="s">
        <v>89</v>
      </c>
      <c r="O276" s="2" t="s">
        <v>58</v>
      </c>
      <c r="P276" s="2" t="s">
        <v>3661</v>
      </c>
      <c r="Q276" s="2"/>
      <c r="R276" s="2"/>
      <c r="S276" s="2" t="s">
        <v>3662</v>
      </c>
      <c r="T276" s="2" t="s">
        <v>3663</v>
      </c>
      <c r="U276" s="2" t="s">
        <v>3664</v>
      </c>
    </row>
    <row r="277" customFormat="false" ht="46.25" hidden="false" customHeight="false" outlineLevel="0" collapsed="false">
      <c r="A277" s="2" t="s">
        <v>3485</v>
      </c>
      <c r="B277" s="2" t="s">
        <v>3625</v>
      </c>
      <c r="C277" s="2" t="s">
        <v>3665</v>
      </c>
      <c r="D277" s="2" t="s">
        <v>3666</v>
      </c>
      <c r="E277" s="2" t="s">
        <v>3667</v>
      </c>
      <c r="F277" s="2" t="s">
        <v>66</v>
      </c>
      <c r="G277" s="2" t="s">
        <v>3668</v>
      </c>
      <c r="H277" s="2" t="s">
        <v>57</v>
      </c>
      <c r="I277" s="2" t="s">
        <v>3669</v>
      </c>
      <c r="J277" s="2" t="s">
        <v>57</v>
      </c>
      <c r="K277" s="2" t="s">
        <v>3670</v>
      </c>
      <c r="L277" s="2" t="s">
        <v>3671</v>
      </c>
      <c r="M277" s="2" t="s">
        <v>3672</v>
      </c>
      <c r="N277" s="2" t="s">
        <v>144</v>
      </c>
      <c r="O277" s="2" t="s">
        <v>58</v>
      </c>
      <c r="P277" s="2" t="s">
        <v>3673</v>
      </c>
      <c r="Q277" s="2"/>
      <c r="R277" s="2"/>
      <c r="S277" s="2" t="s">
        <v>3674</v>
      </c>
      <c r="T277" s="2" t="s">
        <v>3675</v>
      </c>
      <c r="U277" s="2" t="s">
        <v>3676</v>
      </c>
    </row>
    <row r="278" customFormat="false" ht="57.45" hidden="false" customHeight="false" outlineLevel="0" collapsed="false">
      <c r="A278" s="2" t="s">
        <v>3485</v>
      </c>
      <c r="B278" s="2" t="s">
        <v>3625</v>
      </c>
      <c r="C278" s="2" t="s">
        <v>3677</v>
      </c>
      <c r="D278" s="2" t="s">
        <v>3666</v>
      </c>
      <c r="E278" s="2" t="s">
        <v>3678</v>
      </c>
      <c r="F278" s="2" t="s">
        <v>1309</v>
      </c>
      <c r="G278" s="2" t="s">
        <v>3679</v>
      </c>
      <c r="H278" s="2" t="s">
        <v>3680</v>
      </c>
      <c r="I278" s="2" t="s">
        <v>3681</v>
      </c>
      <c r="J278" s="2" t="s">
        <v>2824</v>
      </c>
      <c r="K278" s="2" t="s">
        <v>3682</v>
      </c>
      <c r="L278" s="2" t="s">
        <v>3683</v>
      </c>
      <c r="M278" s="2" t="s">
        <v>3684</v>
      </c>
      <c r="N278" s="2" t="s">
        <v>144</v>
      </c>
      <c r="O278" s="2" t="s">
        <v>3685</v>
      </c>
      <c r="P278" s="2" t="s">
        <v>3686</v>
      </c>
      <c r="Q278" s="2"/>
      <c r="R278" s="2"/>
      <c r="S278" s="2" t="s">
        <v>3687</v>
      </c>
      <c r="T278" s="2" t="s">
        <v>3688</v>
      </c>
      <c r="U278" s="2" t="s">
        <v>3689</v>
      </c>
    </row>
    <row r="279" customFormat="false" ht="57.45" hidden="false" customHeight="false" outlineLevel="0" collapsed="false">
      <c r="A279" s="2" t="s">
        <v>3485</v>
      </c>
      <c r="B279" s="2" t="s">
        <v>3690</v>
      </c>
      <c r="C279" s="2" t="s">
        <v>3691</v>
      </c>
      <c r="D279" s="2" t="s">
        <v>3692</v>
      </c>
      <c r="E279" s="2" t="s">
        <v>3693</v>
      </c>
      <c r="F279" s="2" t="s">
        <v>34</v>
      </c>
      <c r="G279" s="2" t="s">
        <v>3694</v>
      </c>
      <c r="H279" s="2" t="s">
        <v>3695</v>
      </c>
      <c r="I279" s="2" t="s">
        <v>3696</v>
      </c>
      <c r="J279" s="2" t="s">
        <v>3697</v>
      </c>
      <c r="K279" s="2" t="s">
        <v>3698</v>
      </c>
      <c r="L279" s="2" t="s">
        <v>3699</v>
      </c>
      <c r="M279" s="2" t="s">
        <v>3700</v>
      </c>
      <c r="N279" s="2" t="s">
        <v>42</v>
      </c>
      <c r="O279" s="2" t="s">
        <v>3701</v>
      </c>
      <c r="P279" s="2" t="s">
        <v>3702</v>
      </c>
      <c r="Q279" s="2"/>
      <c r="R279" s="2"/>
      <c r="S279" s="2" t="s">
        <v>3703</v>
      </c>
      <c r="T279" s="2" t="s">
        <v>3704</v>
      </c>
      <c r="U279" s="2" t="s">
        <v>3705</v>
      </c>
    </row>
    <row r="280" customFormat="false" ht="57.45" hidden="false" customHeight="false" outlineLevel="0" collapsed="false">
      <c r="A280" s="2" t="s">
        <v>3485</v>
      </c>
      <c r="B280" s="2" t="s">
        <v>3690</v>
      </c>
      <c r="C280" s="2" t="s">
        <v>3691</v>
      </c>
      <c r="D280" s="2" t="s">
        <v>3706</v>
      </c>
      <c r="E280" s="2" t="s">
        <v>3707</v>
      </c>
      <c r="F280" s="2" t="s">
        <v>34</v>
      </c>
      <c r="G280" s="2" t="s">
        <v>3708</v>
      </c>
      <c r="H280" s="2" t="s">
        <v>3709</v>
      </c>
      <c r="I280" s="2" t="s">
        <v>3710</v>
      </c>
      <c r="J280" s="2" t="s">
        <v>3711</v>
      </c>
      <c r="K280" s="2" t="s">
        <v>3698</v>
      </c>
      <c r="L280" s="2" t="s">
        <v>3712</v>
      </c>
      <c r="M280" s="2" t="s">
        <v>3713</v>
      </c>
      <c r="N280" s="2" t="s">
        <v>42</v>
      </c>
      <c r="O280" s="2" t="s">
        <v>3714</v>
      </c>
      <c r="P280" s="2" t="s">
        <v>3715</v>
      </c>
      <c r="Q280" s="2"/>
      <c r="R280" s="2"/>
      <c r="S280" s="2" t="s">
        <v>3716</v>
      </c>
      <c r="T280" s="2" t="s">
        <v>3717</v>
      </c>
      <c r="U280" s="2" t="s">
        <v>3718</v>
      </c>
    </row>
    <row r="281" customFormat="false" ht="57.45" hidden="false" customHeight="false" outlineLevel="0" collapsed="false">
      <c r="A281" s="2" t="s">
        <v>3485</v>
      </c>
      <c r="B281" s="2" t="s">
        <v>3690</v>
      </c>
      <c r="C281" s="2" t="s">
        <v>3719</v>
      </c>
      <c r="D281" s="2" t="s">
        <v>3706</v>
      </c>
      <c r="E281" s="2" t="s">
        <v>3720</v>
      </c>
      <c r="F281" s="2" t="s">
        <v>34</v>
      </c>
      <c r="G281" s="2" t="s">
        <v>3721</v>
      </c>
      <c r="H281" s="2" t="s">
        <v>3722</v>
      </c>
      <c r="I281" s="2" t="s">
        <v>3723</v>
      </c>
      <c r="J281" s="2" t="s">
        <v>2694</v>
      </c>
      <c r="K281" s="2" t="s">
        <v>3724</v>
      </c>
      <c r="L281" s="2" t="s">
        <v>3725</v>
      </c>
      <c r="M281" s="2" t="s">
        <v>3726</v>
      </c>
      <c r="N281" s="2" t="s">
        <v>56</v>
      </c>
      <c r="O281" s="2" t="s">
        <v>58</v>
      </c>
      <c r="P281" s="2" t="s">
        <v>57</v>
      </c>
      <c r="Q281" s="2"/>
      <c r="R281" s="2"/>
      <c r="S281" s="2" t="s">
        <v>3727</v>
      </c>
      <c r="T281" s="2" t="s">
        <v>3728</v>
      </c>
      <c r="U281" s="2" t="s">
        <v>3729</v>
      </c>
    </row>
    <row r="282" customFormat="false" ht="46.25" hidden="false" customHeight="false" outlineLevel="0" collapsed="false">
      <c r="A282" s="2" t="s">
        <v>3485</v>
      </c>
      <c r="B282" s="2" t="s">
        <v>3690</v>
      </c>
      <c r="C282" s="2" t="s">
        <v>3730</v>
      </c>
      <c r="D282" s="2" t="s">
        <v>3706</v>
      </c>
      <c r="E282" s="2" t="s">
        <v>3731</v>
      </c>
      <c r="F282" s="2" t="s">
        <v>34</v>
      </c>
      <c r="G282" s="2" t="s">
        <v>3732</v>
      </c>
      <c r="H282" s="2" t="s">
        <v>3733</v>
      </c>
      <c r="I282" s="2" t="s">
        <v>1122</v>
      </c>
      <c r="J282" s="2" t="s">
        <v>3734</v>
      </c>
      <c r="K282" s="2" t="s">
        <v>3735</v>
      </c>
      <c r="L282" s="2" t="s">
        <v>3736</v>
      </c>
      <c r="M282" s="2" t="s">
        <v>3737</v>
      </c>
      <c r="N282" s="2" t="s">
        <v>144</v>
      </c>
      <c r="O282" s="2" t="s">
        <v>3738</v>
      </c>
      <c r="P282" s="2" t="s">
        <v>57</v>
      </c>
      <c r="Q282" s="2"/>
      <c r="R282" s="2"/>
      <c r="S282" s="2" t="s">
        <v>3739</v>
      </c>
      <c r="T282" s="2" t="s">
        <v>3740</v>
      </c>
      <c r="U282" s="2" t="s">
        <v>3741</v>
      </c>
    </row>
    <row r="283" customFormat="false" ht="46.25" hidden="false" customHeight="false" outlineLevel="0" collapsed="false">
      <c r="A283" s="2" t="s">
        <v>3485</v>
      </c>
      <c r="B283" s="2" t="s">
        <v>3690</v>
      </c>
      <c r="C283" s="2" t="s">
        <v>3742</v>
      </c>
      <c r="D283" s="2" t="s">
        <v>3706</v>
      </c>
      <c r="E283" s="2" t="s">
        <v>3743</v>
      </c>
      <c r="F283" s="2" t="s">
        <v>139</v>
      </c>
      <c r="G283" s="2" t="s">
        <v>3744</v>
      </c>
      <c r="H283" s="2" t="s">
        <v>3745</v>
      </c>
      <c r="I283" s="2" t="s">
        <v>3746</v>
      </c>
      <c r="J283" s="2" t="s">
        <v>1457</v>
      </c>
      <c r="K283" s="2" t="s">
        <v>3735</v>
      </c>
      <c r="L283" s="2" t="s">
        <v>3747</v>
      </c>
      <c r="M283" s="2" t="s">
        <v>3748</v>
      </c>
      <c r="N283" s="2" t="s">
        <v>144</v>
      </c>
      <c r="O283" s="2" t="s">
        <v>58</v>
      </c>
      <c r="P283" s="2" t="s">
        <v>3749</v>
      </c>
      <c r="Q283" s="2"/>
      <c r="R283" s="2"/>
      <c r="S283" s="2" t="s">
        <v>3750</v>
      </c>
      <c r="T283" s="2" t="s">
        <v>3751</v>
      </c>
      <c r="U283" s="2" t="s">
        <v>3752</v>
      </c>
    </row>
    <row r="284" customFormat="false" ht="35.05" hidden="false" customHeight="false" outlineLevel="0" collapsed="false">
      <c r="A284" s="2" t="s">
        <v>3485</v>
      </c>
      <c r="B284" s="2" t="s">
        <v>3690</v>
      </c>
      <c r="C284" s="2" t="s">
        <v>3753</v>
      </c>
      <c r="D284" s="2" t="s">
        <v>3706</v>
      </c>
      <c r="E284" s="2" t="s">
        <v>3754</v>
      </c>
      <c r="F284" s="2" t="s">
        <v>34</v>
      </c>
      <c r="G284" s="2" t="s">
        <v>3755</v>
      </c>
      <c r="H284" s="2" t="s">
        <v>1516</v>
      </c>
      <c r="I284" s="2" t="s">
        <v>1236</v>
      </c>
      <c r="J284" s="2" t="s">
        <v>253</v>
      </c>
      <c r="K284" s="2" t="s">
        <v>3756</v>
      </c>
      <c r="L284" s="2" t="s">
        <v>3757</v>
      </c>
      <c r="M284" s="2" t="s">
        <v>3758</v>
      </c>
      <c r="N284" s="2" t="s">
        <v>144</v>
      </c>
      <c r="O284" s="2" t="s">
        <v>58</v>
      </c>
      <c r="P284" s="2" t="s">
        <v>57</v>
      </c>
      <c r="Q284" s="2"/>
      <c r="R284" s="2"/>
      <c r="S284" s="2" t="s">
        <v>3759</v>
      </c>
      <c r="T284" s="2" t="s">
        <v>3760</v>
      </c>
      <c r="U284" s="2" t="s">
        <v>3761</v>
      </c>
    </row>
    <row r="285" customFormat="false" ht="57.45" hidden="false" customHeight="false" outlineLevel="0" collapsed="false">
      <c r="A285" s="2" t="s">
        <v>3485</v>
      </c>
      <c r="B285" s="2" t="s">
        <v>3762</v>
      </c>
      <c r="C285" s="2" t="s">
        <v>3763</v>
      </c>
      <c r="D285" s="2" t="s">
        <v>3764</v>
      </c>
      <c r="E285" s="2" t="s">
        <v>3765</v>
      </c>
      <c r="F285" s="2" t="s">
        <v>34</v>
      </c>
      <c r="G285" s="2" t="s">
        <v>3766</v>
      </c>
      <c r="H285" s="2" t="s">
        <v>3767</v>
      </c>
      <c r="I285" s="2" t="s">
        <v>1248</v>
      </c>
      <c r="J285" s="2" t="s">
        <v>156</v>
      </c>
      <c r="K285" s="2" t="s">
        <v>3768</v>
      </c>
      <c r="L285" s="2" t="s">
        <v>3769</v>
      </c>
      <c r="M285" s="2" t="s">
        <v>3770</v>
      </c>
      <c r="N285" s="2" t="s">
        <v>42</v>
      </c>
      <c r="O285" s="2" t="s">
        <v>3771</v>
      </c>
      <c r="P285" s="2" t="s">
        <v>3772</v>
      </c>
      <c r="Q285" s="2"/>
      <c r="R285" s="2"/>
      <c r="S285" s="2" t="s">
        <v>3773</v>
      </c>
      <c r="T285" s="2" t="s">
        <v>3774</v>
      </c>
      <c r="U285" s="2" t="s">
        <v>3775</v>
      </c>
    </row>
    <row r="286" customFormat="false" ht="46.25" hidden="false" customHeight="false" outlineLevel="0" collapsed="false">
      <c r="A286" s="2" t="s">
        <v>3485</v>
      </c>
      <c r="B286" s="2" t="s">
        <v>3762</v>
      </c>
      <c r="C286" s="2" t="s">
        <v>3776</v>
      </c>
      <c r="D286" s="2" t="s">
        <v>3764</v>
      </c>
      <c r="E286" s="2" t="s">
        <v>3777</v>
      </c>
      <c r="F286" s="2" t="s">
        <v>34</v>
      </c>
      <c r="G286" s="2" t="s">
        <v>3778</v>
      </c>
      <c r="H286" s="2" t="s">
        <v>3779</v>
      </c>
      <c r="I286" s="2" t="s">
        <v>3780</v>
      </c>
      <c r="J286" s="2" t="s">
        <v>3781</v>
      </c>
      <c r="K286" s="2" t="s">
        <v>3782</v>
      </c>
      <c r="L286" s="2" t="s">
        <v>3783</v>
      </c>
      <c r="M286" s="2" t="s">
        <v>3784</v>
      </c>
      <c r="N286" s="2" t="s">
        <v>144</v>
      </c>
      <c r="O286" s="2" t="s">
        <v>58</v>
      </c>
      <c r="P286" s="2" t="s">
        <v>3785</v>
      </c>
      <c r="Q286" s="2" t="s">
        <v>3786</v>
      </c>
      <c r="R286" s="2"/>
      <c r="S286" s="2" t="s">
        <v>3787</v>
      </c>
      <c r="T286" s="2" t="s">
        <v>3788</v>
      </c>
      <c r="U286" s="2" t="s">
        <v>3789</v>
      </c>
    </row>
    <row r="287" customFormat="false" ht="57.45" hidden="false" customHeight="false" outlineLevel="0" collapsed="false">
      <c r="A287" s="2" t="s">
        <v>3485</v>
      </c>
      <c r="B287" s="2" t="s">
        <v>3762</v>
      </c>
      <c r="C287" s="2" t="s">
        <v>3790</v>
      </c>
      <c r="D287" s="2" t="s">
        <v>3764</v>
      </c>
      <c r="E287" s="2" t="s">
        <v>3791</v>
      </c>
      <c r="F287" s="2" t="s">
        <v>193</v>
      </c>
      <c r="G287" s="2" t="s">
        <v>3792</v>
      </c>
      <c r="H287" s="2" t="s">
        <v>210</v>
      </c>
      <c r="I287" s="2" t="s">
        <v>183</v>
      </c>
      <c r="J287" s="2" t="s">
        <v>3793</v>
      </c>
      <c r="K287" s="2" t="s">
        <v>3794</v>
      </c>
      <c r="L287" s="2" t="s">
        <v>3795</v>
      </c>
      <c r="M287" s="2" t="s">
        <v>3796</v>
      </c>
      <c r="N287" s="2" t="s">
        <v>89</v>
      </c>
      <c r="O287" s="2" t="s">
        <v>58</v>
      </c>
      <c r="P287" s="2" t="s">
        <v>3797</v>
      </c>
      <c r="Q287" s="2"/>
      <c r="R287" s="2"/>
      <c r="S287" s="2" t="s">
        <v>3798</v>
      </c>
      <c r="T287" s="2" t="s">
        <v>3799</v>
      </c>
      <c r="U287" s="2" t="s">
        <v>3800</v>
      </c>
    </row>
    <row r="288" customFormat="false" ht="68.65" hidden="false" customHeight="false" outlineLevel="0" collapsed="false">
      <c r="A288" s="2" t="s">
        <v>3485</v>
      </c>
      <c r="B288" s="2" t="s">
        <v>3762</v>
      </c>
      <c r="C288" s="2" t="s">
        <v>3801</v>
      </c>
      <c r="D288" s="2" t="s">
        <v>3764</v>
      </c>
      <c r="E288" s="2" t="s">
        <v>3802</v>
      </c>
      <c r="F288" s="2" t="s">
        <v>193</v>
      </c>
      <c r="G288" s="2" t="s">
        <v>2889</v>
      </c>
      <c r="H288" s="2" t="s">
        <v>3803</v>
      </c>
      <c r="I288" s="2" t="s">
        <v>183</v>
      </c>
      <c r="J288" s="2" t="s">
        <v>3804</v>
      </c>
      <c r="K288" s="2" t="s">
        <v>3805</v>
      </c>
      <c r="L288" s="2" t="s">
        <v>3806</v>
      </c>
      <c r="M288" s="2" t="s">
        <v>3807</v>
      </c>
      <c r="N288" s="2" t="s">
        <v>89</v>
      </c>
      <c r="O288" s="2" t="s">
        <v>58</v>
      </c>
      <c r="P288" s="2" t="s">
        <v>3808</v>
      </c>
      <c r="Q288" s="2"/>
      <c r="R288" s="2"/>
      <c r="S288" s="2" t="s">
        <v>3809</v>
      </c>
      <c r="T288" s="2" t="s">
        <v>3810</v>
      </c>
      <c r="U288" s="2" t="s">
        <v>3811</v>
      </c>
    </row>
    <row r="289" customFormat="false" ht="46.25" hidden="false" customHeight="false" outlineLevel="0" collapsed="false">
      <c r="A289" s="2" t="s">
        <v>3485</v>
      </c>
      <c r="B289" s="2" t="s">
        <v>3812</v>
      </c>
      <c r="C289" s="2" t="s">
        <v>3813</v>
      </c>
      <c r="D289" s="2" t="s">
        <v>3814</v>
      </c>
      <c r="E289" s="2" t="s">
        <v>3815</v>
      </c>
      <c r="F289" s="2" t="s">
        <v>34</v>
      </c>
      <c r="G289" s="2" t="s">
        <v>3816</v>
      </c>
      <c r="H289" s="2" t="s">
        <v>3817</v>
      </c>
      <c r="I289" s="2" t="s">
        <v>183</v>
      </c>
      <c r="J289" s="2" t="s">
        <v>3818</v>
      </c>
      <c r="K289" s="2" t="s">
        <v>3819</v>
      </c>
      <c r="L289" s="2" t="s">
        <v>3820</v>
      </c>
      <c r="M289" s="2" t="s">
        <v>3821</v>
      </c>
      <c r="N289" s="2" t="s">
        <v>144</v>
      </c>
      <c r="O289" s="2" t="s">
        <v>58</v>
      </c>
      <c r="P289" s="2" t="s">
        <v>57</v>
      </c>
      <c r="Q289" s="2" t="s">
        <v>3822</v>
      </c>
      <c r="R289" s="2"/>
      <c r="S289" s="2" t="s">
        <v>3823</v>
      </c>
      <c r="T289" s="2" t="s">
        <v>3824</v>
      </c>
      <c r="U289" s="2" t="s">
        <v>3825</v>
      </c>
    </row>
    <row r="290" customFormat="false" ht="46.25" hidden="false" customHeight="false" outlineLevel="0" collapsed="false">
      <c r="A290" s="2" t="s">
        <v>3485</v>
      </c>
      <c r="B290" s="2" t="s">
        <v>1422</v>
      </c>
      <c r="C290" s="2" t="s">
        <v>3826</v>
      </c>
      <c r="D290" s="2" t="s">
        <v>3827</v>
      </c>
      <c r="E290" s="2" t="s">
        <v>3828</v>
      </c>
      <c r="F290" s="2" t="s">
        <v>34</v>
      </c>
      <c r="G290" s="2" t="s">
        <v>3829</v>
      </c>
      <c r="H290" s="2" t="s">
        <v>3830</v>
      </c>
      <c r="I290" s="2" t="s">
        <v>1248</v>
      </c>
      <c r="J290" s="2" t="s">
        <v>1066</v>
      </c>
      <c r="K290" s="2" t="s">
        <v>3831</v>
      </c>
      <c r="L290" s="2" t="s">
        <v>3832</v>
      </c>
      <c r="M290" s="2" t="s">
        <v>3833</v>
      </c>
      <c r="N290" s="2" t="s">
        <v>56</v>
      </c>
      <c r="O290" s="2" t="s">
        <v>58</v>
      </c>
      <c r="P290" s="2" t="s">
        <v>3834</v>
      </c>
      <c r="Q290" s="2"/>
      <c r="R290" s="2"/>
      <c r="S290" s="2" t="s">
        <v>3835</v>
      </c>
      <c r="T290" s="2" t="s">
        <v>3836</v>
      </c>
      <c r="U290" s="2" t="s">
        <v>1436</v>
      </c>
    </row>
    <row r="291" customFormat="false" ht="46.25" hidden="false" customHeight="false" outlineLevel="0" collapsed="false">
      <c r="A291" s="2" t="s">
        <v>3485</v>
      </c>
      <c r="B291" s="2" t="s">
        <v>3837</v>
      </c>
      <c r="C291" s="2" t="s">
        <v>3838</v>
      </c>
      <c r="D291" s="2" t="s">
        <v>3827</v>
      </c>
      <c r="E291" s="2" t="s">
        <v>3839</v>
      </c>
      <c r="F291" s="2" t="s">
        <v>34</v>
      </c>
      <c r="G291" s="2" t="s">
        <v>3840</v>
      </c>
      <c r="H291" s="2" t="s">
        <v>3412</v>
      </c>
      <c r="I291" s="2" t="s">
        <v>183</v>
      </c>
      <c r="J291" s="2" t="s">
        <v>2384</v>
      </c>
      <c r="K291" s="2" t="s">
        <v>58</v>
      </c>
      <c r="L291" s="2" t="s">
        <v>3841</v>
      </c>
      <c r="M291" s="2" t="s">
        <v>3842</v>
      </c>
      <c r="N291" s="2" t="s">
        <v>42</v>
      </c>
      <c r="O291" s="2" t="s">
        <v>3843</v>
      </c>
      <c r="P291" s="2" t="s">
        <v>57</v>
      </c>
      <c r="Q291" s="2"/>
      <c r="R291" s="2"/>
      <c r="S291" s="2" t="s">
        <v>3844</v>
      </c>
      <c r="T291" s="2" t="s">
        <v>3845</v>
      </c>
      <c r="U291" s="2" t="s">
        <v>3846</v>
      </c>
    </row>
    <row r="292" customFormat="false" ht="35.05" hidden="false" customHeight="false" outlineLevel="0" collapsed="false">
      <c r="A292" s="2" t="s">
        <v>3485</v>
      </c>
      <c r="B292" s="2" t="s">
        <v>3847</v>
      </c>
      <c r="C292" s="2" t="s">
        <v>3848</v>
      </c>
      <c r="D292" s="2" t="s">
        <v>3849</v>
      </c>
      <c r="E292" s="2" t="s">
        <v>3850</v>
      </c>
      <c r="F292" s="2" t="s">
        <v>34</v>
      </c>
      <c r="G292" s="2" t="s">
        <v>1768</v>
      </c>
      <c r="H292" s="2" t="s">
        <v>3851</v>
      </c>
      <c r="I292" s="2" t="s">
        <v>3852</v>
      </c>
      <c r="J292" s="2" t="s">
        <v>38</v>
      </c>
      <c r="K292" s="2" t="s">
        <v>3853</v>
      </c>
      <c r="L292" s="2" t="s">
        <v>3854</v>
      </c>
      <c r="M292" s="2" t="s">
        <v>3855</v>
      </c>
      <c r="N292" s="2" t="s">
        <v>42</v>
      </c>
      <c r="O292" s="2" t="s">
        <v>58</v>
      </c>
      <c r="P292" s="2" t="s">
        <v>3856</v>
      </c>
      <c r="Q292" s="2" t="s">
        <v>3857</v>
      </c>
      <c r="R292" s="2"/>
      <c r="S292" s="2" t="s">
        <v>3858</v>
      </c>
      <c r="T292" s="2" t="s">
        <v>3859</v>
      </c>
      <c r="U292" s="2" t="s">
        <v>3860</v>
      </c>
    </row>
    <row r="293" customFormat="false" ht="46.25" hidden="false" customHeight="false" outlineLevel="0" collapsed="false">
      <c r="A293" s="2" t="s">
        <v>3485</v>
      </c>
      <c r="B293" s="2" t="s">
        <v>3861</v>
      </c>
      <c r="C293" s="2" t="s">
        <v>3862</v>
      </c>
      <c r="D293" s="2" t="s">
        <v>3863</v>
      </c>
      <c r="E293" s="2" t="s">
        <v>3864</v>
      </c>
      <c r="F293" s="2" t="s">
        <v>34</v>
      </c>
      <c r="G293" s="2" t="s">
        <v>3865</v>
      </c>
      <c r="H293" s="2" t="s">
        <v>3866</v>
      </c>
      <c r="I293" s="2" t="s">
        <v>3867</v>
      </c>
      <c r="J293" s="2" t="s">
        <v>3868</v>
      </c>
      <c r="K293" s="2" t="s">
        <v>3869</v>
      </c>
      <c r="L293" s="2" t="s">
        <v>3870</v>
      </c>
      <c r="M293" s="2" t="s">
        <v>3871</v>
      </c>
      <c r="N293" s="2" t="s">
        <v>56</v>
      </c>
      <c r="O293" s="2" t="s">
        <v>58</v>
      </c>
      <c r="P293" s="2" t="s">
        <v>3872</v>
      </c>
      <c r="Q293" s="2"/>
      <c r="R293" s="2"/>
      <c r="S293" s="2" t="s">
        <v>3873</v>
      </c>
      <c r="T293" s="2" t="s">
        <v>3874</v>
      </c>
      <c r="U293" s="2" t="s">
        <v>3875</v>
      </c>
    </row>
    <row r="294" customFormat="false" ht="46.25" hidden="false" customHeight="false" outlineLevel="0" collapsed="false">
      <c r="A294" s="2" t="s">
        <v>3485</v>
      </c>
      <c r="B294" s="2" t="s">
        <v>3876</v>
      </c>
      <c r="C294" s="2" t="s">
        <v>3877</v>
      </c>
      <c r="D294" s="2" t="s">
        <v>3878</v>
      </c>
      <c r="E294" s="2" t="s">
        <v>3879</v>
      </c>
      <c r="F294" s="2" t="s">
        <v>34</v>
      </c>
      <c r="G294" s="2" t="s">
        <v>3880</v>
      </c>
      <c r="H294" s="2" t="s">
        <v>58</v>
      </c>
      <c r="I294" s="2" t="s">
        <v>1236</v>
      </c>
      <c r="J294" s="2" t="s">
        <v>38</v>
      </c>
      <c r="K294" s="2" t="s">
        <v>3881</v>
      </c>
      <c r="L294" s="2" t="s">
        <v>3882</v>
      </c>
      <c r="M294" s="2" t="s">
        <v>3883</v>
      </c>
      <c r="N294" s="2" t="s">
        <v>144</v>
      </c>
      <c r="O294" s="2" t="s">
        <v>58</v>
      </c>
      <c r="P294" s="2" t="s">
        <v>57</v>
      </c>
      <c r="Q294" s="2" t="s">
        <v>3884</v>
      </c>
      <c r="R294" s="2"/>
      <c r="S294" s="2" t="s">
        <v>3885</v>
      </c>
      <c r="T294" s="2" t="s">
        <v>3886</v>
      </c>
      <c r="U294" s="2" t="s">
        <v>3887</v>
      </c>
    </row>
    <row r="295" customFormat="false" ht="35.05" hidden="false" customHeight="false" outlineLevel="0" collapsed="false">
      <c r="A295" s="2" t="s">
        <v>3485</v>
      </c>
      <c r="B295" s="2" t="s">
        <v>3876</v>
      </c>
      <c r="C295" s="2" t="s">
        <v>3888</v>
      </c>
      <c r="D295" s="2" t="s">
        <v>3878</v>
      </c>
      <c r="E295" s="2" t="s">
        <v>3889</v>
      </c>
      <c r="F295" s="2" t="s">
        <v>34</v>
      </c>
      <c r="G295" s="2" t="s">
        <v>3890</v>
      </c>
      <c r="H295" s="2" t="s">
        <v>3891</v>
      </c>
      <c r="I295" s="2" t="s">
        <v>1236</v>
      </c>
      <c r="J295" s="2" t="s">
        <v>197</v>
      </c>
      <c r="K295" s="2" t="s">
        <v>3892</v>
      </c>
      <c r="L295" s="2" t="s">
        <v>3893</v>
      </c>
      <c r="M295" s="2" t="s">
        <v>3894</v>
      </c>
      <c r="N295" s="2" t="s">
        <v>144</v>
      </c>
      <c r="O295" s="2" t="s">
        <v>58</v>
      </c>
      <c r="P295" s="2" t="s">
        <v>3895</v>
      </c>
      <c r="Q295" s="2"/>
      <c r="R295" s="2"/>
      <c r="S295" s="2" t="s">
        <v>3896</v>
      </c>
      <c r="T295" s="2" t="s">
        <v>3897</v>
      </c>
      <c r="U295" s="2" t="s">
        <v>3898</v>
      </c>
    </row>
    <row r="296" customFormat="false" ht="46.25" hidden="false" customHeight="false" outlineLevel="0" collapsed="false">
      <c r="A296" s="2" t="s">
        <v>3485</v>
      </c>
      <c r="B296" s="2" t="s">
        <v>3899</v>
      </c>
      <c r="C296" s="2" t="s">
        <v>3900</v>
      </c>
      <c r="D296" s="2" t="s">
        <v>3863</v>
      </c>
      <c r="E296" s="2" t="s">
        <v>3901</v>
      </c>
      <c r="F296" s="2" t="s">
        <v>34</v>
      </c>
      <c r="G296" s="2" t="s">
        <v>2641</v>
      </c>
      <c r="H296" s="2" t="s">
        <v>3902</v>
      </c>
      <c r="I296" s="2" t="s">
        <v>3903</v>
      </c>
      <c r="J296" s="2" t="s">
        <v>460</v>
      </c>
      <c r="K296" s="2" t="s">
        <v>3904</v>
      </c>
      <c r="L296" s="2" t="s">
        <v>3905</v>
      </c>
      <c r="M296" s="2" t="s">
        <v>3906</v>
      </c>
      <c r="N296" s="2" t="s">
        <v>42</v>
      </c>
      <c r="O296" s="2" t="s">
        <v>58</v>
      </c>
      <c r="P296" s="2" t="s">
        <v>57</v>
      </c>
      <c r="Q296" s="2"/>
      <c r="R296" s="2"/>
      <c r="S296" s="2" t="s">
        <v>3907</v>
      </c>
      <c r="T296" s="2" t="s">
        <v>3908</v>
      </c>
      <c r="U296" s="2" t="s">
        <v>3909</v>
      </c>
    </row>
    <row r="297" customFormat="false" ht="46.25" hidden="false" customHeight="false" outlineLevel="0" collapsed="false">
      <c r="A297" s="2" t="s">
        <v>3485</v>
      </c>
      <c r="B297" s="2" t="s">
        <v>3910</v>
      </c>
      <c r="C297" s="2" t="s">
        <v>3911</v>
      </c>
      <c r="D297" s="2" t="s">
        <v>3764</v>
      </c>
      <c r="E297" s="2" t="s">
        <v>3912</v>
      </c>
      <c r="F297" s="2" t="s">
        <v>34</v>
      </c>
      <c r="G297" s="2" t="s">
        <v>1768</v>
      </c>
      <c r="H297" s="2" t="s">
        <v>3032</v>
      </c>
      <c r="I297" s="2" t="s">
        <v>1236</v>
      </c>
      <c r="J297" s="2" t="s">
        <v>2824</v>
      </c>
      <c r="K297" s="2" t="s">
        <v>3913</v>
      </c>
      <c r="L297" s="2" t="s">
        <v>3914</v>
      </c>
      <c r="M297" s="2" t="s">
        <v>3915</v>
      </c>
      <c r="N297" s="2" t="s">
        <v>144</v>
      </c>
      <c r="O297" s="2" t="s">
        <v>58</v>
      </c>
      <c r="P297" s="2" t="s">
        <v>57</v>
      </c>
      <c r="Q297" s="2" t="s">
        <v>3916</v>
      </c>
      <c r="R297" s="2"/>
      <c r="S297" s="2" t="s">
        <v>3917</v>
      </c>
      <c r="T297" s="2" t="s">
        <v>3918</v>
      </c>
      <c r="U297" s="2" t="s">
        <v>3919</v>
      </c>
    </row>
    <row r="298" customFormat="false" ht="35.05" hidden="false" customHeight="false" outlineLevel="0" collapsed="false">
      <c r="A298" s="2" t="s">
        <v>3485</v>
      </c>
      <c r="B298" s="2" t="s">
        <v>3910</v>
      </c>
      <c r="C298" s="2" t="s">
        <v>3920</v>
      </c>
      <c r="D298" s="2" t="s">
        <v>3764</v>
      </c>
      <c r="E298" s="2" t="s">
        <v>3921</v>
      </c>
      <c r="F298" s="2" t="s">
        <v>34</v>
      </c>
      <c r="G298" s="2" t="s">
        <v>3922</v>
      </c>
      <c r="H298" s="2" t="s">
        <v>1412</v>
      </c>
      <c r="I298" s="2" t="s">
        <v>1236</v>
      </c>
      <c r="J298" s="2" t="s">
        <v>588</v>
      </c>
      <c r="K298" s="2" t="s">
        <v>3923</v>
      </c>
      <c r="L298" s="2" t="s">
        <v>3924</v>
      </c>
      <c r="M298" s="2" t="s">
        <v>3925</v>
      </c>
      <c r="N298" s="2" t="s">
        <v>144</v>
      </c>
      <c r="O298" s="2" t="s">
        <v>58</v>
      </c>
      <c r="P298" s="2" t="s">
        <v>3926</v>
      </c>
      <c r="Q298" s="2"/>
      <c r="R298" s="2"/>
      <c r="S298" s="2" t="s">
        <v>3927</v>
      </c>
      <c r="T298" s="2" t="s">
        <v>3928</v>
      </c>
      <c r="U298" s="2" t="s">
        <v>3929</v>
      </c>
    </row>
    <row r="299" customFormat="false" ht="46.25" hidden="false" customHeight="false" outlineLevel="0" collapsed="false">
      <c r="A299" s="2" t="s">
        <v>3485</v>
      </c>
      <c r="B299" s="2" t="s">
        <v>3930</v>
      </c>
      <c r="C299" s="2" t="s">
        <v>3931</v>
      </c>
      <c r="D299" s="2" t="s">
        <v>3764</v>
      </c>
      <c r="E299" s="2" t="s">
        <v>3932</v>
      </c>
      <c r="F299" s="2" t="s">
        <v>34</v>
      </c>
      <c r="G299" s="2" t="s">
        <v>3933</v>
      </c>
      <c r="H299" s="2" t="s">
        <v>3934</v>
      </c>
      <c r="I299" s="2" t="s">
        <v>3935</v>
      </c>
      <c r="J299" s="2" t="s">
        <v>225</v>
      </c>
      <c r="K299" s="2" t="s">
        <v>3936</v>
      </c>
      <c r="L299" s="2" t="s">
        <v>3937</v>
      </c>
      <c r="M299" s="2" t="s">
        <v>3938</v>
      </c>
      <c r="N299" s="2" t="s">
        <v>144</v>
      </c>
      <c r="O299" s="2" t="s">
        <v>3939</v>
      </c>
      <c r="P299" s="2" t="s">
        <v>57</v>
      </c>
      <c r="Q299" s="2" t="s">
        <v>3940</v>
      </c>
      <c r="R299" s="2"/>
      <c r="S299" s="2" t="s">
        <v>3941</v>
      </c>
      <c r="T299" s="2" t="s">
        <v>3942</v>
      </c>
      <c r="U299" s="2" t="s">
        <v>3943</v>
      </c>
    </row>
    <row r="300" customFormat="false" ht="68.65" hidden="false" customHeight="false" outlineLevel="0" collapsed="false">
      <c r="A300" s="2" t="s">
        <v>3485</v>
      </c>
      <c r="B300" s="2" t="s">
        <v>3944</v>
      </c>
      <c r="C300" s="2" t="s">
        <v>3945</v>
      </c>
      <c r="D300" s="2" t="s">
        <v>3827</v>
      </c>
      <c r="E300" s="2" t="s">
        <v>3946</v>
      </c>
      <c r="F300" s="2" t="s">
        <v>34</v>
      </c>
      <c r="G300" s="2" t="s">
        <v>1768</v>
      </c>
      <c r="H300" s="2" t="s">
        <v>1516</v>
      </c>
      <c r="I300" s="2" t="s">
        <v>3947</v>
      </c>
      <c r="J300" s="2" t="s">
        <v>225</v>
      </c>
      <c r="K300" s="2" t="s">
        <v>3948</v>
      </c>
      <c r="L300" s="2" t="s">
        <v>3949</v>
      </c>
      <c r="M300" s="2" t="s">
        <v>3950</v>
      </c>
      <c r="N300" s="2" t="s">
        <v>144</v>
      </c>
      <c r="O300" s="2" t="s">
        <v>3951</v>
      </c>
      <c r="P300" s="2" t="s">
        <v>57</v>
      </c>
      <c r="Q300" s="2"/>
      <c r="R300" s="2"/>
      <c r="S300" s="2" t="s">
        <v>3952</v>
      </c>
      <c r="T300" s="2" t="s">
        <v>3953</v>
      </c>
      <c r="U300" s="2" t="s">
        <v>3954</v>
      </c>
    </row>
    <row r="301" customFormat="false" ht="46.25" hidden="false" customHeight="false" outlineLevel="0" collapsed="false">
      <c r="A301" s="2" t="s">
        <v>3485</v>
      </c>
      <c r="B301" s="2" t="s">
        <v>3955</v>
      </c>
      <c r="C301" s="2" t="s">
        <v>3956</v>
      </c>
      <c r="D301" s="2" t="s">
        <v>3827</v>
      </c>
      <c r="E301" s="2" t="s">
        <v>3957</v>
      </c>
      <c r="F301" s="2" t="s">
        <v>66</v>
      </c>
      <c r="G301" s="2" t="s">
        <v>3958</v>
      </c>
      <c r="H301" s="2" t="s">
        <v>57</v>
      </c>
      <c r="I301" s="2" t="s">
        <v>3959</v>
      </c>
      <c r="J301" s="2" t="s">
        <v>3960</v>
      </c>
      <c r="K301" s="2" t="s">
        <v>3961</v>
      </c>
      <c r="L301" s="2" t="s">
        <v>3962</v>
      </c>
      <c r="M301" s="2" t="s">
        <v>3963</v>
      </c>
      <c r="N301" s="2" t="s">
        <v>144</v>
      </c>
      <c r="O301" s="2" t="s">
        <v>58</v>
      </c>
      <c r="P301" s="2" t="s">
        <v>57</v>
      </c>
      <c r="Q301" s="2"/>
      <c r="R301" s="2"/>
      <c r="S301" s="2" t="s">
        <v>3964</v>
      </c>
      <c r="T301" s="2" t="s">
        <v>3965</v>
      </c>
      <c r="U301" s="2" t="s">
        <v>3966</v>
      </c>
    </row>
    <row r="302" customFormat="false" ht="46.25" hidden="false" customHeight="false" outlineLevel="0" collapsed="false">
      <c r="A302" s="2" t="s">
        <v>3485</v>
      </c>
      <c r="B302" s="2" t="s">
        <v>3967</v>
      </c>
      <c r="C302" s="2" t="s">
        <v>3968</v>
      </c>
      <c r="D302" s="2" t="s">
        <v>3827</v>
      </c>
      <c r="E302" s="2" t="s">
        <v>3969</v>
      </c>
      <c r="F302" s="2" t="s">
        <v>139</v>
      </c>
      <c r="G302" s="2" t="s">
        <v>3970</v>
      </c>
      <c r="H302" s="2" t="s">
        <v>3971</v>
      </c>
      <c r="I302" s="2" t="s">
        <v>3972</v>
      </c>
      <c r="J302" s="2" t="s">
        <v>1457</v>
      </c>
      <c r="K302" s="2" t="s">
        <v>3973</v>
      </c>
      <c r="L302" s="2" t="s">
        <v>3974</v>
      </c>
      <c r="M302" s="2" t="s">
        <v>3975</v>
      </c>
      <c r="N302" s="2" t="s">
        <v>144</v>
      </c>
      <c r="O302" s="2" t="s">
        <v>58</v>
      </c>
      <c r="P302" s="2" t="s">
        <v>57</v>
      </c>
      <c r="Q302" s="2"/>
      <c r="R302" s="2"/>
      <c r="S302" s="2" t="s">
        <v>3976</v>
      </c>
      <c r="T302" s="2" t="s">
        <v>3977</v>
      </c>
      <c r="U302" s="2" t="s">
        <v>3978</v>
      </c>
    </row>
    <row r="303" customFormat="false" ht="46.25" hidden="false" customHeight="false" outlineLevel="0" collapsed="false">
      <c r="A303" s="2" t="s">
        <v>3485</v>
      </c>
      <c r="B303" s="2" t="s">
        <v>3979</v>
      </c>
      <c r="C303" s="2" t="s">
        <v>3980</v>
      </c>
      <c r="D303" s="2" t="s">
        <v>3827</v>
      </c>
      <c r="E303" s="2" t="s">
        <v>3981</v>
      </c>
      <c r="F303" s="2" t="s">
        <v>139</v>
      </c>
      <c r="G303" s="2" t="s">
        <v>3982</v>
      </c>
      <c r="H303" s="2" t="s">
        <v>3983</v>
      </c>
      <c r="I303" s="2" t="s">
        <v>3984</v>
      </c>
      <c r="J303" s="2" t="s">
        <v>1457</v>
      </c>
      <c r="K303" s="2" t="s">
        <v>3985</v>
      </c>
      <c r="L303" s="2" t="s">
        <v>3986</v>
      </c>
      <c r="M303" s="2" t="s">
        <v>3987</v>
      </c>
      <c r="N303" s="2" t="s">
        <v>144</v>
      </c>
      <c r="O303" s="2" t="s">
        <v>58</v>
      </c>
      <c r="P303" s="2" t="s">
        <v>57</v>
      </c>
      <c r="Q303" s="2"/>
      <c r="R303" s="2"/>
      <c r="S303" s="2" t="s">
        <v>3988</v>
      </c>
      <c r="T303" s="2" t="s">
        <v>3989</v>
      </c>
      <c r="U303" s="2" t="s">
        <v>3990</v>
      </c>
    </row>
    <row r="304" customFormat="false" ht="35.05" hidden="false" customHeight="false" outlineLevel="0" collapsed="false">
      <c r="A304" s="2" t="s">
        <v>3485</v>
      </c>
      <c r="B304" s="2" t="s">
        <v>3991</v>
      </c>
      <c r="C304" s="2" t="s">
        <v>3992</v>
      </c>
      <c r="D304" s="2" t="s">
        <v>3993</v>
      </c>
      <c r="E304" s="2" t="s">
        <v>3994</v>
      </c>
      <c r="F304" s="2" t="s">
        <v>66</v>
      </c>
      <c r="G304" s="2" t="s">
        <v>3995</v>
      </c>
      <c r="H304" s="2" t="s">
        <v>57</v>
      </c>
      <c r="I304" s="2" t="s">
        <v>3996</v>
      </c>
      <c r="J304" s="2" t="s">
        <v>3997</v>
      </c>
      <c r="K304" s="2" t="s">
        <v>3998</v>
      </c>
      <c r="L304" s="2" t="s">
        <v>3999</v>
      </c>
      <c r="M304" s="2" t="s">
        <v>4000</v>
      </c>
      <c r="N304" s="2" t="s">
        <v>144</v>
      </c>
      <c r="O304" s="2" t="s">
        <v>58</v>
      </c>
      <c r="P304" s="2" t="s">
        <v>4001</v>
      </c>
      <c r="Q304" s="2"/>
      <c r="R304" s="2"/>
      <c r="S304" s="2" t="s">
        <v>4002</v>
      </c>
      <c r="T304" s="2" t="s">
        <v>4003</v>
      </c>
      <c r="U304" s="2" t="s">
        <v>4004</v>
      </c>
    </row>
    <row r="305" customFormat="false" ht="35.05" hidden="false" customHeight="false" outlineLevel="0" collapsed="false">
      <c r="A305" s="2" t="s">
        <v>3485</v>
      </c>
      <c r="B305" s="2" t="s">
        <v>3539</v>
      </c>
      <c r="C305" s="2" t="s">
        <v>4005</v>
      </c>
      <c r="D305" s="2" t="s">
        <v>4006</v>
      </c>
      <c r="E305" s="2" t="s">
        <v>4007</v>
      </c>
      <c r="F305" s="2" t="s">
        <v>720</v>
      </c>
      <c r="G305" s="2" t="s">
        <v>4008</v>
      </c>
      <c r="H305" s="2" t="s">
        <v>89</v>
      </c>
      <c r="I305" s="2" t="s">
        <v>4009</v>
      </c>
      <c r="J305" s="2" t="s">
        <v>4010</v>
      </c>
      <c r="K305" s="2" t="s">
        <v>4011</v>
      </c>
      <c r="L305" s="2" t="s">
        <v>4012</v>
      </c>
      <c r="M305" s="2" t="s">
        <v>4013</v>
      </c>
      <c r="N305" s="2" t="s">
        <v>144</v>
      </c>
      <c r="O305" s="2" t="s">
        <v>58</v>
      </c>
      <c r="P305" s="2" t="s">
        <v>57</v>
      </c>
      <c r="Q305" s="2"/>
      <c r="R305" s="2"/>
      <c r="S305" s="2" t="s">
        <v>4014</v>
      </c>
      <c r="T305" s="2" t="s">
        <v>4015</v>
      </c>
      <c r="U305" s="2" t="s">
        <v>4016</v>
      </c>
    </row>
    <row r="306" customFormat="false" ht="68.65" hidden="false" customHeight="false" outlineLevel="0" collapsed="false">
      <c r="A306" s="2" t="s">
        <v>3485</v>
      </c>
      <c r="B306" s="2" t="s">
        <v>4017</v>
      </c>
      <c r="C306" s="2" t="s">
        <v>4018</v>
      </c>
      <c r="D306" s="2" t="s">
        <v>3827</v>
      </c>
      <c r="E306" s="2" t="s">
        <v>4019</v>
      </c>
      <c r="F306" s="2" t="s">
        <v>193</v>
      </c>
      <c r="G306" s="2" t="s">
        <v>4020</v>
      </c>
      <c r="H306" s="2" t="s">
        <v>4021</v>
      </c>
      <c r="I306" s="2" t="s">
        <v>183</v>
      </c>
      <c r="J306" s="2" t="s">
        <v>4022</v>
      </c>
      <c r="K306" s="2" t="s">
        <v>4023</v>
      </c>
      <c r="L306" s="2" t="s">
        <v>4024</v>
      </c>
      <c r="M306" s="2" t="s">
        <v>4025</v>
      </c>
      <c r="N306" s="2" t="s">
        <v>89</v>
      </c>
      <c r="O306" s="2" t="s">
        <v>58</v>
      </c>
      <c r="P306" s="2" t="s">
        <v>4026</v>
      </c>
      <c r="Q306" s="2"/>
      <c r="R306" s="2"/>
      <c r="S306" s="2" t="s">
        <v>4027</v>
      </c>
      <c r="T306" s="2" t="s">
        <v>4028</v>
      </c>
      <c r="U306" s="2" t="s">
        <v>4029</v>
      </c>
    </row>
    <row r="307" customFormat="false" ht="68.65" hidden="false" customHeight="false" outlineLevel="0" collapsed="false">
      <c r="A307" s="2" t="s">
        <v>3485</v>
      </c>
      <c r="B307" s="2" t="s">
        <v>4030</v>
      </c>
      <c r="C307" s="2" t="s">
        <v>4031</v>
      </c>
      <c r="D307" s="2" t="s">
        <v>3827</v>
      </c>
      <c r="E307" s="2" t="s">
        <v>4032</v>
      </c>
      <c r="F307" s="2" t="s">
        <v>193</v>
      </c>
      <c r="G307" s="2" t="s">
        <v>4033</v>
      </c>
      <c r="H307" s="2" t="s">
        <v>4034</v>
      </c>
      <c r="I307" s="2" t="s">
        <v>1517</v>
      </c>
      <c r="J307" s="2" t="s">
        <v>4035</v>
      </c>
      <c r="K307" s="2" t="s">
        <v>4036</v>
      </c>
      <c r="L307" s="2" t="s">
        <v>4037</v>
      </c>
      <c r="M307" s="2" t="s">
        <v>4038</v>
      </c>
      <c r="N307" s="2" t="s">
        <v>89</v>
      </c>
      <c r="O307" s="2" t="s">
        <v>58</v>
      </c>
      <c r="P307" s="2" t="s">
        <v>4039</v>
      </c>
      <c r="Q307" s="2"/>
      <c r="R307" s="2"/>
      <c r="S307" s="2" t="s">
        <v>4040</v>
      </c>
      <c r="T307" s="2" t="s">
        <v>4041</v>
      </c>
      <c r="U307" s="2" t="s">
        <v>4042</v>
      </c>
    </row>
    <row r="308" customFormat="false" ht="102.2" hidden="false" customHeight="false" outlineLevel="0" collapsed="false">
      <c r="A308" s="2" t="s">
        <v>4043</v>
      </c>
      <c r="B308" s="2" t="s">
        <v>2252</v>
      </c>
      <c r="C308" s="2" t="s">
        <v>4044</v>
      </c>
      <c r="D308" s="2" t="s">
        <v>4045</v>
      </c>
      <c r="E308" s="2" t="s">
        <v>4046</v>
      </c>
      <c r="F308" s="2" t="s">
        <v>280</v>
      </c>
      <c r="G308" s="2" t="s">
        <v>4047</v>
      </c>
      <c r="H308" s="2" t="s">
        <v>600</v>
      </c>
      <c r="I308" s="2" t="s">
        <v>4048</v>
      </c>
      <c r="J308" s="2" t="s">
        <v>4049</v>
      </c>
      <c r="K308" s="2" t="s">
        <v>4050</v>
      </c>
      <c r="L308" s="2" t="s">
        <v>4051</v>
      </c>
      <c r="M308" s="2" t="s">
        <v>4052</v>
      </c>
      <c r="N308" s="2" t="s">
        <v>144</v>
      </c>
      <c r="O308" s="2" t="s">
        <v>4053</v>
      </c>
      <c r="P308" s="2" t="s">
        <v>4054</v>
      </c>
      <c r="Q308" s="2" t="s">
        <v>4055</v>
      </c>
      <c r="R308" s="2" t="s">
        <v>57</v>
      </c>
      <c r="S308" s="2" t="s">
        <v>2236</v>
      </c>
      <c r="T308" s="2" t="s">
        <v>2237</v>
      </c>
      <c r="U308" s="2" t="s">
        <v>4056</v>
      </c>
    </row>
    <row r="309" customFormat="false" ht="79.85" hidden="false" customHeight="false" outlineLevel="0" collapsed="false">
      <c r="A309" s="2" t="s">
        <v>4043</v>
      </c>
      <c r="B309" s="2" t="s">
        <v>2252</v>
      </c>
      <c r="C309" s="2" t="s">
        <v>4057</v>
      </c>
      <c r="D309" s="2" t="s">
        <v>2239</v>
      </c>
      <c r="E309" s="2" t="s">
        <v>4058</v>
      </c>
      <c r="F309" s="2" t="s">
        <v>280</v>
      </c>
      <c r="G309" s="2" t="s">
        <v>4059</v>
      </c>
      <c r="H309" s="2" t="s">
        <v>600</v>
      </c>
      <c r="I309" s="2" t="s">
        <v>4060</v>
      </c>
      <c r="J309" s="2" t="s">
        <v>4061</v>
      </c>
      <c r="K309" s="2" t="s">
        <v>4062</v>
      </c>
      <c r="L309" s="2" t="s">
        <v>4063</v>
      </c>
      <c r="M309" s="2" t="s">
        <v>4064</v>
      </c>
      <c r="N309" s="2" t="s">
        <v>144</v>
      </c>
      <c r="O309" s="2" t="s">
        <v>4053</v>
      </c>
      <c r="P309" s="2" t="s">
        <v>4065</v>
      </c>
      <c r="Q309" s="2" t="s">
        <v>57</v>
      </c>
      <c r="R309" s="2" t="s">
        <v>57</v>
      </c>
      <c r="S309" s="2" t="s">
        <v>2249</v>
      </c>
      <c r="T309" s="2" t="s">
        <v>2250</v>
      </c>
      <c r="U309" s="2" t="s">
        <v>4066</v>
      </c>
    </row>
    <row r="310" customFormat="false" ht="79.85" hidden="false" customHeight="false" outlineLevel="0" collapsed="false">
      <c r="A310" s="2" t="s">
        <v>4043</v>
      </c>
      <c r="B310" s="2" t="s">
        <v>2252</v>
      </c>
      <c r="C310" s="2" t="s">
        <v>4067</v>
      </c>
      <c r="D310" s="2" t="s">
        <v>4068</v>
      </c>
      <c r="E310" s="2" t="s">
        <v>4069</v>
      </c>
      <c r="F310" s="2" t="s">
        <v>347</v>
      </c>
      <c r="G310" s="2" t="s">
        <v>4070</v>
      </c>
      <c r="H310" s="2" t="s">
        <v>4071</v>
      </c>
      <c r="I310" s="2" t="s">
        <v>4072</v>
      </c>
      <c r="J310" s="2" t="s">
        <v>4073</v>
      </c>
      <c r="K310" s="2" t="s">
        <v>4074</v>
      </c>
      <c r="L310" s="2" t="s">
        <v>4075</v>
      </c>
      <c r="M310" s="2" t="s">
        <v>4076</v>
      </c>
      <c r="N310" s="2" t="s">
        <v>144</v>
      </c>
      <c r="O310" s="2" t="s">
        <v>4077</v>
      </c>
      <c r="P310" s="2" t="s">
        <v>4078</v>
      </c>
      <c r="Q310" s="2" t="s">
        <v>57</v>
      </c>
      <c r="R310" s="2" t="s">
        <v>57</v>
      </c>
      <c r="S310" s="2" t="s">
        <v>4079</v>
      </c>
      <c r="T310" s="2" t="s">
        <v>4080</v>
      </c>
      <c r="U310" s="2" t="s">
        <v>4081</v>
      </c>
    </row>
    <row r="311" customFormat="false" ht="68.65" hidden="false" customHeight="false" outlineLevel="0" collapsed="false">
      <c r="A311" s="2" t="s">
        <v>4043</v>
      </c>
      <c r="B311" s="2" t="s">
        <v>2252</v>
      </c>
      <c r="C311" s="2" t="s">
        <v>4082</v>
      </c>
      <c r="D311" s="2" t="s">
        <v>2239</v>
      </c>
      <c r="E311" s="2" t="s">
        <v>4083</v>
      </c>
      <c r="F311" s="2" t="s">
        <v>280</v>
      </c>
      <c r="G311" s="2" t="s">
        <v>4084</v>
      </c>
      <c r="H311" s="2" t="s">
        <v>1294</v>
      </c>
      <c r="I311" s="2" t="s">
        <v>4085</v>
      </c>
      <c r="J311" s="2" t="s">
        <v>4086</v>
      </c>
      <c r="K311" s="2" t="s">
        <v>4087</v>
      </c>
      <c r="L311" s="2" t="s">
        <v>4088</v>
      </c>
      <c r="M311" s="2" t="s">
        <v>4089</v>
      </c>
      <c r="N311" s="2" t="s">
        <v>144</v>
      </c>
      <c r="O311" s="2" t="s">
        <v>4053</v>
      </c>
      <c r="P311" s="2" t="s">
        <v>4090</v>
      </c>
      <c r="Q311" s="2" t="s">
        <v>57</v>
      </c>
      <c r="R311" s="2" t="s">
        <v>57</v>
      </c>
      <c r="S311" s="2" t="s">
        <v>4091</v>
      </c>
      <c r="T311" s="2" t="s">
        <v>4092</v>
      </c>
      <c r="U311" s="2" t="s">
        <v>4093</v>
      </c>
    </row>
    <row r="312" customFormat="false" ht="68.65" hidden="false" customHeight="false" outlineLevel="0" collapsed="false">
      <c r="A312" s="2" t="s">
        <v>4043</v>
      </c>
      <c r="B312" s="2" t="s">
        <v>2252</v>
      </c>
      <c r="C312" s="2" t="s">
        <v>4094</v>
      </c>
      <c r="D312" s="2" t="s">
        <v>2239</v>
      </c>
      <c r="E312" s="2" t="s">
        <v>4095</v>
      </c>
      <c r="F312" s="2" t="s">
        <v>81</v>
      </c>
      <c r="G312" s="2" t="s">
        <v>4096</v>
      </c>
      <c r="H312" s="2" t="s">
        <v>4097</v>
      </c>
      <c r="I312" s="2" t="s">
        <v>4098</v>
      </c>
      <c r="J312" s="2" t="s">
        <v>4099</v>
      </c>
      <c r="K312" s="2" t="s">
        <v>4100</v>
      </c>
      <c r="L312" s="2" t="s">
        <v>4101</v>
      </c>
      <c r="M312" s="2" t="s">
        <v>4102</v>
      </c>
      <c r="N312" s="2" t="s">
        <v>144</v>
      </c>
      <c r="O312" s="2" t="s">
        <v>57</v>
      </c>
      <c r="P312" s="2" t="s">
        <v>4103</v>
      </c>
      <c r="Q312" s="2" t="s">
        <v>4104</v>
      </c>
      <c r="R312" s="2" t="s">
        <v>57</v>
      </c>
      <c r="S312" s="2" t="s">
        <v>4105</v>
      </c>
      <c r="T312" s="2" t="s">
        <v>4106</v>
      </c>
      <c r="U312" s="2" t="s">
        <v>4107</v>
      </c>
    </row>
    <row r="313" customFormat="false" ht="79.85" hidden="false" customHeight="false" outlineLevel="0" collapsed="false">
      <c r="A313" s="2" t="s">
        <v>4043</v>
      </c>
      <c r="B313" s="2" t="s">
        <v>4108</v>
      </c>
      <c r="C313" s="2" t="s">
        <v>4109</v>
      </c>
      <c r="D313" s="2" t="s">
        <v>4110</v>
      </c>
      <c r="E313" s="2" t="s">
        <v>4111</v>
      </c>
      <c r="F313" s="2" t="s">
        <v>280</v>
      </c>
      <c r="G313" s="2" t="s">
        <v>4112</v>
      </c>
      <c r="H313" s="2" t="s">
        <v>4113</v>
      </c>
      <c r="I313" s="2" t="s">
        <v>4114</v>
      </c>
      <c r="J313" s="2" t="s">
        <v>4115</v>
      </c>
      <c r="K313" s="2" t="s">
        <v>4116</v>
      </c>
      <c r="L313" s="2" t="s">
        <v>4117</v>
      </c>
      <c r="M313" s="2" t="s">
        <v>4118</v>
      </c>
      <c r="N313" s="2" t="s">
        <v>56</v>
      </c>
      <c r="O313" s="2" t="s">
        <v>4119</v>
      </c>
      <c r="P313" s="2" t="s">
        <v>4120</v>
      </c>
      <c r="Q313" s="2" t="s">
        <v>4121</v>
      </c>
      <c r="R313" s="2" t="s">
        <v>4122</v>
      </c>
      <c r="S313" s="2" t="s">
        <v>4123</v>
      </c>
      <c r="T313" s="2" t="s">
        <v>4124</v>
      </c>
      <c r="U313" s="2" t="s">
        <v>4125</v>
      </c>
    </row>
    <row r="314" customFormat="false" ht="68.65" hidden="false" customHeight="false" outlineLevel="0" collapsed="false">
      <c r="A314" s="2" t="s">
        <v>4043</v>
      </c>
      <c r="B314" s="2" t="s">
        <v>2252</v>
      </c>
      <c r="C314" s="2" t="s">
        <v>4126</v>
      </c>
      <c r="D314" s="2" t="s">
        <v>4127</v>
      </c>
      <c r="E314" s="2" t="s">
        <v>4128</v>
      </c>
      <c r="F314" s="2" t="s">
        <v>627</v>
      </c>
      <c r="G314" s="2" t="s">
        <v>4129</v>
      </c>
      <c r="H314" s="2" t="s">
        <v>629</v>
      </c>
      <c r="I314" s="2" t="s">
        <v>4130</v>
      </c>
      <c r="J314" s="2" t="s">
        <v>4131</v>
      </c>
      <c r="K314" s="2" t="s">
        <v>4132</v>
      </c>
      <c r="L314" s="2" t="s">
        <v>4133</v>
      </c>
      <c r="M314" s="2" t="s">
        <v>4134</v>
      </c>
      <c r="N314" s="2" t="s">
        <v>144</v>
      </c>
      <c r="O314" s="2" t="s">
        <v>57</v>
      </c>
      <c r="P314" s="2" t="s">
        <v>4135</v>
      </c>
      <c r="Q314" s="2" t="s">
        <v>57</v>
      </c>
      <c r="R314" s="2" t="s">
        <v>57</v>
      </c>
      <c r="S314" s="2" t="s">
        <v>4136</v>
      </c>
      <c r="T314" s="2" t="s">
        <v>4137</v>
      </c>
      <c r="U314" s="2" t="s">
        <v>4138</v>
      </c>
    </row>
    <row r="315" customFormat="false" ht="79.85" hidden="false" customHeight="false" outlineLevel="0" collapsed="false">
      <c r="A315" s="2" t="s">
        <v>4043</v>
      </c>
      <c r="B315" s="2" t="s">
        <v>4139</v>
      </c>
      <c r="C315" s="2" t="s">
        <v>4140</v>
      </c>
      <c r="D315" s="2" t="s">
        <v>4141</v>
      </c>
      <c r="E315" s="2" t="s">
        <v>4142</v>
      </c>
      <c r="F315" s="2" t="s">
        <v>280</v>
      </c>
      <c r="G315" s="2" t="s">
        <v>4143</v>
      </c>
      <c r="H315" s="2" t="s">
        <v>58</v>
      </c>
      <c r="I315" s="2" t="s">
        <v>4144</v>
      </c>
      <c r="J315" s="2" t="s">
        <v>57</v>
      </c>
      <c r="K315" s="2" t="s">
        <v>4145</v>
      </c>
      <c r="L315" s="2" t="s">
        <v>4146</v>
      </c>
      <c r="M315" s="2" t="s">
        <v>4147</v>
      </c>
      <c r="N315" s="2" t="s">
        <v>144</v>
      </c>
      <c r="O315" s="2" t="s">
        <v>57</v>
      </c>
      <c r="P315" s="2" t="s">
        <v>58</v>
      </c>
      <c r="Q315" s="2" t="s">
        <v>57</v>
      </c>
      <c r="R315" s="2" t="s">
        <v>57</v>
      </c>
      <c r="S315" s="2" t="s">
        <v>4148</v>
      </c>
      <c r="T315" s="2" t="s">
        <v>4149</v>
      </c>
      <c r="U315" s="2" t="s">
        <v>4150</v>
      </c>
    </row>
    <row r="316" customFormat="false" ht="91" hidden="false" customHeight="false" outlineLevel="0" collapsed="false">
      <c r="A316" s="2" t="s">
        <v>4043</v>
      </c>
      <c r="B316" s="2" t="s">
        <v>4151</v>
      </c>
      <c r="C316" s="2" t="s">
        <v>4152</v>
      </c>
      <c r="D316" s="2" t="s">
        <v>4153</v>
      </c>
      <c r="E316" s="2" t="s">
        <v>4154</v>
      </c>
      <c r="F316" s="2" t="s">
        <v>34</v>
      </c>
      <c r="G316" s="2" t="s">
        <v>4155</v>
      </c>
      <c r="H316" s="2" t="s">
        <v>4156</v>
      </c>
      <c r="I316" s="2" t="s">
        <v>4157</v>
      </c>
      <c r="J316" s="2" t="s">
        <v>1385</v>
      </c>
      <c r="K316" s="2" t="s">
        <v>4158</v>
      </c>
      <c r="L316" s="2" t="s">
        <v>4159</v>
      </c>
      <c r="M316" s="2" t="s">
        <v>4160</v>
      </c>
      <c r="N316" s="2" t="s">
        <v>144</v>
      </c>
      <c r="O316" s="2" t="s">
        <v>4053</v>
      </c>
      <c r="P316" s="2" t="s">
        <v>4161</v>
      </c>
      <c r="Q316" s="2" t="s">
        <v>4162</v>
      </c>
      <c r="R316" s="2" t="s">
        <v>4163</v>
      </c>
      <c r="S316" s="2" t="s">
        <v>4164</v>
      </c>
      <c r="T316" s="2" t="s">
        <v>4165</v>
      </c>
      <c r="U316" s="2" t="s">
        <v>4166</v>
      </c>
    </row>
    <row r="317" customFormat="false" ht="68.65" hidden="false" customHeight="false" outlineLevel="0" collapsed="false">
      <c r="A317" s="2" t="s">
        <v>4043</v>
      </c>
      <c r="B317" s="2" t="s">
        <v>4151</v>
      </c>
      <c r="C317" s="2" t="s">
        <v>4167</v>
      </c>
      <c r="D317" s="2" t="s">
        <v>4168</v>
      </c>
      <c r="E317" s="2" t="s">
        <v>4169</v>
      </c>
      <c r="F317" s="2" t="s">
        <v>34</v>
      </c>
      <c r="G317" s="2" t="s">
        <v>4170</v>
      </c>
      <c r="H317" s="2" t="s">
        <v>4171</v>
      </c>
      <c r="I317" s="2" t="s">
        <v>4172</v>
      </c>
      <c r="J317" s="2" t="s">
        <v>4173</v>
      </c>
      <c r="K317" s="2" t="s">
        <v>4174</v>
      </c>
      <c r="L317" s="2" t="s">
        <v>4175</v>
      </c>
      <c r="M317" s="2" t="s">
        <v>4176</v>
      </c>
      <c r="N317" s="2" t="s">
        <v>89</v>
      </c>
      <c r="O317" s="2" t="s">
        <v>57</v>
      </c>
      <c r="P317" s="2" t="s">
        <v>57</v>
      </c>
      <c r="Q317" s="2" t="s">
        <v>57</v>
      </c>
      <c r="R317" s="2" t="s">
        <v>57</v>
      </c>
      <c r="S317" s="2" t="s">
        <v>4177</v>
      </c>
      <c r="T317" s="2" t="s">
        <v>4178</v>
      </c>
      <c r="U317" s="2" t="s">
        <v>4179</v>
      </c>
    </row>
    <row r="318" customFormat="false" ht="46.25" hidden="false" customHeight="false" outlineLevel="0" collapsed="false">
      <c r="A318" s="2" t="s">
        <v>4043</v>
      </c>
      <c r="B318" s="2" t="s">
        <v>2252</v>
      </c>
      <c r="C318" s="2" t="s">
        <v>4180</v>
      </c>
      <c r="D318" s="2" t="s">
        <v>4181</v>
      </c>
      <c r="E318" s="2" t="s">
        <v>4182</v>
      </c>
      <c r="F318" s="2" t="s">
        <v>193</v>
      </c>
      <c r="G318" s="2" t="s">
        <v>4183</v>
      </c>
      <c r="H318" s="2" t="s">
        <v>875</v>
      </c>
      <c r="I318" s="2" t="s">
        <v>4184</v>
      </c>
      <c r="J318" s="2" t="s">
        <v>4185</v>
      </c>
      <c r="K318" s="2" t="s">
        <v>4186</v>
      </c>
      <c r="L318" s="2" t="s">
        <v>4187</v>
      </c>
      <c r="M318" s="2" t="s">
        <v>4188</v>
      </c>
      <c r="N318" s="2" t="s">
        <v>89</v>
      </c>
      <c r="O318" s="2" t="s">
        <v>57</v>
      </c>
      <c r="P318" s="2" t="s">
        <v>4189</v>
      </c>
      <c r="Q318" s="2" t="s">
        <v>57</v>
      </c>
      <c r="R318" s="2" t="s">
        <v>57</v>
      </c>
      <c r="S318" s="2" t="s">
        <v>4190</v>
      </c>
      <c r="T318" s="2" t="s">
        <v>4191</v>
      </c>
      <c r="U318" s="2" t="s">
        <v>4192</v>
      </c>
    </row>
    <row r="319" customFormat="false" ht="113.4" hidden="false" customHeight="false" outlineLevel="0" collapsed="false">
      <c r="A319" s="2" t="s">
        <v>4043</v>
      </c>
      <c r="B319" s="2" t="s">
        <v>4193</v>
      </c>
      <c r="C319" s="2" t="s">
        <v>4194</v>
      </c>
      <c r="D319" s="2" t="s">
        <v>4195</v>
      </c>
      <c r="E319" s="2" t="s">
        <v>4196</v>
      </c>
      <c r="F319" s="2" t="s">
        <v>193</v>
      </c>
      <c r="G319" s="2" t="s">
        <v>4197</v>
      </c>
      <c r="H319" s="2" t="s">
        <v>2257</v>
      </c>
      <c r="I319" s="2" t="s">
        <v>4198</v>
      </c>
      <c r="J319" s="2" t="s">
        <v>4199</v>
      </c>
      <c r="K319" s="2" t="s">
        <v>4200</v>
      </c>
      <c r="L319" s="2" t="s">
        <v>4201</v>
      </c>
      <c r="M319" s="2" t="s">
        <v>4202</v>
      </c>
      <c r="N319" s="2" t="s">
        <v>89</v>
      </c>
      <c r="O319" s="2" t="s">
        <v>57</v>
      </c>
      <c r="P319" s="2" t="s">
        <v>4203</v>
      </c>
      <c r="Q319" s="2" t="s">
        <v>4204</v>
      </c>
      <c r="R319" s="2" t="s">
        <v>57</v>
      </c>
      <c r="S319" s="2" t="s">
        <v>4205</v>
      </c>
      <c r="T319" s="2" t="s">
        <v>2265</v>
      </c>
      <c r="U319" s="2" t="s">
        <v>2266</v>
      </c>
    </row>
    <row r="320" customFormat="false" ht="57.45" hidden="false" customHeight="false" outlineLevel="0" collapsed="false">
      <c r="A320" s="2" t="s">
        <v>4043</v>
      </c>
      <c r="B320" s="2" t="s">
        <v>4206</v>
      </c>
      <c r="C320" s="2" t="s">
        <v>4207</v>
      </c>
      <c r="D320" s="2" t="s">
        <v>4208</v>
      </c>
      <c r="E320" s="2" t="s">
        <v>4209</v>
      </c>
      <c r="F320" s="2" t="s">
        <v>193</v>
      </c>
      <c r="G320" s="2" t="s">
        <v>4210</v>
      </c>
      <c r="H320" s="2" t="s">
        <v>4211</v>
      </c>
      <c r="I320" s="2" t="s">
        <v>183</v>
      </c>
      <c r="J320" s="2" t="s">
        <v>4212</v>
      </c>
      <c r="K320" s="2" t="s">
        <v>4213</v>
      </c>
      <c r="L320" s="2" t="s">
        <v>4214</v>
      </c>
      <c r="M320" s="2" t="s">
        <v>4188</v>
      </c>
      <c r="N320" s="2" t="s">
        <v>89</v>
      </c>
      <c r="O320" s="2" t="s">
        <v>57</v>
      </c>
      <c r="P320" s="2" t="s">
        <v>4215</v>
      </c>
      <c r="Q320" s="2" t="s">
        <v>4216</v>
      </c>
      <c r="R320" s="2" t="s">
        <v>57</v>
      </c>
      <c r="S320" s="2" t="s">
        <v>4217</v>
      </c>
      <c r="T320" s="2" t="s">
        <v>4218</v>
      </c>
      <c r="U320" s="2" t="s">
        <v>4219</v>
      </c>
    </row>
    <row r="321" customFormat="false" ht="102.2" hidden="false" customHeight="false" outlineLevel="0" collapsed="false">
      <c r="A321" s="2" t="s">
        <v>4043</v>
      </c>
      <c r="B321" s="2" t="s">
        <v>4206</v>
      </c>
      <c r="C321" s="2" t="s">
        <v>4220</v>
      </c>
      <c r="D321" s="2" t="s">
        <v>4221</v>
      </c>
      <c r="E321" s="2" t="s">
        <v>4222</v>
      </c>
      <c r="F321" s="2" t="s">
        <v>34</v>
      </c>
      <c r="G321" s="2" t="s">
        <v>4223</v>
      </c>
      <c r="H321" s="2" t="s">
        <v>4224</v>
      </c>
      <c r="I321" s="2" t="s">
        <v>4225</v>
      </c>
      <c r="J321" s="2" t="s">
        <v>2019</v>
      </c>
      <c r="K321" s="2" t="s">
        <v>4226</v>
      </c>
      <c r="L321" s="2" t="s">
        <v>4227</v>
      </c>
      <c r="M321" s="2" t="s">
        <v>4228</v>
      </c>
      <c r="N321" s="2" t="s">
        <v>56</v>
      </c>
      <c r="O321" s="2" t="s">
        <v>4229</v>
      </c>
      <c r="P321" s="2" t="s">
        <v>4230</v>
      </c>
      <c r="Q321" s="2" t="s">
        <v>4231</v>
      </c>
      <c r="R321" s="2" t="s">
        <v>57</v>
      </c>
      <c r="S321" s="2" t="s">
        <v>4232</v>
      </c>
      <c r="T321" s="2" t="s">
        <v>4233</v>
      </c>
      <c r="U321" s="2" t="s">
        <v>4234</v>
      </c>
    </row>
    <row r="322" customFormat="false" ht="113.4" hidden="false" customHeight="false" outlineLevel="0" collapsed="false">
      <c r="A322" s="2" t="s">
        <v>4043</v>
      </c>
      <c r="B322" s="2" t="s">
        <v>4235</v>
      </c>
      <c r="C322" s="2" t="s">
        <v>4236</v>
      </c>
      <c r="D322" s="2" t="s">
        <v>4237</v>
      </c>
      <c r="E322" s="2" t="s">
        <v>4238</v>
      </c>
      <c r="F322" s="2" t="s">
        <v>34</v>
      </c>
      <c r="G322" s="2" t="s">
        <v>4239</v>
      </c>
      <c r="H322" s="2" t="s">
        <v>4240</v>
      </c>
      <c r="I322" s="2" t="s">
        <v>4241</v>
      </c>
      <c r="J322" s="2" t="s">
        <v>4242</v>
      </c>
      <c r="K322" s="2" t="s">
        <v>4243</v>
      </c>
      <c r="L322" s="2" t="s">
        <v>4244</v>
      </c>
      <c r="M322" s="2" t="s">
        <v>4245</v>
      </c>
      <c r="N322" s="2" t="s">
        <v>144</v>
      </c>
      <c r="O322" s="2" t="s">
        <v>4246</v>
      </c>
      <c r="P322" s="2" t="s">
        <v>4247</v>
      </c>
      <c r="Q322" s="2" t="s">
        <v>4248</v>
      </c>
      <c r="R322" s="2" t="s">
        <v>57</v>
      </c>
      <c r="S322" s="2" t="s">
        <v>4249</v>
      </c>
      <c r="T322" s="2" t="s">
        <v>4250</v>
      </c>
      <c r="U322" s="2" t="s">
        <v>4251</v>
      </c>
    </row>
    <row r="323" customFormat="false" ht="46.25" hidden="false" customHeight="false" outlineLevel="0" collapsed="false">
      <c r="A323" s="2" t="s">
        <v>4043</v>
      </c>
      <c r="B323" s="2" t="s">
        <v>4235</v>
      </c>
      <c r="C323" s="2" t="s">
        <v>4252</v>
      </c>
      <c r="D323" s="2" t="s">
        <v>4253</v>
      </c>
      <c r="E323" s="2" t="s">
        <v>4254</v>
      </c>
      <c r="F323" s="2" t="s">
        <v>34</v>
      </c>
      <c r="G323" s="2" t="s">
        <v>4255</v>
      </c>
      <c r="H323" s="2" t="s">
        <v>58</v>
      </c>
      <c r="I323" s="2" t="s">
        <v>4256</v>
      </c>
      <c r="J323" s="2" t="s">
        <v>4242</v>
      </c>
      <c r="K323" s="2" t="s">
        <v>4257</v>
      </c>
      <c r="L323" s="2" t="s">
        <v>4258</v>
      </c>
      <c r="M323" s="2" t="s">
        <v>4259</v>
      </c>
      <c r="N323" s="2" t="s">
        <v>56</v>
      </c>
      <c r="O323" s="2" t="s">
        <v>57</v>
      </c>
      <c r="P323" s="2" t="s">
        <v>4260</v>
      </c>
      <c r="Q323" s="2" t="s">
        <v>57</v>
      </c>
      <c r="R323" s="2" t="s">
        <v>57</v>
      </c>
      <c r="S323" s="2" t="s">
        <v>4261</v>
      </c>
      <c r="T323" s="2" t="s">
        <v>4262</v>
      </c>
      <c r="U323" s="2" t="s">
        <v>4263</v>
      </c>
    </row>
    <row r="324" customFormat="false" ht="68.65" hidden="false" customHeight="false" outlineLevel="0" collapsed="false">
      <c r="A324" s="2" t="s">
        <v>4043</v>
      </c>
      <c r="B324" s="2" t="s">
        <v>4264</v>
      </c>
      <c r="C324" s="2" t="s">
        <v>4265</v>
      </c>
      <c r="D324" s="2" t="s">
        <v>4266</v>
      </c>
      <c r="E324" s="2" t="s">
        <v>4267</v>
      </c>
      <c r="F324" s="2" t="s">
        <v>34</v>
      </c>
      <c r="G324" s="2" t="s">
        <v>4268</v>
      </c>
      <c r="H324" s="2" t="s">
        <v>4269</v>
      </c>
      <c r="I324" s="2" t="s">
        <v>1517</v>
      </c>
      <c r="J324" s="2" t="s">
        <v>225</v>
      </c>
      <c r="K324" s="2" t="s">
        <v>4270</v>
      </c>
      <c r="L324" s="2" t="s">
        <v>4271</v>
      </c>
      <c r="M324" s="2" t="s">
        <v>4272</v>
      </c>
      <c r="N324" s="2" t="s">
        <v>42</v>
      </c>
      <c r="O324" s="2" t="s">
        <v>4273</v>
      </c>
      <c r="P324" s="2" t="s">
        <v>58</v>
      </c>
      <c r="Q324" s="2" t="s">
        <v>57</v>
      </c>
      <c r="R324" s="2" t="s">
        <v>57</v>
      </c>
      <c r="S324" s="2" t="s">
        <v>4274</v>
      </c>
      <c r="T324" s="2" t="s">
        <v>4275</v>
      </c>
      <c r="U324" s="2" t="s">
        <v>4276</v>
      </c>
    </row>
    <row r="325" customFormat="false" ht="202.95" hidden="false" customHeight="false" outlineLevel="0" collapsed="false">
      <c r="A325" s="2" t="s">
        <v>4043</v>
      </c>
      <c r="B325" s="2" t="s">
        <v>4277</v>
      </c>
      <c r="C325" s="2" t="s">
        <v>4278</v>
      </c>
      <c r="D325" s="2" t="s">
        <v>4279</v>
      </c>
      <c r="E325" s="2" t="s">
        <v>4280</v>
      </c>
      <c r="F325" s="2" t="s">
        <v>81</v>
      </c>
      <c r="G325" s="2" t="s">
        <v>4281</v>
      </c>
      <c r="H325" s="2" t="s">
        <v>4282</v>
      </c>
      <c r="I325" s="2" t="s">
        <v>4283</v>
      </c>
      <c r="J325" s="2" t="s">
        <v>4284</v>
      </c>
      <c r="K325" s="2" t="s">
        <v>4285</v>
      </c>
      <c r="L325" s="2" t="s">
        <v>4286</v>
      </c>
      <c r="M325" s="2" t="s">
        <v>4287</v>
      </c>
      <c r="N325" s="2" t="s">
        <v>144</v>
      </c>
      <c r="O325" s="2" t="s">
        <v>89</v>
      </c>
      <c r="P325" s="2" t="s">
        <v>58</v>
      </c>
      <c r="Q325" s="2" t="s">
        <v>4288</v>
      </c>
      <c r="R325" s="2" t="s">
        <v>57</v>
      </c>
      <c r="S325" s="2" t="s">
        <v>4289</v>
      </c>
      <c r="T325" s="2" t="s">
        <v>4290</v>
      </c>
      <c r="U325" s="2" t="s">
        <v>4291</v>
      </c>
    </row>
    <row r="326" customFormat="false" ht="79.85" hidden="false" customHeight="false" outlineLevel="0" collapsed="false">
      <c r="A326" s="2" t="s">
        <v>4043</v>
      </c>
      <c r="B326" s="2" t="s">
        <v>4292</v>
      </c>
      <c r="C326" s="2" t="s">
        <v>4293</v>
      </c>
      <c r="D326" s="2" t="s">
        <v>4294</v>
      </c>
      <c r="E326" s="2" t="s">
        <v>4295</v>
      </c>
      <c r="F326" s="2" t="s">
        <v>34</v>
      </c>
      <c r="G326" s="2" t="s">
        <v>4296</v>
      </c>
      <c r="H326" s="2" t="s">
        <v>4297</v>
      </c>
      <c r="I326" s="2" t="s">
        <v>4298</v>
      </c>
      <c r="J326" s="2" t="s">
        <v>253</v>
      </c>
      <c r="K326" s="2" t="s">
        <v>4299</v>
      </c>
      <c r="L326" s="2" t="s">
        <v>4300</v>
      </c>
      <c r="M326" s="2" t="s">
        <v>4301</v>
      </c>
      <c r="N326" s="2" t="s">
        <v>144</v>
      </c>
      <c r="O326" s="2" t="s">
        <v>58</v>
      </c>
      <c r="P326" s="2" t="s">
        <v>58</v>
      </c>
      <c r="Q326" s="2" t="s">
        <v>4302</v>
      </c>
      <c r="R326" s="2" t="s">
        <v>57</v>
      </c>
      <c r="S326" s="2" t="s">
        <v>4303</v>
      </c>
      <c r="T326" s="2" t="s">
        <v>4304</v>
      </c>
      <c r="U326" s="2" t="s">
        <v>4305</v>
      </c>
    </row>
    <row r="327" customFormat="false" ht="68.65" hidden="false" customHeight="false" outlineLevel="0" collapsed="false">
      <c r="A327" s="2" t="s">
        <v>4043</v>
      </c>
      <c r="B327" s="2" t="s">
        <v>4292</v>
      </c>
      <c r="C327" s="2" t="s">
        <v>4306</v>
      </c>
      <c r="D327" s="2" t="s">
        <v>4294</v>
      </c>
      <c r="E327" s="2" t="s">
        <v>4307</v>
      </c>
      <c r="F327" s="2" t="s">
        <v>34</v>
      </c>
      <c r="G327" s="2" t="s">
        <v>4308</v>
      </c>
      <c r="H327" s="2" t="s">
        <v>4309</v>
      </c>
      <c r="I327" s="2" t="s">
        <v>4310</v>
      </c>
      <c r="J327" s="2" t="s">
        <v>3781</v>
      </c>
      <c r="K327" s="2" t="s">
        <v>4311</v>
      </c>
      <c r="L327" s="2" t="s">
        <v>4312</v>
      </c>
      <c r="M327" s="2" t="s">
        <v>4313</v>
      </c>
      <c r="N327" s="2" t="s">
        <v>42</v>
      </c>
      <c r="O327" s="2" t="s">
        <v>4314</v>
      </c>
      <c r="P327" s="2" t="s">
        <v>58</v>
      </c>
      <c r="Q327" s="2" t="s">
        <v>4302</v>
      </c>
      <c r="R327" s="2" t="s">
        <v>57</v>
      </c>
      <c r="S327" s="2" t="s">
        <v>4315</v>
      </c>
      <c r="T327" s="2" t="s">
        <v>4316</v>
      </c>
      <c r="U327" s="2" t="s">
        <v>4317</v>
      </c>
    </row>
    <row r="328" customFormat="false" ht="147" hidden="false" customHeight="false" outlineLevel="0" collapsed="false">
      <c r="A328" s="2" t="s">
        <v>4043</v>
      </c>
      <c r="B328" s="2" t="s">
        <v>4318</v>
      </c>
      <c r="C328" s="2" t="s">
        <v>4319</v>
      </c>
      <c r="D328" s="2" t="s">
        <v>4320</v>
      </c>
      <c r="E328" s="2" t="s">
        <v>4321</v>
      </c>
      <c r="F328" s="2" t="s">
        <v>34</v>
      </c>
      <c r="G328" s="2" t="s">
        <v>4322</v>
      </c>
      <c r="H328" s="2" t="s">
        <v>4323</v>
      </c>
      <c r="I328" s="2" t="s">
        <v>4324</v>
      </c>
      <c r="J328" s="2" t="s">
        <v>4325</v>
      </c>
      <c r="K328" s="2" t="s">
        <v>4326</v>
      </c>
      <c r="L328" s="2" t="s">
        <v>4327</v>
      </c>
      <c r="M328" s="2" t="s">
        <v>4328</v>
      </c>
      <c r="N328" s="2" t="s">
        <v>144</v>
      </c>
      <c r="O328" s="2" t="s">
        <v>4329</v>
      </c>
      <c r="P328" s="2" t="s">
        <v>58</v>
      </c>
      <c r="Q328" s="2" t="s">
        <v>4330</v>
      </c>
      <c r="R328" s="2" t="s">
        <v>57</v>
      </c>
      <c r="S328" s="2" t="s">
        <v>4331</v>
      </c>
      <c r="T328" s="2" t="s">
        <v>4332</v>
      </c>
      <c r="U328" s="2" t="s">
        <v>4333</v>
      </c>
    </row>
    <row r="329" customFormat="false" ht="79.85" hidden="false" customHeight="false" outlineLevel="0" collapsed="false">
      <c r="A329" s="2" t="s">
        <v>4043</v>
      </c>
      <c r="B329" s="2" t="s">
        <v>2365</v>
      </c>
      <c r="C329" s="2" t="s">
        <v>4334</v>
      </c>
      <c r="D329" s="2" t="s">
        <v>4335</v>
      </c>
      <c r="E329" s="2" t="s">
        <v>4336</v>
      </c>
      <c r="F329" s="2" t="s">
        <v>34</v>
      </c>
      <c r="G329" s="2" t="s">
        <v>4337</v>
      </c>
      <c r="H329" s="2" t="s">
        <v>2356</v>
      </c>
      <c r="I329" s="2" t="s">
        <v>4338</v>
      </c>
      <c r="J329" s="2" t="s">
        <v>1545</v>
      </c>
      <c r="K329" s="2" t="s">
        <v>4339</v>
      </c>
      <c r="L329" s="2" t="s">
        <v>4340</v>
      </c>
      <c r="M329" s="2" t="s">
        <v>4341</v>
      </c>
      <c r="N329" s="2" t="s">
        <v>144</v>
      </c>
      <c r="O329" s="2" t="s">
        <v>58</v>
      </c>
      <c r="P329" s="2" t="s">
        <v>4342</v>
      </c>
      <c r="Q329" s="2" t="s">
        <v>57</v>
      </c>
      <c r="R329" s="2" t="s">
        <v>57</v>
      </c>
      <c r="S329" s="2" t="s">
        <v>4343</v>
      </c>
      <c r="T329" s="2" t="s">
        <v>2363</v>
      </c>
      <c r="U329" s="2" t="s">
        <v>4344</v>
      </c>
    </row>
    <row r="330" customFormat="false" ht="57.45" hidden="false" customHeight="false" outlineLevel="0" collapsed="false">
      <c r="A330" s="2" t="s">
        <v>4043</v>
      </c>
      <c r="B330" s="2" t="s">
        <v>2379</v>
      </c>
      <c r="C330" s="2" t="s">
        <v>4345</v>
      </c>
      <c r="D330" s="2" t="s">
        <v>4346</v>
      </c>
      <c r="E330" s="2" t="s">
        <v>4347</v>
      </c>
      <c r="F330" s="2" t="s">
        <v>34</v>
      </c>
      <c r="G330" s="2" t="s">
        <v>4348</v>
      </c>
      <c r="H330" s="2" t="s">
        <v>2383</v>
      </c>
      <c r="I330" s="2" t="s">
        <v>4349</v>
      </c>
      <c r="J330" s="2" t="s">
        <v>2384</v>
      </c>
      <c r="K330" s="2" t="s">
        <v>4350</v>
      </c>
      <c r="L330" s="2" t="s">
        <v>2386</v>
      </c>
      <c r="M330" s="2" t="s">
        <v>4351</v>
      </c>
      <c r="N330" s="2" t="s">
        <v>144</v>
      </c>
      <c r="O330" s="2" t="s">
        <v>58</v>
      </c>
      <c r="P330" s="2" t="s">
        <v>58</v>
      </c>
      <c r="Q330" s="2" t="s">
        <v>4352</v>
      </c>
      <c r="R330" s="2" t="s">
        <v>57</v>
      </c>
      <c r="S330" s="2" t="s">
        <v>2390</v>
      </c>
      <c r="T330" s="2" t="s">
        <v>2391</v>
      </c>
      <c r="U330" s="2" t="s">
        <v>4353</v>
      </c>
    </row>
    <row r="331" customFormat="false" ht="68.65" hidden="false" customHeight="false" outlineLevel="0" collapsed="false">
      <c r="A331" s="2" t="s">
        <v>4043</v>
      </c>
      <c r="B331" s="2" t="s">
        <v>2365</v>
      </c>
      <c r="C331" s="2" t="s">
        <v>4354</v>
      </c>
      <c r="D331" s="2" t="s">
        <v>4355</v>
      </c>
      <c r="E331" s="2" t="s">
        <v>4356</v>
      </c>
      <c r="F331" s="2" t="s">
        <v>347</v>
      </c>
      <c r="G331" s="2" t="s">
        <v>4357</v>
      </c>
      <c r="H331" s="2" t="s">
        <v>4358</v>
      </c>
      <c r="I331" s="2" t="s">
        <v>4359</v>
      </c>
      <c r="J331" s="2" t="s">
        <v>4360</v>
      </c>
      <c r="K331" s="2" t="s">
        <v>4361</v>
      </c>
      <c r="L331" s="2" t="s">
        <v>4362</v>
      </c>
      <c r="M331" s="2" t="s">
        <v>4363</v>
      </c>
      <c r="N331" s="2" t="s">
        <v>56</v>
      </c>
      <c r="O331" s="2" t="s">
        <v>58</v>
      </c>
      <c r="P331" s="2" t="s">
        <v>58</v>
      </c>
      <c r="Q331" s="2" t="s">
        <v>4364</v>
      </c>
      <c r="R331" s="2" t="s">
        <v>57</v>
      </c>
      <c r="S331" s="2" t="s">
        <v>4365</v>
      </c>
      <c r="T331" s="2" t="s">
        <v>2404</v>
      </c>
      <c r="U331" s="2" t="s">
        <v>4366</v>
      </c>
    </row>
    <row r="332" customFormat="false" ht="79.85" hidden="false" customHeight="false" outlineLevel="0" collapsed="false">
      <c r="A332" s="2" t="s">
        <v>4043</v>
      </c>
      <c r="B332" s="2" t="s">
        <v>2379</v>
      </c>
      <c r="C332" s="2" t="s">
        <v>4367</v>
      </c>
      <c r="D332" s="2" t="s">
        <v>4346</v>
      </c>
      <c r="E332" s="2" t="s">
        <v>4368</v>
      </c>
      <c r="F332" s="2" t="s">
        <v>34</v>
      </c>
      <c r="G332" s="2" t="s">
        <v>4369</v>
      </c>
      <c r="H332" s="2" t="s">
        <v>4370</v>
      </c>
      <c r="I332" s="2" t="s">
        <v>4371</v>
      </c>
      <c r="J332" s="2" t="s">
        <v>4372</v>
      </c>
      <c r="K332" s="2" t="s">
        <v>4373</v>
      </c>
      <c r="L332" s="2" t="s">
        <v>4374</v>
      </c>
      <c r="M332" s="2" t="s">
        <v>4375</v>
      </c>
      <c r="N332" s="2" t="s">
        <v>144</v>
      </c>
      <c r="O332" s="2" t="s">
        <v>57</v>
      </c>
      <c r="P332" s="2" t="s">
        <v>58</v>
      </c>
      <c r="Q332" s="2" t="s">
        <v>57</v>
      </c>
      <c r="R332" s="2" t="s">
        <v>57</v>
      </c>
      <c r="S332" s="2" t="s">
        <v>4376</v>
      </c>
      <c r="T332" s="2" t="s">
        <v>4377</v>
      </c>
      <c r="U332" s="2" t="s">
        <v>4378</v>
      </c>
    </row>
    <row r="333" customFormat="false" ht="46.25" hidden="false" customHeight="false" outlineLevel="0" collapsed="false">
      <c r="A333" s="2" t="s">
        <v>4043</v>
      </c>
      <c r="B333" s="2" t="s">
        <v>1184</v>
      </c>
      <c r="C333" s="2" t="s">
        <v>4379</v>
      </c>
      <c r="D333" s="2" t="s">
        <v>4380</v>
      </c>
      <c r="E333" s="2" t="s">
        <v>4381</v>
      </c>
      <c r="F333" s="2" t="s">
        <v>34</v>
      </c>
      <c r="G333" s="2" t="s">
        <v>4382</v>
      </c>
      <c r="H333" s="2" t="s">
        <v>2498</v>
      </c>
      <c r="I333" s="2" t="s">
        <v>4383</v>
      </c>
      <c r="J333" s="2" t="s">
        <v>4384</v>
      </c>
      <c r="K333" s="2" t="s">
        <v>4385</v>
      </c>
      <c r="L333" s="2" t="s">
        <v>4386</v>
      </c>
      <c r="M333" s="2" t="s">
        <v>4387</v>
      </c>
      <c r="N333" s="2" t="s">
        <v>144</v>
      </c>
      <c r="O333" s="2" t="s">
        <v>4388</v>
      </c>
      <c r="P333" s="2" t="s">
        <v>58</v>
      </c>
      <c r="Q333" s="2" t="s">
        <v>4389</v>
      </c>
      <c r="R333" s="2" t="s">
        <v>57</v>
      </c>
      <c r="S333" s="2" t="s">
        <v>4390</v>
      </c>
      <c r="T333" s="2" t="s">
        <v>4391</v>
      </c>
      <c r="U333" s="2" t="s">
        <v>4392</v>
      </c>
    </row>
    <row r="334" customFormat="false" ht="57.45" hidden="false" customHeight="false" outlineLevel="0" collapsed="false">
      <c r="A334" s="2" t="s">
        <v>4043</v>
      </c>
      <c r="B334" s="2" t="s">
        <v>4393</v>
      </c>
      <c r="C334" s="2" t="s">
        <v>4394</v>
      </c>
      <c r="D334" s="2" t="s">
        <v>4395</v>
      </c>
      <c r="E334" s="2" t="s">
        <v>4396</v>
      </c>
      <c r="F334" s="2" t="s">
        <v>193</v>
      </c>
      <c r="G334" s="2" t="s">
        <v>4397</v>
      </c>
      <c r="H334" s="2" t="s">
        <v>3866</v>
      </c>
      <c r="I334" s="2" t="s">
        <v>4398</v>
      </c>
      <c r="J334" s="2" t="s">
        <v>4399</v>
      </c>
      <c r="K334" s="2" t="s">
        <v>4400</v>
      </c>
      <c r="L334" s="2" t="s">
        <v>4401</v>
      </c>
      <c r="M334" s="2" t="s">
        <v>4202</v>
      </c>
      <c r="N334" s="2" t="s">
        <v>89</v>
      </c>
      <c r="O334" s="2" t="s">
        <v>57</v>
      </c>
      <c r="P334" s="2" t="s">
        <v>4402</v>
      </c>
      <c r="Q334" s="2" t="s">
        <v>4403</v>
      </c>
      <c r="R334" s="2" t="s">
        <v>57</v>
      </c>
      <c r="S334" s="2" t="s">
        <v>4404</v>
      </c>
      <c r="T334" s="2" t="s">
        <v>4405</v>
      </c>
      <c r="U334" s="2" t="s">
        <v>4406</v>
      </c>
    </row>
    <row r="335" customFormat="false" ht="46.25" hidden="false" customHeight="false" outlineLevel="0" collapsed="false">
      <c r="A335" s="2" t="s">
        <v>4043</v>
      </c>
      <c r="B335" s="2" t="s">
        <v>4407</v>
      </c>
      <c r="C335" s="2" t="s">
        <v>4408</v>
      </c>
      <c r="D335" s="2" t="s">
        <v>4409</v>
      </c>
      <c r="E335" s="2" t="s">
        <v>4410</v>
      </c>
      <c r="F335" s="2" t="s">
        <v>280</v>
      </c>
      <c r="G335" s="2" t="s">
        <v>4411</v>
      </c>
      <c r="H335" s="2" t="s">
        <v>58</v>
      </c>
      <c r="I335" s="2" t="s">
        <v>4412</v>
      </c>
      <c r="J335" s="2" t="s">
        <v>57</v>
      </c>
      <c r="K335" s="2" t="s">
        <v>4413</v>
      </c>
      <c r="L335" s="2" t="s">
        <v>4414</v>
      </c>
      <c r="M335" s="2" t="s">
        <v>4415</v>
      </c>
      <c r="N335" s="2" t="s">
        <v>144</v>
      </c>
      <c r="O335" s="2" t="s">
        <v>57</v>
      </c>
      <c r="P335" s="2" t="s">
        <v>57</v>
      </c>
      <c r="Q335" s="2" t="s">
        <v>57</v>
      </c>
      <c r="R335" s="2" t="s">
        <v>57</v>
      </c>
      <c r="S335" s="2" t="s">
        <v>4416</v>
      </c>
      <c r="T335" s="2" t="s">
        <v>4417</v>
      </c>
      <c r="U335" s="2" t="s">
        <v>4418</v>
      </c>
    </row>
    <row r="336" customFormat="false" ht="35.05" hidden="false" customHeight="false" outlineLevel="0" collapsed="false">
      <c r="A336" s="2" t="s">
        <v>4043</v>
      </c>
      <c r="B336" s="2" t="s">
        <v>4419</v>
      </c>
      <c r="C336" s="2" t="s">
        <v>4420</v>
      </c>
      <c r="D336" s="2" t="s">
        <v>4421</v>
      </c>
      <c r="E336" s="2" t="s">
        <v>4422</v>
      </c>
      <c r="F336" s="2" t="s">
        <v>1309</v>
      </c>
      <c r="G336" s="2" t="s">
        <v>4423</v>
      </c>
      <c r="H336" s="2" t="s">
        <v>89</v>
      </c>
      <c r="I336" s="2" t="s">
        <v>4424</v>
      </c>
      <c r="J336" s="2" t="s">
        <v>89</v>
      </c>
      <c r="K336" s="2" t="s">
        <v>4425</v>
      </c>
      <c r="L336" s="2" t="s">
        <v>4426</v>
      </c>
      <c r="M336" s="2" t="s">
        <v>4427</v>
      </c>
      <c r="N336" s="2" t="s">
        <v>89</v>
      </c>
      <c r="O336" s="2" t="s">
        <v>57</v>
      </c>
      <c r="P336" s="2" t="s">
        <v>57</v>
      </c>
      <c r="Q336" s="2" t="s">
        <v>57</v>
      </c>
      <c r="R336" s="2" t="s">
        <v>57</v>
      </c>
      <c r="S336" s="2" t="s">
        <v>4428</v>
      </c>
      <c r="T336" s="2" t="s">
        <v>4429</v>
      </c>
      <c r="U336" s="2" t="s">
        <v>4430</v>
      </c>
    </row>
    <row r="337" customFormat="false" ht="46.25" hidden="false" customHeight="false" outlineLevel="0" collapsed="false">
      <c r="A337" s="2" t="s">
        <v>4043</v>
      </c>
      <c r="B337" s="2" t="s">
        <v>2252</v>
      </c>
      <c r="C337" s="2" t="s">
        <v>4431</v>
      </c>
      <c r="D337" s="2" t="s">
        <v>4432</v>
      </c>
      <c r="E337" s="2" t="s">
        <v>4433</v>
      </c>
      <c r="F337" s="2" t="s">
        <v>139</v>
      </c>
      <c r="G337" s="2" t="s">
        <v>4434</v>
      </c>
      <c r="H337" s="2" t="s">
        <v>89</v>
      </c>
      <c r="I337" s="2" t="s">
        <v>4435</v>
      </c>
      <c r="J337" s="2" t="s">
        <v>89</v>
      </c>
      <c r="K337" s="2" t="s">
        <v>4436</v>
      </c>
      <c r="L337" s="2" t="s">
        <v>4437</v>
      </c>
      <c r="M337" s="2" t="s">
        <v>4438</v>
      </c>
      <c r="N337" s="2" t="s">
        <v>144</v>
      </c>
      <c r="O337" s="2" t="s">
        <v>57</v>
      </c>
      <c r="P337" s="2" t="s">
        <v>4439</v>
      </c>
      <c r="Q337" s="2" t="s">
        <v>57</v>
      </c>
      <c r="R337" s="2" t="s">
        <v>57</v>
      </c>
      <c r="S337" s="2" t="s">
        <v>4440</v>
      </c>
      <c r="T337" s="2" t="s">
        <v>4441</v>
      </c>
      <c r="U337" s="2" t="s">
        <v>4442</v>
      </c>
    </row>
    <row r="338" customFormat="false" ht="68.65" hidden="false" customHeight="false" outlineLevel="0" collapsed="false">
      <c r="A338" s="2" t="s">
        <v>4043</v>
      </c>
      <c r="B338" s="2" t="s">
        <v>2252</v>
      </c>
      <c r="C338" s="2" t="s">
        <v>4443</v>
      </c>
      <c r="D338" s="2" t="s">
        <v>4444</v>
      </c>
      <c r="E338" s="2" t="s">
        <v>4445</v>
      </c>
      <c r="F338" s="2" t="s">
        <v>1188</v>
      </c>
      <c r="G338" s="2" t="s">
        <v>4446</v>
      </c>
      <c r="H338" s="2" t="s">
        <v>57</v>
      </c>
      <c r="I338" s="2" t="s">
        <v>4447</v>
      </c>
      <c r="J338" s="2" t="s">
        <v>57</v>
      </c>
      <c r="K338" s="2" t="s">
        <v>4448</v>
      </c>
      <c r="L338" s="2" t="s">
        <v>4449</v>
      </c>
      <c r="M338" s="2" t="s">
        <v>4450</v>
      </c>
      <c r="N338" s="2" t="s">
        <v>72</v>
      </c>
      <c r="O338" s="2" t="s">
        <v>4451</v>
      </c>
      <c r="P338" s="2" t="s">
        <v>57</v>
      </c>
      <c r="Q338" s="2" t="s">
        <v>57</v>
      </c>
      <c r="R338" s="2" t="s">
        <v>57</v>
      </c>
      <c r="S338" s="2" t="s">
        <v>4452</v>
      </c>
      <c r="T338" s="2" t="s">
        <v>4453</v>
      </c>
      <c r="U338" s="2" t="s">
        <v>4453</v>
      </c>
    </row>
    <row r="339" customFormat="false" ht="46.25" hidden="false" customHeight="false" outlineLevel="0" collapsed="false">
      <c r="A339" s="2" t="s">
        <v>4043</v>
      </c>
      <c r="B339" s="2" t="s">
        <v>2252</v>
      </c>
      <c r="C339" s="2" t="s">
        <v>4454</v>
      </c>
      <c r="D339" s="2" t="s">
        <v>4455</v>
      </c>
      <c r="E339" s="2" t="s">
        <v>4456</v>
      </c>
      <c r="F339" s="2" t="s">
        <v>1188</v>
      </c>
      <c r="G339" s="2" t="s">
        <v>4457</v>
      </c>
      <c r="H339" s="2" t="s">
        <v>629</v>
      </c>
      <c r="I339" s="2" t="s">
        <v>4458</v>
      </c>
      <c r="J339" s="2" t="s">
        <v>4459</v>
      </c>
      <c r="K339" s="2" t="s">
        <v>4460</v>
      </c>
      <c r="L339" s="2" t="s">
        <v>4461</v>
      </c>
      <c r="M339" s="2" t="s">
        <v>4462</v>
      </c>
      <c r="N339" s="2" t="s">
        <v>144</v>
      </c>
      <c r="O339" s="2" t="s">
        <v>57</v>
      </c>
      <c r="P339" s="2" t="s">
        <v>4463</v>
      </c>
      <c r="Q339" s="2" t="s">
        <v>57</v>
      </c>
      <c r="R339" s="2" t="s">
        <v>57</v>
      </c>
      <c r="S339" s="2" t="s">
        <v>4464</v>
      </c>
      <c r="T339" s="2" t="s">
        <v>4465</v>
      </c>
      <c r="U339" s="2" t="s">
        <v>4465</v>
      </c>
    </row>
    <row r="340" customFormat="false" ht="35.05" hidden="false" customHeight="false" outlineLevel="0" collapsed="false">
      <c r="A340" s="2" t="s">
        <v>4043</v>
      </c>
      <c r="B340" s="2" t="s">
        <v>4466</v>
      </c>
      <c r="C340" s="2" t="s">
        <v>4467</v>
      </c>
      <c r="D340" s="2" t="s">
        <v>4468</v>
      </c>
      <c r="E340" s="2" t="s">
        <v>4469</v>
      </c>
      <c r="F340" s="2" t="s">
        <v>139</v>
      </c>
      <c r="G340" s="2" t="s">
        <v>4470</v>
      </c>
      <c r="H340" s="2" t="s">
        <v>89</v>
      </c>
      <c r="I340" s="2" t="s">
        <v>4471</v>
      </c>
      <c r="J340" s="2" t="s">
        <v>89</v>
      </c>
      <c r="K340" s="2" t="s">
        <v>58</v>
      </c>
      <c r="L340" s="2" t="s">
        <v>4426</v>
      </c>
      <c r="M340" s="2" t="s">
        <v>4472</v>
      </c>
      <c r="N340" s="2" t="s">
        <v>89</v>
      </c>
      <c r="O340" s="2" t="s">
        <v>57</v>
      </c>
      <c r="P340" s="2" t="s">
        <v>57</v>
      </c>
      <c r="Q340" s="2" t="s">
        <v>57</v>
      </c>
      <c r="R340" s="2" t="s">
        <v>57</v>
      </c>
      <c r="S340" s="2" t="s">
        <v>4473</v>
      </c>
      <c r="T340" s="2" t="s">
        <v>4474</v>
      </c>
      <c r="U340" s="2" t="s">
        <v>4475</v>
      </c>
    </row>
    <row r="341" customFormat="false" ht="46.25" hidden="false" customHeight="false" outlineLevel="0" collapsed="false">
      <c r="A341" s="2" t="s">
        <v>4043</v>
      </c>
      <c r="B341" s="2" t="s">
        <v>4476</v>
      </c>
      <c r="C341" s="2" t="s">
        <v>4477</v>
      </c>
      <c r="D341" s="2" t="s">
        <v>4478</v>
      </c>
      <c r="E341" s="2" t="s">
        <v>4479</v>
      </c>
      <c r="F341" s="2" t="s">
        <v>139</v>
      </c>
      <c r="G341" s="2" t="s">
        <v>4480</v>
      </c>
      <c r="H341" s="2" t="s">
        <v>89</v>
      </c>
      <c r="I341" s="2" t="s">
        <v>4481</v>
      </c>
      <c r="J341" s="2" t="s">
        <v>89</v>
      </c>
      <c r="K341" s="2" t="s">
        <v>4482</v>
      </c>
      <c r="L341" s="2" t="s">
        <v>4426</v>
      </c>
      <c r="M341" s="2" t="s">
        <v>4483</v>
      </c>
      <c r="N341" s="2" t="s">
        <v>89</v>
      </c>
      <c r="O341" s="2" t="s">
        <v>57</v>
      </c>
      <c r="P341" s="2" t="s">
        <v>58</v>
      </c>
      <c r="Q341" s="2" t="s">
        <v>89</v>
      </c>
      <c r="R341" s="2" t="s">
        <v>57</v>
      </c>
      <c r="S341" s="2" t="s">
        <v>4484</v>
      </c>
      <c r="T341" s="2" t="s">
        <v>4485</v>
      </c>
      <c r="U341" s="2" t="s">
        <v>4486</v>
      </c>
    </row>
    <row r="342" customFormat="false" ht="57.45" hidden="false" customHeight="false" outlineLevel="0" collapsed="false">
      <c r="A342" s="2" t="s">
        <v>4043</v>
      </c>
      <c r="B342" s="2" t="s">
        <v>4476</v>
      </c>
      <c r="C342" s="2" t="s">
        <v>4487</v>
      </c>
      <c r="D342" s="2" t="s">
        <v>4478</v>
      </c>
      <c r="E342" s="2" t="s">
        <v>4488</v>
      </c>
      <c r="F342" s="2" t="s">
        <v>81</v>
      </c>
      <c r="G342" s="2" t="s">
        <v>4489</v>
      </c>
      <c r="H342" s="2" t="s">
        <v>4490</v>
      </c>
      <c r="I342" s="2" t="s">
        <v>4491</v>
      </c>
      <c r="J342" s="2" t="s">
        <v>89</v>
      </c>
      <c r="K342" s="2" t="s">
        <v>4492</v>
      </c>
      <c r="L342" s="2" t="s">
        <v>4493</v>
      </c>
      <c r="M342" s="2" t="s">
        <v>4494</v>
      </c>
      <c r="N342" s="2" t="s">
        <v>72</v>
      </c>
      <c r="O342" s="2" t="s">
        <v>89</v>
      </c>
      <c r="P342" s="2" t="s">
        <v>58</v>
      </c>
      <c r="Q342" s="2" t="s">
        <v>89</v>
      </c>
      <c r="R342" s="2" t="s">
        <v>57</v>
      </c>
      <c r="S342" s="2" t="s">
        <v>4495</v>
      </c>
      <c r="T342" s="2" t="s">
        <v>4496</v>
      </c>
      <c r="U342" s="2" t="s">
        <v>4497</v>
      </c>
    </row>
    <row r="343" customFormat="false" ht="57.45" hidden="false" customHeight="false" outlineLevel="0" collapsed="false">
      <c r="A343" s="2" t="s">
        <v>4498</v>
      </c>
      <c r="B343" s="2" t="s">
        <v>4499</v>
      </c>
      <c r="C343" s="2" t="s">
        <v>4500</v>
      </c>
      <c r="D343" s="2" t="s">
        <v>4501</v>
      </c>
      <c r="E343" s="2" t="s">
        <v>4502</v>
      </c>
      <c r="F343" s="2" t="s">
        <v>347</v>
      </c>
      <c r="G343" s="2" t="s">
        <v>4503</v>
      </c>
      <c r="H343" s="2" t="s">
        <v>4504</v>
      </c>
      <c r="I343" s="2" t="s">
        <v>4505</v>
      </c>
      <c r="J343" s="2" t="s">
        <v>4506</v>
      </c>
      <c r="K343" s="2" t="s">
        <v>4507</v>
      </c>
      <c r="L343" s="2" t="s">
        <v>4508</v>
      </c>
      <c r="M343" s="2" t="s">
        <v>4509</v>
      </c>
      <c r="N343" s="2" t="s">
        <v>144</v>
      </c>
      <c r="O343" s="2" t="s">
        <v>58</v>
      </c>
      <c r="P343" s="2" t="s">
        <v>57</v>
      </c>
      <c r="Q343" s="2" t="s">
        <v>4510</v>
      </c>
      <c r="R343" s="2" t="s">
        <v>57</v>
      </c>
      <c r="S343" s="2" t="s">
        <v>4511</v>
      </c>
      <c r="T343" s="2" t="s">
        <v>4512</v>
      </c>
      <c r="U343" s="2" t="s">
        <v>4513</v>
      </c>
    </row>
    <row r="344" customFormat="false" ht="68.65" hidden="false" customHeight="false" outlineLevel="0" collapsed="false">
      <c r="A344" s="2" t="s">
        <v>4498</v>
      </c>
      <c r="B344" s="2" t="s">
        <v>4499</v>
      </c>
      <c r="C344" s="2" t="s">
        <v>4500</v>
      </c>
      <c r="D344" s="2" t="s">
        <v>4514</v>
      </c>
      <c r="E344" s="2" t="s">
        <v>4515</v>
      </c>
      <c r="F344" s="2" t="s">
        <v>34</v>
      </c>
      <c r="G344" s="2" t="s">
        <v>4516</v>
      </c>
      <c r="H344" s="2" t="s">
        <v>4517</v>
      </c>
      <c r="I344" s="2" t="s">
        <v>1517</v>
      </c>
      <c r="J344" s="2" t="s">
        <v>4518</v>
      </c>
      <c r="K344" s="2" t="s">
        <v>4519</v>
      </c>
      <c r="L344" s="2" t="s">
        <v>4520</v>
      </c>
      <c r="M344" s="2" t="s">
        <v>4521</v>
      </c>
      <c r="N344" s="2" t="s">
        <v>144</v>
      </c>
      <c r="O344" s="2" t="s">
        <v>58</v>
      </c>
      <c r="P344" s="2" t="s">
        <v>57</v>
      </c>
      <c r="Q344" s="2" t="s">
        <v>4522</v>
      </c>
      <c r="R344" s="2" t="s">
        <v>57</v>
      </c>
      <c r="S344" s="2" t="s">
        <v>4523</v>
      </c>
      <c r="T344" s="2" t="s">
        <v>4524</v>
      </c>
      <c r="U344" s="2" t="s">
        <v>4525</v>
      </c>
    </row>
    <row r="345" customFormat="false" ht="68.65" hidden="false" customHeight="false" outlineLevel="0" collapsed="false">
      <c r="A345" s="2" t="s">
        <v>4498</v>
      </c>
      <c r="B345" s="2" t="s">
        <v>4499</v>
      </c>
      <c r="C345" s="2" t="s">
        <v>4526</v>
      </c>
      <c r="D345" s="2" t="s">
        <v>4527</v>
      </c>
      <c r="E345" s="2" t="s">
        <v>4528</v>
      </c>
      <c r="F345" s="2" t="s">
        <v>139</v>
      </c>
      <c r="G345" s="2" t="s">
        <v>4529</v>
      </c>
      <c r="H345" s="2" t="s">
        <v>58</v>
      </c>
      <c r="I345" s="2" t="s">
        <v>1248</v>
      </c>
      <c r="J345" s="2" t="s">
        <v>4530</v>
      </c>
      <c r="K345" s="2" t="s">
        <v>4531</v>
      </c>
      <c r="L345" s="2" t="s">
        <v>4532</v>
      </c>
      <c r="M345" s="2" t="s">
        <v>4533</v>
      </c>
      <c r="N345" s="2" t="s">
        <v>144</v>
      </c>
      <c r="O345" s="2" t="s">
        <v>4534</v>
      </c>
      <c r="P345" s="2" t="s">
        <v>4535</v>
      </c>
      <c r="Q345" s="2" t="s">
        <v>89</v>
      </c>
      <c r="R345" s="2" t="s">
        <v>57</v>
      </c>
      <c r="S345" s="2" t="s">
        <v>4536</v>
      </c>
      <c r="T345" s="2" t="s">
        <v>4537</v>
      </c>
      <c r="U345" s="2" t="s">
        <v>4538</v>
      </c>
    </row>
    <row r="346" customFormat="false" ht="79.85" hidden="false" customHeight="false" outlineLevel="0" collapsed="false">
      <c r="A346" s="2" t="s">
        <v>4498</v>
      </c>
      <c r="B346" s="2" t="s">
        <v>4499</v>
      </c>
      <c r="C346" s="2" t="s">
        <v>4539</v>
      </c>
      <c r="D346" s="2" t="s">
        <v>4499</v>
      </c>
      <c r="E346" s="2" t="s">
        <v>4540</v>
      </c>
      <c r="F346" s="2" t="s">
        <v>34</v>
      </c>
      <c r="G346" s="2" t="s">
        <v>4541</v>
      </c>
      <c r="H346" s="2" t="s">
        <v>4542</v>
      </c>
      <c r="I346" s="2" t="s">
        <v>4543</v>
      </c>
      <c r="J346" s="2" t="s">
        <v>4544</v>
      </c>
      <c r="K346" s="2" t="s">
        <v>4545</v>
      </c>
      <c r="L346" s="2" t="s">
        <v>4546</v>
      </c>
      <c r="M346" s="2" t="s">
        <v>4547</v>
      </c>
      <c r="N346" s="2" t="s">
        <v>56</v>
      </c>
      <c r="O346" s="2" t="s">
        <v>4548</v>
      </c>
      <c r="P346" s="2" t="s">
        <v>4549</v>
      </c>
      <c r="Q346" s="2" t="s">
        <v>89</v>
      </c>
      <c r="R346" s="2" t="s">
        <v>57</v>
      </c>
      <c r="S346" s="2" t="s">
        <v>4550</v>
      </c>
      <c r="T346" s="2" t="s">
        <v>4551</v>
      </c>
      <c r="U346" s="2" t="s">
        <v>4552</v>
      </c>
    </row>
    <row r="347" customFormat="false" ht="68.65" hidden="false" customHeight="false" outlineLevel="0" collapsed="false">
      <c r="A347" s="2" t="s">
        <v>4498</v>
      </c>
      <c r="B347" s="2" t="s">
        <v>4499</v>
      </c>
      <c r="C347" s="2" t="s">
        <v>4499</v>
      </c>
      <c r="D347" s="2" t="s">
        <v>4553</v>
      </c>
      <c r="E347" s="2" t="s">
        <v>4554</v>
      </c>
      <c r="F347" s="2" t="s">
        <v>66</v>
      </c>
      <c r="G347" s="2" t="s">
        <v>4555</v>
      </c>
      <c r="H347" s="2" t="s">
        <v>57</v>
      </c>
      <c r="I347" s="2" t="s">
        <v>4556</v>
      </c>
      <c r="J347" s="2" t="s">
        <v>4557</v>
      </c>
      <c r="K347" s="2" t="s">
        <v>57</v>
      </c>
      <c r="L347" s="2" t="s">
        <v>4558</v>
      </c>
      <c r="M347" s="2" t="s">
        <v>4559</v>
      </c>
      <c r="N347" s="2" t="s">
        <v>144</v>
      </c>
      <c r="O347" s="2" t="s">
        <v>57</v>
      </c>
      <c r="P347" s="2" t="s">
        <v>4560</v>
      </c>
      <c r="Q347" s="2" t="s">
        <v>89</v>
      </c>
      <c r="R347" s="2" t="s">
        <v>57</v>
      </c>
      <c r="S347" s="2" t="s">
        <v>4561</v>
      </c>
      <c r="T347" s="2" t="s">
        <v>4562</v>
      </c>
      <c r="U347" s="2" t="s">
        <v>4563</v>
      </c>
    </row>
    <row r="348" customFormat="false" ht="68.65" hidden="false" customHeight="false" outlineLevel="0" collapsed="false">
      <c r="A348" s="2" t="s">
        <v>4498</v>
      </c>
      <c r="B348" s="2" t="s">
        <v>4564</v>
      </c>
      <c r="C348" s="2" t="s">
        <v>4565</v>
      </c>
      <c r="D348" s="2" t="s">
        <v>4566</v>
      </c>
      <c r="E348" s="2" t="s">
        <v>4567</v>
      </c>
      <c r="F348" s="2" t="s">
        <v>66</v>
      </c>
      <c r="G348" s="2" t="s">
        <v>4568</v>
      </c>
      <c r="H348" s="2" t="s">
        <v>58</v>
      </c>
      <c r="I348" s="2" t="s">
        <v>4569</v>
      </c>
      <c r="J348" s="2" t="s">
        <v>57</v>
      </c>
      <c r="K348" s="2" t="s">
        <v>57</v>
      </c>
      <c r="L348" s="2" t="s">
        <v>4570</v>
      </c>
      <c r="M348" s="2" t="s">
        <v>4571</v>
      </c>
      <c r="N348" s="2" t="s">
        <v>144</v>
      </c>
      <c r="O348" s="2" t="s">
        <v>57</v>
      </c>
      <c r="P348" s="2" t="s">
        <v>57</v>
      </c>
      <c r="Q348" s="2" t="s">
        <v>89</v>
      </c>
      <c r="R348" s="2" t="s">
        <v>57</v>
      </c>
      <c r="S348" s="2" t="s">
        <v>4572</v>
      </c>
      <c r="T348" s="2" t="s">
        <v>4573</v>
      </c>
      <c r="U348" s="2" t="s">
        <v>4574</v>
      </c>
    </row>
    <row r="349" customFormat="false" ht="68.65" hidden="false" customHeight="false" outlineLevel="0" collapsed="false">
      <c r="A349" s="2" t="s">
        <v>4498</v>
      </c>
      <c r="B349" s="2" t="s">
        <v>4564</v>
      </c>
      <c r="C349" s="2" t="s">
        <v>4564</v>
      </c>
      <c r="D349" s="2" t="s">
        <v>4575</v>
      </c>
      <c r="E349" s="2" t="s">
        <v>4576</v>
      </c>
      <c r="F349" s="2" t="s">
        <v>720</v>
      </c>
      <c r="G349" s="2" t="s">
        <v>4577</v>
      </c>
      <c r="H349" s="2" t="s">
        <v>89</v>
      </c>
      <c r="I349" s="2" t="s">
        <v>4578</v>
      </c>
      <c r="J349" s="2" t="s">
        <v>57</v>
      </c>
      <c r="K349" s="2" t="s">
        <v>57</v>
      </c>
      <c r="L349" s="2" t="s">
        <v>4579</v>
      </c>
      <c r="M349" s="2" t="s">
        <v>4580</v>
      </c>
      <c r="N349" s="2" t="s">
        <v>144</v>
      </c>
      <c r="O349" s="2" t="s">
        <v>57</v>
      </c>
      <c r="P349" s="2" t="s">
        <v>57</v>
      </c>
      <c r="Q349" s="2" t="s">
        <v>89</v>
      </c>
      <c r="R349" s="2" t="s">
        <v>57</v>
      </c>
      <c r="S349" s="2" t="s">
        <v>4581</v>
      </c>
      <c r="T349" s="2" t="s">
        <v>4582</v>
      </c>
      <c r="U349" s="2" t="s">
        <v>4583</v>
      </c>
    </row>
    <row r="350" customFormat="false" ht="113.4" hidden="false" customHeight="false" outlineLevel="0" collapsed="false">
      <c r="A350" s="2" t="s">
        <v>4498</v>
      </c>
      <c r="B350" s="2" t="s">
        <v>4564</v>
      </c>
      <c r="C350" s="2" t="s">
        <v>4584</v>
      </c>
      <c r="D350" s="2" t="s">
        <v>4585</v>
      </c>
      <c r="E350" s="2" t="s">
        <v>4586</v>
      </c>
      <c r="F350" s="2" t="s">
        <v>81</v>
      </c>
      <c r="G350" s="2" t="s">
        <v>4587</v>
      </c>
      <c r="H350" s="2" t="s">
        <v>4588</v>
      </c>
      <c r="I350" s="2" t="s">
        <v>4589</v>
      </c>
      <c r="J350" s="2" t="s">
        <v>57</v>
      </c>
      <c r="K350" s="2" t="s">
        <v>4590</v>
      </c>
      <c r="L350" s="2" t="s">
        <v>4591</v>
      </c>
      <c r="M350" s="2" t="s">
        <v>4592</v>
      </c>
      <c r="N350" s="2" t="s">
        <v>89</v>
      </c>
      <c r="O350" s="2" t="s">
        <v>4593</v>
      </c>
      <c r="P350" s="2" t="s">
        <v>57</v>
      </c>
      <c r="Q350" s="2" t="s">
        <v>89</v>
      </c>
      <c r="R350" s="2" t="s">
        <v>57</v>
      </c>
      <c r="S350" s="2" t="s">
        <v>4594</v>
      </c>
      <c r="T350" s="2" t="s">
        <v>4595</v>
      </c>
      <c r="U350" s="2" t="s">
        <v>4596</v>
      </c>
    </row>
    <row r="351" customFormat="false" ht="68.65" hidden="false" customHeight="false" outlineLevel="0" collapsed="false">
      <c r="A351" s="2" t="s">
        <v>4498</v>
      </c>
      <c r="B351" s="2" t="s">
        <v>4597</v>
      </c>
      <c r="C351" s="2" t="s">
        <v>4598</v>
      </c>
      <c r="D351" s="2" t="s">
        <v>4599</v>
      </c>
      <c r="E351" s="2" t="s">
        <v>4600</v>
      </c>
      <c r="F351" s="2" t="s">
        <v>139</v>
      </c>
      <c r="G351" s="2" t="s">
        <v>3452</v>
      </c>
      <c r="H351" s="2" t="s">
        <v>89</v>
      </c>
      <c r="I351" s="2" t="s">
        <v>4601</v>
      </c>
      <c r="J351" s="2" t="s">
        <v>89</v>
      </c>
      <c r="K351" s="2" t="s">
        <v>4602</v>
      </c>
      <c r="L351" s="2" t="s">
        <v>4603</v>
      </c>
      <c r="M351" s="2" t="s">
        <v>4604</v>
      </c>
      <c r="N351" s="2" t="s">
        <v>72</v>
      </c>
      <c r="O351" s="2" t="s">
        <v>4605</v>
      </c>
      <c r="P351" s="2" t="s">
        <v>57</v>
      </c>
      <c r="Q351" s="2" t="s">
        <v>89</v>
      </c>
      <c r="R351" s="2" t="s">
        <v>57</v>
      </c>
      <c r="S351" s="2" t="s">
        <v>4606</v>
      </c>
      <c r="T351" s="2" t="s">
        <v>4607</v>
      </c>
      <c r="U351" s="2" t="s">
        <v>4608</v>
      </c>
    </row>
    <row r="352" customFormat="false" ht="68.65" hidden="false" customHeight="false" outlineLevel="0" collapsed="false">
      <c r="A352" s="2" t="s">
        <v>4498</v>
      </c>
      <c r="B352" s="2" t="s">
        <v>4609</v>
      </c>
      <c r="C352" s="2" t="s">
        <v>4609</v>
      </c>
      <c r="D352" s="2" t="s">
        <v>4610</v>
      </c>
      <c r="E352" s="2" t="s">
        <v>4611</v>
      </c>
      <c r="F352" s="2" t="s">
        <v>34</v>
      </c>
      <c r="G352" s="2" t="s">
        <v>4612</v>
      </c>
      <c r="H352" s="2" t="s">
        <v>4269</v>
      </c>
      <c r="I352" s="2" t="s">
        <v>1517</v>
      </c>
      <c r="J352" s="2" t="s">
        <v>225</v>
      </c>
      <c r="K352" s="2" t="s">
        <v>4613</v>
      </c>
      <c r="L352" s="2" t="s">
        <v>4614</v>
      </c>
      <c r="M352" s="2" t="s">
        <v>4615</v>
      </c>
      <c r="N352" s="2" t="s">
        <v>42</v>
      </c>
      <c r="O352" s="2" t="s">
        <v>4616</v>
      </c>
      <c r="P352" s="2" t="s">
        <v>4617</v>
      </c>
      <c r="Q352" s="2" t="s">
        <v>4618</v>
      </c>
      <c r="R352" s="2" t="s">
        <v>57</v>
      </c>
      <c r="S352" s="2" t="s">
        <v>4619</v>
      </c>
      <c r="T352" s="2" t="s">
        <v>4620</v>
      </c>
      <c r="U352" s="2" t="s">
        <v>4621</v>
      </c>
    </row>
    <row r="353" customFormat="false" ht="102.2" hidden="false" customHeight="false" outlineLevel="0" collapsed="false">
      <c r="A353" s="2" t="s">
        <v>4498</v>
      </c>
      <c r="B353" s="2" t="s">
        <v>4235</v>
      </c>
      <c r="C353" s="2" t="s">
        <v>4622</v>
      </c>
      <c r="D353" s="2" t="s">
        <v>4623</v>
      </c>
      <c r="E353" s="2" t="s">
        <v>4624</v>
      </c>
      <c r="F353" s="2" t="s">
        <v>34</v>
      </c>
      <c r="G353" s="2" t="s">
        <v>4625</v>
      </c>
      <c r="H353" s="2" t="s">
        <v>4626</v>
      </c>
      <c r="I353" s="2" t="s">
        <v>183</v>
      </c>
      <c r="J353" s="2" t="s">
        <v>4242</v>
      </c>
      <c r="K353" s="2" t="s">
        <v>4627</v>
      </c>
      <c r="L353" s="2" t="s">
        <v>4628</v>
      </c>
      <c r="M353" s="2" t="s">
        <v>4629</v>
      </c>
      <c r="N353" s="2" t="s">
        <v>144</v>
      </c>
      <c r="O353" s="2" t="s">
        <v>4630</v>
      </c>
      <c r="P353" s="2" t="s">
        <v>4631</v>
      </c>
      <c r="Q353" s="2" t="s">
        <v>4632</v>
      </c>
      <c r="R353" s="2" t="s">
        <v>57</v>
      </c>
      <c r="S353" s="2" t="s">
        <v>4633</v>
      </c>
      <c r="T353" s="2" t="s">
        <v>4634</v>
      </c>
      <c r="U353" s="2" t="s">
        <v>4635</v>
      </c>
    </row>
    <row r="354" customFormat="false" ht="57.45" hidden="false" customHeight="false" outlineLevel="0" collapsed="false">
      <c r="A354" s="2" t="s">
        <v>4498</v>
      </c>
      <c r="B354" s="2" t="s">
        <v>4206</v>
      </c>
      <c r="C354" s="2" t="s">
        <v>4636</v>
      </c>
      <c r="D354" s="2" t="s">
        <v>4637</v>
      </c>
      <c r="E354" s="2" t="s">
        <v>4638</v>
      </c>
      <c r="F354" s="2" t="s">
        <v>34</v>
      </c>
      <c r="G354" s="2" t="s">
        <v>4639</v>
      </c>
      <c r="H354" s="2" t="s">
        <v>4640</v>
      </c>
      <c r="I354" s="2" t="s">
        <v>4641</v>
      </c>
      <c r="J354" s="2" t="s">
        <v>38</v>
      </c>
      <c r="K354" s="2" t="s">
        <v>4642</v>
      </c>
      <c r="L354" s="2" t="s">
        <v>4643</v>
      </c>
      <c r="M354" s="2" t="s">
        <v>4644</v>
      </c>
      <c r="N354" s="2" t="s">
        <v>56</v>
      </c>
      <c r="O354" s="2" t="s">
        <v>4645</v>
      </c>
      <c r="P354" s="2" t="s">
        <v>4646</v>
      </c>
      <c r="Q354" s="2" t="s">
        <v>4647</v>
      </c>
      <c r="R354" s="2" t="s">
        <v>57</v>
      </c>
      <c r="S354" s="2" t="s">
        <v>4648</v>
      </c>
      <c r="T354" s="2" t="s">
        <v>4649</v>
      </c>
      <c r="U354" s="2" t="s">
        <v>4650</v>
      </c>
    </row>
    <row r="355" customFormat="false" ht="57.45" hidden="false" customHeight="false" outlineLevel="0" collapsed="false">
      <c r="A355" s="2" t="s">
        <v>4498</v>
      </c>
      <c r="B355" s="2" t="s">
        <v>4651</v>
      </c>
      <c r="C355" s="2" t="s">
        <v>4652</v>
      </c>
      <c r="D355" s="2" t="s">
        <v>4653</v>
      </c>
      <c r="E355" s="2" t="s">
        <v>4654</v>
      </c>
      <c r="F355" s="2" t="s">
        <v>34</v>
      </c>
      <c r="G355" s="2" t="s">
        <v>4655</v>
      </c>
      <c r="H355" s="2" t="s">
        <v>2498</v>
      </c>
      <c r="I355" s="2" t="s">
        <v>1236</v>
      </c>
      <c r="J355" s="2" t="s">
        <v>197</v>
      </c>
      <c r="K355" s="2" t="s">
        <v>4656</v>
      </c>
      <c r="L355" s="2" t="s">
        <v>4657</v>
      </c>
      <c r="M355" s="2" t="s">
        <v>4658</v>
      </c>
      <c r="N355" s="2" t="s">
        <v>144</v>
      </c>
      <c r="O355" s="2" t="s">
        <v>58</v>
      </c>
      <c r="P355" s="2" t="s">
        <v>4659</v>
      </c>
      <c r="Q355" s="2" t="s">
        <v>57</v>
      </c>
      <c r="R355" s="2" t="s">
        <v>57</v>
      </c>
      <c r="S355" s="2" t="s">
        <v>4660</v>
      </c>
      <c r="T355" s="2" t="s">
        <v>4661</v>
      </c>
      <c r="U355" s="2" t="s">
        <v>4662</v>
      </c>
    </row>
    <row r="356" customFormat="false" ht="79.85" hidden="false" customHeight="false" outlineLevel="0" collapsed="false">
      <c r="A356" s="2" t="s">
        <v>4498</v>
      </c>
      <c r="B356" s="2" t="s">
        <v>4609</v>
      </c>
      <c r="C356" s="2" t="s">
        <v>4663</v>
      </c>
      <c r="D356" s="2" t="s">
        <v>4664</v>
      </c>
      <c r="E356" s="2" t="s">
        <v>4665</v>
      </c>
      <c r="F356" s="2" t="s">
        <v>193</v>
      </c>
      <c r="G356" s="2" t="s">
        <v>4666</v>
      </c>
      <c r="H356" s="2" t="s">
        <v>4667</v>
      </c>
      <c r="I356" s="2" t="s">
        <v>4668</v>
      </c>
      <c r="J356" s="2" t="s">
        <v>225</v>
      </c>
      <c r="K356" s="2" t="s">
        <v>4669</v>
      </c>
      <c r="L356" s="2" t="s">
        <v>4670</v>
      </c>
      <c r="M356" s="2" t="s">
        <v>4671</v>
      </c>
      <c r="N356" s="2" t="s">
        <v>89</v>
      </c>
      <c r="O356" s="2" t="s">
        <v>57</v>
      </c>
      <c r="P356" s="2" t="s">
        <v>4672</v>
      </c>
      <c r="Q356" s="2" t="s">
        <v>4673</v>
      </c>
      <c r="R356" s="2" t="s">
        <v>57</v>
      </c>
      <c r="S356" s="2" t="s">
        <v>4674</v>
      </c>
      <c r="T356" s="2" t="s">
        <v>4675</v>
      </c>
      <c r="U356" s="2" t="s">
        <v>4676</v>
      </c>
    </row>
    <row r="357" customFormat="false" ht="79.85" hidden="false" customHeight="false" outlineLevel="0" collapsed="false">
      <c r="A357" s="2" t="s">
        <v>4498</v>
      </c>
      <c r="B357" s="2" t="s">
        <v>4677</v>
      </c>
      <c r="C357" s="2" t="s">
        <v>4677</v>
      </c>
      <c r="D357" s="2" t="s">
        <v>4678</v>
      </c>
      <c r="E357" s="2" t="s">
        <v>4679</v>
      </c>
      <c r="F357" s="2" t="s">
        <v>34</v>
      </c>
      <c r="G357" s="2" t="s">
        <v>4680</v>
      </c>
      <c r="H357" s="2" t="s">
        <v>4681</v>
      </c>
      <c r="I357" s="2" t="s">
        <v>4682</v>
      </c>
      <c r="J357" s="2" t="s">
        <v>38</v>
      </c>
      <c r="K357" s="2" t="s">
        <v>4683</v>
      </c>
      <c r="L357" s="2" t="s">
        <v>4684</v>
      </c>
      <c r="M357" s="2" t="s">
        <v>4685</v>
      </c>
      <c r="N357" s="2" t="s">
        <v>42</v>
      </c>
      <c r="O357" s="2" t="s">
        <v>4686</v>
      </c>
      <c r="P357" s="2" t="s">
        <v>4687</v>
      </c>
      <c r="Q357" s="2" t="s">
        <v>4688</v>
      </c>
      <c r="R357" s="2" t="s">
        <v>57</v>
      </c>
      <c r="S357" s="2" t="s">
        <v>4689</v>
      </c>
      <c r="T357" s="2" t="s">
        <v>4690</v>
      </c>
      <c r="U357" s="2" t="s">
        <v>4691</v>
      </c>
    </row>
    <row r="358" customFormat="false" ht="79.85" hidden="false" customHeight="false" outlineLevel="0" collapsed="false">
      <c r="A358" s="2" t="s">
        <v>4498</v>
      </c>
      <c r="B358" s="2" t="s">
        <v>4692</v>
      </c>
      <c r="C358" s="2" t="s">
        <v>4692</v>
      </c>
      <c r="D358" s="2" t="s">
        <v>4693</v>
      </c>
      <c r="E358" s="2" t="s">
        <v>4694</v>
      </c>
      <c r="F358" s="2" t="s">
        <v>280</v>
      </c>
      <c r="G358" s="2" t="s">
        <v>4695</v>
      </c>
      <c r="H358" s="2" t="s">
        <v>2921</v>
      </c>
      <c r="I358" s="2" t="s">
        <v>4696</v>
      </c>
      <c r="J358" s="2" t="s">
        <v>57</v>
      </c>
      <c r="K358" s="2" t="s">
        <v>4697</v>
      </c>
      <c r="L358" s="2" t="s">
        <v>4698</v>
      </c>
      <c r="M358" s="2" t="s">
        <v>4699</v>
      </c>
      <c r="N358" s="2" t="s">
        <v>56</v>
      </c>
      <c r="O358" s="2" t="s">
        <v>4700</v>
      </c>
      <c r="P358" s="2" t="s">
        <v>4701</v>
      </c>
      <c r="Q358" s="2" t="s">
        <v>4702</v>
      </c>
      <c r="R358" s="2" t="s">
        <v>57</v>
      </c>
      <c r="S358" s="2" t="s">
        <v>4703</v>
      </c>
      <c r="T358" s="2" t="s">
        <v>4704</v>
      </c>
      <c r="U358" s="2" t="s">
        <v>4705</v>
      </c>
    </row>
    <row r="359" customFormat="false" ht="68.65" hidden="false" customHeight="false" outlineLevel="0" collapsed="false">
      <c r="A359" s="2" t="s">
        <v>4498</v>
      </c>
      <c r="B359" s="2" t="s">
        <v>4692</v>
      </c>
      <c r="C359" s="2" t="s">
        <v>4706</v>
      </c>
      <c r="D359" s="2" t="s">
        <v>4707</v>
      </c>
      <c r="E359" s="2" t="s">
        <v>4708</v>
      </c>
      <c r="F359" s="2" t="s">
        <v>720</v>
      </c>
      <c r="G359" s="2" t="s">
        <v>4709</v>
      </c>
      <c r="H359" s="2" t="s">
        <v>89</v>
      </c>
      <c r="I359" s="2" t="s">
        <v>4578</v>
      </c>
      <c r="J359" s="2" t="s">
        <v>57</v>
      </c>
      <c r="K359" s="2" t="s">
        <v>57</v>
      </c>
      <c r="L359" s="2" t="s">
        <v>4710</v>
      </c>
      <c r="M359" s="2" t="s">
        <v>4711</v>
      </c>
      <c r="N359" s="2" t="s">
        <v>56</v>
      </c>
      <c r="O359" s="2" t="s">
        <v>4712</v>
      </c>
      <c r="P359" s="2" t="s">
        <v>4713</v>
      </c>
      <c r="Q359" s="2" t="s">
        <v>89</v>
      </c>
      <c r="R359" s="2" t="s">
        <v>57</v>
      </c>
      <c r="S359" s="2" t="s">
        <v>4714</v>
      </c>
      <c r="T359" s="2" t="s">
        <v>4715</v>
      </c>
      <c r="U359" s="2" t="s">
        <v>4716</v>
      </c>
    </row>
    <row r="360" customFormat="false" ht="68.65" hidden="false" customHeight="false" outlineLevel="0" collapsed="false">
      <c r="A360" s="2" t="s">
        <v>4498</v>
      </c>
      <c r="B360" s="2" t="s">
        <v>4717</v>
      </c>
      <c r="C360" s="2" t="s">
        <v>4717</v>
      </c>
      <c r="D360" s="2" t="s">
        <v>4718</v>
      </c>
      <c r="E360" s="2" t="s">
        <v>4719</v>
      </c>
      <c r="F360" s="2" t="s">
        <v>66</v>
      </c>
      <c r="G360" s="2" t="s">
        <v>4720</v>
      </c>
      <c r="H360" s="2" t="s">
        <v>57</v>
      </c>
      <c r="I360" s="2" t="s">
        <v>4721</v>
      </c>
      <c r="J360" s="2" t="s">
        <v>57</v>
      </c>
      <c r="K360" s="2" t="s">
        <v>57</v>
      </c>
      <c r="L360" s="2" t="s">
        <v>4722</v>
      </c>
      <c r="M360" s="2" t="s">
        <v>4723</v>
      </c>
      <c r="N360" s="2" t="s">
        <v>144</v>
      </c>
      <c r="O360" s="2" t="s">
        <v>57</v>
      </c>
      <c r="P360" s="2" t="s">
        <v>4724</v>
      </c>
      <c r="Q360" s="2" t="s">
        <v>89</v>
      </c>
      <c r="R360" s="2" t="s">
        <v>57</v>
      </c>
      <c r="S360" s="2" t="s">
        <v>4725</v>
      </c>
      <c r="T360" s="2" t="s">
        <v>4726</v>
      </c>
      <c r="U360" s="2" t="s">
        <v>4727</v>
      </c>
    </row>
    <row r="361" customFormat="false" ht="57.45" hidden="false" customHeight="false" outlineLevel="0" collapsed="false">
      <c r="A361" s="2" t="s">
        <v>4498</v>
      </c>
      <c r="B361" s="2" t="s">
        <v>4728</v>
      </c>
      <c r="C361" s="2" t="s">
        <v>4729</v>
      </c>
      <c r="D361" s="2" t="s">
        <v>4730</v>
      </c>
      <c r="E361" s="2" t="s">
        <v>4731</v>
      </c>
      <c r="F361" s="2" t="s">
        <v>280</v>
      </c>
      <c r="G361" s="2" t="s">
        <v>4732</v>
      </c>
      <c r="H361" s="2" t="s">
        <v>4733</v>
      </c>
      <c r="I361" s="2" t="s">
        <v>4641</v>
      </c>
      <c r="J361" s="2" t="s">
        <v>2694</v>
      </c>
      <c r="K361" s="2" t="s">
        <v>4734</v>
      </c>
      <c r="L361" s="2" t="s">
        <v>4735</v>
      </c>
      <c r="M361" s="2" t="s">
        <v>4736</v>
      </c>
      <c r="N361" s="2" t="s">
        <v>89</v>
      </c>
      <c r="O361" s="2" t="s">
        <v>58</v>
      </c>
      <c r="P361" s="2" t="s">
        <v>4737</v>
      </c>
      <c r="Q361" s="2" t="s">
        <v>4738</v>
      </c>
      <c r="R361" s="2" t="s">
        <v>57</v>
      </c>
      <c r="S361" s="2" t="s">
        <v>4739</v>
      </c>
      <c r="T361" s="2" t="s">
        <v>4740</v>
      </c>
      <c r="U361" s="2" t="s">
        <v>4741</v>
      </c>
    </row>
    <row r="362" customFormat="false" ht="79.85" hidden="false" customHeight="false" outlineLevel="0" collapsed="false">
      <c r="A362" s="2" t="s">
        <v>4498</v>
      </c>
      <c r="B362" s="2" t="s">
        <v>4742</v>
      </c>
      <c r="C362" s="2" t="s">
        <v>4743</v>
      </c>
      <c r="D362" s="2" t="s">
        <v>4744</v>
      </c>
      <c r="E362" s="2" t="s">
        <v>4745</v>
      </c>
      <c r="F362" s="2" t="s">
        <v>34</v>
      </c>
      <c r="G362" s="2" t="s">
        <v>4746</v>
      </c>
      <c r="H362" s="2" t="s">
        <v>4747</v>
      </c>
      <c r="I362" s="2" t="s">
        <v>1248</v>
      </c>
      <c r="J362" s="2" t="s">
        <v>1080</v>
      </c>
      <c r="K362" s="2" t="s">
        <v>4748</v>
      </c>
      <c r="L362" s="2" t="s">
        <v>4749</v>
      </c>
      <c r="M362" s="2" t="s">
        <v>4750</v>
      </c>
      <c r="N362" s="2" t="s">
        <v>144</v>
      </c>
      <c r="O362" s="2" t="s">
        <v>58</v>
      </c>
      <c r="P362" s="2" t="s">
        <v>2896</v>
      </c>
      <c r="Q362" s="2" t="s">
        <v>4751</v>
      </c>
      <c r="R362" s="2" t="s">
        <v>57</v>
      </c>
      <c r="S362" s="2" t="s">
        <v>4752</v>
      </c>
      <c r="T362" s="2" t="s">
        <v>4753</v>
      </c>
      <c r="U362" s="2" t="s">
        <v>4754</v>
      </c>
    </row>
    <row r="363" customFormat="false" ht="57.45" hidden="false" customHeight="false" outlineLevel="0" collapsed="false">
      <c r="A363" s="2" t="s">
        <v>4498</v>
      </c>
      <c r="B363" s="2" t="s">
        <v>4755</v>
      </c>
      <c r="C363" s="2" t="s">
        <v>4756</v>
      </c>
      <c r="D363" s="2" t="s">
        <v>4757</v>
      </c>
      <c r="E363" s="2" t="s">
        <v>4758</v>
      </c>
      <c r="F363" s="2" t="s">
        <v>34</v>
      </c>
      <c r="G363" s="2" t="s">
        <v>4759</v>
      </c>
      <c r="H363" s="2" t="s">
        <v>4760</v>
      </c>
      <c r="I363" s="2" t="s">
        <v>4761</v>
      </c>
      <c r="J363" s="2" t="s">
        <v>877</v>
      </c>
      <c r="K363" s="2" t="s">
        <v>4762</v>
      </c>
      <c r="L363" s="2" t="s">
        <v>4763</v>
      </c>
      <c r="M363" s="2" t="s">
        <v>4764</v>
      </c>
      <c r="N363" s="2" t="s">
        <v>144</v>
      </c>
      <c r="O363" s="2" t="s">
        <v>57</v>
      </c>
      <c r="P363" s="2" t="s">
        <v>57</v>
      </c>
      <c r="Q363" s="2" t="s">
        <v>4765</v>
      </c>
      <c r="R363" s="2" t="s">
        <v>57</v>
      </c>
      <c r="S363" s="2" t="s">
        <v>4766</v>
      </c>
      <c r="T363" s="2" t="s">
        <v>4767</v>
      </c>
      <c r="U363" s="2" t="s">
        <v>4768</v>
      </c>
    </row>
    <row r="364" customFormat="false" ht="46.25" hidden="false" customHeight="false" outlineLevel="0" collapsed="false">
      <c r="A364" s="2" t="s">
        <v>4498</v>
      </c>
      <c r="B364" s="2" t="s">
        <v>4755</v>
      </c>
      <c r="C364" s="2" t="s">
        <v>4769</v>
      </c>
      <c r="D364" s="2" t="s">
        <v>4770</v>
      </c>
      <c r="E364" s="2" t="s">
        <v>4771</v>
      </c>
      <c r="F364" s="2" t="s">
        <v>34</v>
      </c>
      <c r="G364" s="2" t="s">
        <v>4772</v>
      </c>
      <c r="H364" s="2" t="s">
        <v>4773</v>
      </c>
      <c r="I364" s="2" t="s">
        <v>4774</v>
      </c>
      <c r="J364" s="2" t="s">
        <v>4775</v>
      </c>
      <c r="K364" s="2" t="s">
        <v>4776</v>
      </c>
      <c r="L364" s="2" t="s">
        <v>4777</v>
      </c>
      <c r="M364" s="2" t="s">
        <v>4778</v>
      </c>
      <c r="N364" s="2" t="s">
        <v>42</v>
      </c>
      <c r="O364" s="2" t="s">
        <v>57</v>
      </c>
      <c r="P364" s="2" t="s">
        <v>2131</v>
      </c>
      <c r="Q364" s="2" t="s">
        <v>4779</v>
      </c>
      <c r="R364" s="2" t="s">
        <v>57</v>
      </c>
      <c r="S364" s="2" t="s">
        <v>4780</v>
      </c>
      <c r="T364" s="2" t="s">
        <v>4781</v>
      </c>
      <c r="U364" s="2" t="s">
        <v>4782</v>
      </c>
    </row>
    <row r="365" customFormat="false" ht="57.45" hidden="false" customHeight="false" outlineLevel="0" collapsed="false">
      <c r="A365" s="2" t="s">
        <v>4498</v>
      </c>
      <c r="B365" s="2" t="s">
        <v>4755</v>
      </c>
      <c r="C365" s="2" t="s">
        <v>4783</v>
      </c>
      <c r="D365" s="2" t="s">
        <v>4784</v>
      </c>
      <c r="E365" s="2" t="s">
        <v>4785</v>
      </c>
      <c r="F365" s="2" t="s">
        <v>34</v>
      </c>
      <c r="G365" s="2" t="s">
        <v>4786</v>
      </c>
      <c r="H365" s="2" t="s">
        <v>4787</v>
      </c>
      <c r="I365" s="2" t="s">
        <v>1236</v>
      </c>
      <c r="J365" s="2" t="s">
        <v>225</v>
      </c>
      <c r="K365" s="2" t="s">
        <v>4788</v>
      </c>
      <c r="L365" s="2" t="s">
        <v>4789</v>
      </c>
      <c r="M365" s="2" t="s">
        <v>4790</v>
      </c>
      <c r="N365" s="2" t="s">
        <v>42</v>
      </c>
      <c r="O365" s="2" t="s">
        <v>4791</v>
      </c>
      <c r="P365" s="2" t="s">
        <v>4792</v>
      </c>
      <c r="Q365" s="2" t="s">
        <v>4793</v>
      </c>
      <c r="R365" s="2" t="s">
        <v>57</v>
      </c>
      <c r="S365" s="2" t="s">
        <v>4794</v>
      </c>
      <c r="T365" s="2" t="s">
        <v>4795</v>
      </c>
      <c r="U365" s="2" t="s">
        <v>4796</v>
      </c>
    </row>
    <row r="366" customFormat="false" ht="79.85" hidden="false" customHeight="false" outlineLevel="0" collapsed="false">
      <c r="A366" s="2" t="s">
        <v>4498</v>
      </c>
      <c r="B366" s="2" t="s">
        <v>4755</v>
      </c>
      <c r="C366" s="2" t="s">
        <v>4797</v>
      </c>
      <c r="D366" s="2" t="s">
        <v>4770</v>
      </c>
      <c r="E366" s="2" t="s">
        <v>4798</v>
      </c>
      <c r="F366" s="2" t="s">
        <v>139</v>
      </c>
      <c r="G366" s="2" t="s">
        <v>4799</v>
      </c>
      <c r="H366" s="2" t="s">
        <v>4800</v>
      </c>
      <c r="I366" s="2" t="s">
        <v>2243</v>
      </c>
      <c r="J366" s="2" t="s">
        <v>4801</v>
      </c>
      <c r="K366" s="2" t="s">
        <v>4802</v>
      </c>
      <c r="L366" s="2" t="s">
        <v>590</v>
      </c>
      <c r="M366" s="2" t="s">
        <v>4803</v>
      </c>
      <c r="N366" s="2" t="s">
        <v>144</v>
      </c>
      <c r="O366" s="2" t="s">
        <v>4804</v>
      </c>
      <c r="P366" s="2" t="s">
        <v>57</v>
      </c>
      <c r="Q366" s="2" t="s">
        <v>4805</v>
      </c>
      <c r="R366" s="2" t="s">
        <v>57</v>
      </c>
      <c r="S366" s="2" t="s">
        <v>4806</v>
      </c>
      <c r="T366" s="2" t="s">
        <v>4807</v>
      </c>
      <c r="U366" s="2" t="s">
        <v>4808</v>
      </c>
    </row>
    <row r="367" customFormat="false" ht="46.25" hidden="false" customHeight="false" outlineLevel="0" collapsed="false">
      <c r="A367" s="2" t="s">
        <v>4498</v>
      </c>
      <c r="B367" s="2" t="s">
        <v>4755</v>
      </c>
      <c r="C367" s="2" t="s">
        <v>4797</v>
      </c>
      <c r="D367" s="2" t="s">
        <v>4770</v>
      </c>
      <c r="E367" s="2" t="s">
        <v>4809</v>
      </c>
      <c r="F367" s="2" t="s">
        <v>139</v>
      </c>
      <c r="G367" s="2" t="s">
        <v>4810</v>
      </c>
      <c r="H367" s="2" t="s">
        <v>4811</v>
      </c>
      <c r="I367" s="2" t="s">
        <v>4812</v>
      </c>
      <c r="J367" s="2" t="s">
        <v>57</v>
      </c>
      <c r="K367" s="2" t="s">
        <v>57</v>
      </c>
      <c r="L367" s="2" t="s">
        <v>4813</v>
      </c>
      <c r="M367" s="2" t="s">
        <v>4814</v>
      </c>
      <c r="N367" s="2" t="s">
        <v>56</v>
      </c>
      <c r="O367" s="2" t="s">
        <v>57</v>
      </c>
      <c r="P367" s="2" t="s">
        <v>57</v>
      </c>
      <c r="Q367" s="2" t="s">
        <v>57</v>
      </c>
      <c r="R367" s="2" t="s">
        <v>57</v>
      </c>
      <c r="S367" s="2" t="s">
        <v>4815</v>
      </c>
      <c r="T367" s="2" t="s">
        <v>4816</v>
      </c>
      <c r="U367" s="2" t="s">
        <v>4817</v>
      </c>
    </row>
    <row r="368" customFormat="false" ht="68.65" hidden="false" customHeight="false" outlineLevel="0" collapsed="false">
      <c r="A368" s="2" t="s">
        <v>4498</v>
      </c>
      <c r="B368" s="2" t="s">
        <v>4818</v>
      </c>
      <c r="C368" s="2" t="s">
        <v>4819</v>
      </c>
      <c r="D368" s="2" t="s">
        <v>4820</v>
      </c>
      <c r="E368" s="2" t="s">
        <v>4821</v>
      </c>
      <c r="F368" s="2" t="s">
        <v>34</v>
      </c>
      <c r="G368" s="2" t="s">
        <v>4822</v>
      </c>
      <c r="H368" s="2" t="s">
        <v>4823</v>
      </c>
      <c r="I368" s="2" t="s">
        <v>4824</v>
      </c>
      <c r="J368" s="2" t="s">
        <v>4825</v>
      </c>
      <c r="K368" s="2" t="s">
        <v>4826</v>
      </c>
      <c r="L368" s="2" t="s">
        <v>4827</v>
      </c>
      <c r="M368" s="2" t="s">
        <v>4828</v>
      </c>
      <c r="N368" s="2" t="s">
        <v>144</v>
      </c>
      <c r="O368" s="2" t="s">
        <v>4829</v>
      </c>
      <c r="P368" s="2" t="s">
        <v>4830</v>
      </c>
      <c r="Q368" s="2" t="s">
        <v>4831</v>
      </c>
      <c r="R368" s="2" t="s">
        <v>57</v>
      </c>
      <c r="S368" s="2" t="s">
        <v>4832</v>
      </c>
      <c r="T368" s="2" t="s">
        <v>4833</v>
      </c>
      <c r="U368" s="2" t="s">
        <v>4834</v>
      </c>
    </row>
    <row r="369" customFormat="false" ht="46.25" hidden="false" customHeight="false" outlineLevel="0" collapsed="false">
      <c r="A369" s="2" t="s">
        <v>4498</v>
      </c>
      <c r="B369" s="2" t="s">
        <v>4818</v>
      </c>
      <c r="C369" s="2" t="s">
        <v>4818</v>
      </c>
      <c r="D369" s="2" t="s">
        <v>4835</v>
      </c>
      <c r="E369" s="2" t="s">
        <v>4836</v>
      </c>
      <c r="F369" s="2" t="s">
        <v>34</v>
      </c>
      <c r="G369" s="2" t="s">
        <v>4837</v>
      </c>
      <c r="H369" s="2" t="s">
        <v>58</v>
      </c>
      <c r="I369" s="2" t="s">
        <v>4838</v>
      </c>
      <c r="J369" s="2" t="s">
        <v>57</v>
      </c>
      <c r="K369" s="2" t="s">
        <v>57</v>
      </c>
      <c r="L369" s="2" t="s">
        <v>4839</v>
      </c>
      <c r="M369" s="2" t="s">
        <v>4840</v>
      </c>
      <c r="N369" s="2" t="s">
        <v>56</v>
      </c>
      <c r="O369" s="2" t="s">
        <v>4841</v>
      </c>
      <c r="P369" s="2" t="s">
        <v>57</v>
      </c>
      <c r="Q369" s="2" t="s">
        <v>57</v>
      </c>
      <c r="R369" s="2" t="s">
        <v>57</v>
      </c>
      <c r="S369" s="2" t="s">
        <v>4842</v>
      </c>
      <c r="T369" s="2" t="s">
        <v>4843</v>
      </c>
      <c r="U369" s="2" t="s">
        <v>4844</v>
      </c>
    </row>
    <row r="370" customFormat="false" ht="68.65" hidden="false" customHeight="false" outlineLevel="0" collapsed="false">
      <c r="A370" s="2" t="s">
        <v>4498</v>
      </c>
      <c r="B370" s="2" t="s">
        <v>4818</v>
      </c>
      <c r="C370" s="2" t="s">
        <v>4845</v>
      </c>
      <c r="D370" s="2" t="s">
        <v>4846</v>
      </c>
      <c r="E370" s="2" t="s">
        <v>4847</v>
      </c>
      <c r="F370" s="2" t="s">
        <v>627</v>
      </c>
      <c r="G370" s="2" t="s">
        <v>961</v>
      </c>
      <c r="H370" s="2" t="s">
        <v>629</v>
      </c>
      <c r="I370" s="2" t="s">
        <v>4848</v>
      </c>
      <c r="J370" s="2" t="s">
        <v>4849</v>
      </c>
      <c r="K370" s="2" t="s">
        <v>4850</v>
      </c>
      <c r="L370" s="2" t="s">
        <v>4851</v>
      </c>
      <c r="M370" s="2" t="s">
        <v>4852</v>
      </c>
      <c r="N370" s="2" t="s">
        <v>144</v>
      </c>
      <c r="O370" s="2" t="s">
        <v>57</v>
      </c>
      <c r="P370" s="2" t="s">
        <v>57</v>
      </c>
      <c r="Q370" s="2" t="s">
        <v>4853</v>
      </c>
      <c r="R370" s="2" t="s">
        <v>57</v>
      </c>
      <c r="S370" s="2" t="s">
        <v>4854</v>
      </c>
      <c r="T370" s="2" t="s">
        <v>4855</v>
      </c>
      <c r="U370" s="2" t="s">
        <v>4856</v>
      </c>
    </row>
    <row r="371" customFormat="false" ht="102.2" hidden="false" customHeight="false" outlineLevel="0" collapsed="false">
      <c r="A371" s="2" t="s">
        <v>4498</v>
      </c>
      <c r="B371" s="2" t="s">
        <v>4857</v>
      </c>
      <c r="C371" s="2" t="s">
        <v>4858</v>
      </c>
      <c r="D371" s="2" t="s">
        <v>4859</v>
      </c>
      <c r="E371" s="2" t="s">
        <v>4860</v>
      </c>
      <c r="F371" s="2" t="s">
        <v>81</v>
      </c>
      <c r="G371" s="2" t="s">
        <v>4861</v>
      </c>
      <c r="H371" s="2" t="s">
        <v>4862</v>
      </c>
      <c r="I371" s="2" t="s">
        <v>4863</v>
      </c>
      <c r="J371" s="2" t="s">
        <v>4864</v>
      </c>
      <c r="K371" s="2" t="s">
        <v>4865</v>
      </c>
      <c r="L371" s="2" t="s">
        <v>4866</v>
      </c>
      <c r="M371" s="2" t="s">
        <v>4867</v>
      </c>
      <c r="N371" s="2" t="s">
        <v>144</v>
      </c>
      <c r="O371" s="2" t="s">
        <v>57</v>
      </c>
      <c r="P371" s="2" t="s">
        <v>4868</v>
      </c>
      <c r="Q371" s="2" t="s">
        <v>4869</v>
      </c>
      <c r="R371" s="2" t="s">
        <v>57</v>
      </c>
      <c r="S371" s="2" t="s">
        <v>4870</v>
      </c>
      <c r="T371" s="2" t="s">
        <v>4871</v>
      </c>
      <c r="U371" s="2" t="s">
        <v>4872</v>
      </c>
    </row>
    <row r="372" customFormat="false" ht="68.65" hidden="false" customHeight="false" outlineLevel="0" collapsed="false">
      <c r="A372" s="2" t="s">
        <v>4498</v>
      </c>
      <c r="B372" s="2" t="s">
        <v>4873</v>
      </c>
      <c r="C372" s="2" t="s">
        <v>4874</v>
      </c>
      <c r="D372" s="2" t="s">
        <v>4875</v>
      </c>
      <c r="E372" s="2" t="s">
        <v>4876</v>
      </c>
      <c r="F372" s="2" t="s">
        <v>34</v>
      </c>
      <c r="G372" s="2" t="s">
        <v>4877</v>
      </c>
      <c r="H372" s="2" t="s">
        <v>4878</v>
      </c>
      <c r="I372" s="2" t="s">
        <v>4879</v>
      </c>
      <c r="J372" s="2" t="s">
        <v>4880</v>
      </c>
      <c r="K372" s="2" t="s">
        <v>4881</v>
      </c>
      <c r="L372" s="2" t="s">
        <v>4882</v>
      </c>
      <c r="M372" s="2" t="s">
        <v>4883</v>
      </c>
      <c r="N372" s="2" t="s">
        <v>42</v>
      </c>
      <c r="O372" s="2" t="s">
        <v>4884</v>
      </c>
      <c r="P372" s="2" t="s">
        <v>4885</v>
      </c>
      <c r="Q372" s="2" t="s">
        <v>693</v>
      </c>
      <c r="R372" s="2" t="s">
        <v>57</v>
      </c>
      <c r="S372" s="2" t="s">
        <v>4886</v>
      </c>
      <c r="T372" s="2" t="s">
        <v>4887</v>
      </c>
      <c r="U372" s="2" t="s">
        <v>4888</v>
      </c>
    </row>
    <row r="373" customFormat="false" ht="79.85" hidden="false" customHeight="false" outlineLevel="0" collapsed="false">
      <c r="A373" s="2" t="s">
        <v>4498</v>
      </c>
      <c r="B373" s="2" t="s">
        <v>4873</v>
      </c>
      <c r="C373" s="2" t="s">
        <v>4889</v>
      </c>
      <c r="D373" s="2" t="s">
        <v>4890</v>
      </c>
      <c r="E373" s="2" t="s">
        <v>4891</v>
      </c>
      <c r="F373" s="2" t="s">
        <v>34</v>
      </c>
      <c r="G373" s="2" t="s">
        <v>4892</v>
      </c>
      <c r="H373" s="2" t="s">
        <v>57</v>
      </c>
      <c r="I373" s="2" t="s">
        <v>4893</v>
      </c>
      <c r="J373" s="2" t="s">
        <v>4894</v>
      </c>
      <c r="K373" s="2" t="s">
        <v>4895</v>
      </c>
      <c r="L373" s="2" t="s">
        <v>4896</v>
      </c>
      <c r="M373" s="2" t="s">
        <v>4897</v>
      </c>
      <c r="N373" s="2" t="s">
        <v>42</v>
      </c>
      <c r="O373" s="2" t="s">
        <v>57</v>
      </c>
      <c r="P373" s="2" t="s">
        <v>2131</v>
      </c>
      <c r="Q373" s="2" t="s">
        <v>693</v>
      </c>
      <c r="R373" s="2" t="s">
        <v>57</v>
      </c>
      <c r="S373" s="2" t="s">
        <v>4898</v>
      </c>
      <c r="T373" s="2" t="s">
        <v>4899</v>
      </c>
      <c r="U373" s="2" t="s">
        <v>4900</v>
      </c>
    </row>
    <row r="374" customFormat="false" ht="102.2" hidden="false" customHeight="false" outlineLevel="0" collapsed="false">
      <c r="A374" s="2" t="s">
        <v>4498</v>
      </c>
      <c r="B374" s="2" t="s">
        <v>4873</v>
      </c>
      <c r="C374" s="2" t="s">
        <v>4901</v>
      </c>
      <c r="D374" s="2" t="s">
        <v>4902</v>
      </c>
      <c r="E374" s="2" t="s">
        <v>4903</v>
      </c>
      <c r="F374" s="2" t="s">
        <v>81</v>
      </c>
      <c r="G374" s="2" t="s">
        <v>4904</v>
      </c>
      <c r="H374" s="2" t="s">
        <v>4905</v>
      </c>
      <c r="I374" s="2" t="s">
        <v>4906</v>
      </c>
      <c r="J374" s="2" t="s">
        <v>89</v>
      </c>
      <c r="K374" s="2" t="s">
        <v>4907</v>
      </c>
      <c r="L374" s="2" t="s">
        <v>4908</v>
      </c>
      <c r="M374" s="2" t="s">
        <v>4909</v>
      </c>
      <c r="N374" s="2" t="s">
        <v>144</v>
      </c>
      <c r="O374" s="2" t="s">
        <v>57</v>
      </c>
      <c r="P374" s="2" t="s">
        <v>4910</v>
      </c>
      <c r="Q374" s="2" t="s">
        <v>693</v>
      </c>
      <c r="R374" s="2" t="s">
        <v>57</v>
      </c>
      <c r="S374" s="2" t="s">
        <v>4911</v>
      </c>
      <c r="T374" s="2" t="s">
        <v>4912</v>
      </c>
      <c r="U374" s="2" t="s">
        <v>4913</v>
      </c>
    </row>
    <row r="375" customFormat="false" ht="57.45" hidden="false" customHeight="false" outlineLevel="0" collapsed="false">
      <c r="A375" s="2" t="s">
        <v>4498</v>
      </c>
      <c r="B375" s="2" t="s">
        <v>4914</v>
      </c>
      <c r="C375" s="2" t="s">
        <v>4915</v>
      </c>
      <c r="D375" s="2" t="s">
        <v>4916</v>
      </c>
      <c r="E375" s="2" t="s">
        <v>4917</v>
      </c>
      <c r="F375" s="2" t="s">
        <v>81</v>
      </c>
      <c r="G375" s="2" t="s">
        <v>4918</v>
      </c>
      <c r="H375" s="2" t="s">
        <v>4919</v>
      </c>
      <c r="I375" s="2" t="s">
        <v>4920</v>
      </c>
      <c r="J375" s="2" t="s">
        <v>89</v>
      </c>
      <c r="K375" s="2" t="s">
        <v>4921</v>
      </c>
      <c r="L375" s="2" t="s">
        <v>4922</v>
      </c>
      <c r="M375" s="2" t="s">
        <v>4923</v>
      </c>
      <c r="N375" s="2" t="s">
        <v>56</v>
      </c>
      <c r="O375" s="2" t="s">
        <v>89</v>
      </c>
      <c r="P375" s="2" t="s">
        <v>57</v>
      </c>
      <c r="Q375" s="2" t="s">
        <v>89</v>
      </c>
      <c r="R375" s="2" t="s">
        <v>57</v>
      </c>
      <c r="S375" s="2" t="s">
        <v>4924</v>
      </c>
      <c r="T375" s="2" t="s">
        <v>4925</v>
      </c>
      <c r="U375" s="2" t="s">
        <v>4926</v>
      </c>
    </row>
    <row r="376" customFormat="false" ht="68.65" hidden="false" customHeight="false" outlineLevel="0" collapsed="false">
      <c r="A376" s="2" t="s">
        <v>4498</v>
      </c>
      <c r="B376" s="2" t="s">
        <v>4927</v>
      </c>
      <c r="C376" s="2" t="s">
        <v>4927</v>
      </c>
      <c r="D376" s="2" t="s">
        <v>4928</v>
      </c>
      <c r="E376" s="2" t="s">
        <v>4929</v>
      </c>
      <c r="F376" s="2" t="s">
        <v>139</v>
      </c>
      <c r="G376" s="2" t="s">
        <v>4930</v>
      </c>
      <c r="H376" s="2" t="s">
        <v>4931</v>
      </c>
      <c r="I376" s="2" t="s">
        <v>4932</v>
      </c>
      <c r="J376" s="2" t="s">
        <v>57</v>
      </c>
      <c r="K376" s="2" t="s">
        <v>57</v>
      </c>
      <c r="L376" s="2" t="s">
        <v>4933</v>
      </c>
      <c r="M376" s="2" t="s">
        <v>4934</v>
      </c>
      <c r="N376" s="2" t="s">
        <v>42</v>
      </c>
      <c r="O376" s="2" t="s">
        <v>57</v>
      </c>
      <c r="P376" s="2" t="s">
        <v>57</v>
      </c>
      <c r="Q376" s="2" t="s">
        <v>89</v>
      </c>
      <c r="R376" s="2" t="s">
        <v>57</v>
      </c>
      <c r="S376" s="2" t="s">
        <v>4935</v>
      </c>
      <c r="T376" s="2" t="s">
        <v>4936</v>
      </c>
      <c r="U376" s="2" t="s">
        <v>4937</v>
      </c>
    </row>
    <row r="377" customFormat="false" ht="68.65" hidden="false" customHeight="false" outlineLevel="0" collapsed="false">
      <c r="A377" s="2" t="s">
        <v>4498</v>
      </c>
      <c r="B377" s="2" t="s">
        <v>4938</v>
      </c>
      <c r="C377" s="2" t="s">
        <v>4938</v>
      </c>
      <c r="D377" s="2" t="s">
        <v>4939</v>
      </c>
      <c r="E377" s="2" t="s">
        <v>4940</v>
      </c>
      <c r="F377" s="2" t="s">
        <v>139</v>
      </c>
      <c r="G377" s="2" t="s">
        <v>1019</v>
      </c>
      <c r="H377" s="2" t="s">
        <v>4941</v>
      </c>
      <c r="I377" s="2" t="s">
        <v>4942</v>
      </c>
      <c r="J377" s="2" t="s">
        <v>89</v>
      </c>
      <c r="K377" s="2" t="s">
        <v>4943</v>
      </c>
      <c r="L377" s="2" t="s">
        <v>4944</v>
      </c>
      <c r="M377" s="2" t="s">
        <v>4945</v>
      </c>
      <c r="N377" s="2" t="s">
        <v>144</v>
      </c>
      <c r="O377" s="2" t="s">
        <v>57</v>
      </c>
      <c r="P377" s="2" t="s">
        <v>57</v>
      </c>
      <c r="Q377" s="2" t="s">
        <v>89</v>
      </c>
      <c r="R377" s="2" t="s">
        <v>57</v>
      </c>
      <c r="S377" s="2" t="s">
        <v>4946</v>
      </c>
      <c r="T377" s="2" t="s">
        <v>4947</v>
      </c>
      <c r="U377" s="2" t="s">
        <v>4948</v>
      </c>
    </row>
    <row r="378" customFormat="false" ht="57.45" hidden="false" customHeight="false" outlineLevel="0" collapsed="false">
      <c r="A378" s="2" t="s">
        <v>4498</v>
      </c>
      <c r="B378" s="2" t="s">
        <v>4949</v>
      </c>
      <c r="C378" s="2" t="s">
        <v>4950</v>
      </c>
      <c r="D378" s="2" t="s">
        <v>4951</v>
      </c>
      <c r="E378" s="2" t="s">
        <v>4952</v>
      </c>
      <c r="F378" s="2" t="s">
        <v>34</v>
      </c>
      <c r="G378" s="2" t="s">
        <v>4953</v>
      </c>
      <c r="H378" s="2" t="s">
        <v>4954</v>
      </c>
      <c r="I378" s="2" t="s">
        <v>4955</v>
      </c>
      <c r="J378" s="2" t="s">
        <v>1545</v>
      </c>
      <c r="K378" s="2" t="s">
        <v>4956</v>
      </c>
      <c r="L378" s="2" t="s">
        <v>4957</v>
      </c>
      <c r="M378" s="2" t="s">
        <v>4958</v>
      </c>
      <c r="N378" s="2" t="s">
        <v>42</v>
      </c>
      <c r="O378" s="2" t="s">
        <v>57</v>
      </c>
      <c r="P378" s="2" t="s">
        <v>4959</v>
      </c>
      <c r="Q378" s="2" t="s">
        <v>4960</v>
      </c>
      <c r="R378" s="2" t="s">
        <v>57</v>
      </c>
      <c r="S378" s="2" t="s">
        <v>4961</v>
      </c>
      <c r="T378" s="2" t="s">
        <v>4962</v>
      </c>
      <c r="U378" s="2" t="s">
        <v>4963</v>
      </c>
    </row>
    <row r="379" customFormat="false" ht="46.25" hidden="false" customHeight="false" outlineLevel="0" collapsed="false">
      <c r="A379" s="2" t="s">
        <v>4498</v>
      </c>
      <c r="B379" s="2" t="s">
        <v>4964</v>
      </c>
      <c r="C379" s="2" t="s">
        <v>4965</v>
      </c>
      <c r="D379" s="2" t="s">
        <v>4966</v>
      </c>
      <c r="E379" s="2" t="s">
        <v>4967</v>
      </c>
      <c r="F379" s="2" t="s">
        <v>34</v>
      </c>
      <c r="G379" s="2" t="s">
        <v>4968</v>
      </c>
      <c r="H379" s="2" t="s">
        <v>4969</v>
      </c>
      <c r="I379" s="2" t="s">
        <v>4970</v>
      </c>
      <c r="J379" s="2" t="s">
        <v>38</v>
      </c>
      <c r="K379" s="2" t="s">
        <v>4971</v>
      </c>
      <c r="L379" s="2" t="s">
        <v>4972</v>
      </c>
      <c r="M379" s="2" t="s">
        <v>4973</v>
      </c>
      <c r="N379" s="2" t="s">
        <v>144</v>
      </c>
      <c r="O379" s="2" t="s">
        <v>57</v>
      </c>
      <c r="P379" s="2" t="s">
        <v>4724</v>
      </c>
      <c r="Q379" s="2" t="s">
        <v>4974</v>
      </c>
      <c r="R379" s="2" t="s">
        <v>57</v>
      </c>
      <c r="S379" s="2" t="s">
        <v>4975</v>
      </c>
      <c r="T379" s="2" t="s">
        <v>4976</v>
      </c>
      <c r="U379" s="2" t="s">
        <v>4977</v>
      </c>
    </row>
    <row r="380" customFormat="false" ht="113.4" hidden="false" customHeight="false" outlineLevel="0" collapsed="false">
      <c r="A380" s="2" t="s">
        <v>4498</v>
      </c>
      <c r="B380" s="2" t="s">
        <v>4964</v>
      </c>
      <c r="C380" s="2" t="s">
        <v>4978</v>
      </c>
      <c r="D380" s="2" t="s">
        <v>4966</v>
      </c>
      <c r="E380" s="2" t="s">
        <v>4979</v>
      </c>
      <c r="F380" s="2" t="s">
        <v>34</v>
      </c>
      <c r="G380" s="2" t="s">
        <v>4980</v>
      </c>
      <c r="H380" s="2" t="s">
        <v>4981</v>
      </c>
      <c r="I380" s="2" t="s">
        <v>4982</v>
      </c>
      <c r="J380" s="2" t="s">
        <v>253</v>
      </c>
      <c r="K380" s="2" t="s">
        <v>4983</v>
      </c>
      <c r="L380" s="2" t="s">
        <v>4984</v>
      </c>
      <c r="M380" s="2" t="s">
        <v>4985</v>
      </c>
      <c r="N380" s="2" t="s">
        <v>42</v>
      </c>
      <c r="O380" s="2" t="s">
        <v>57</v>
      </c>
      <c r="P380" s="2" t="s">
        <v>4986</v>
      </c>
      <c r="Q380" s="2" t="s">
        <v>57</v>
      </c>
      <c r="R380" s="2" t="s">
        <v>57</v>
      </c>
      <c r="S380" s="2" t="s">
        <v>4987</v>
      </c>
      <c r="T380" s="2" t="s">
        <v>4988</v>
      </c>
      <c r="U380" s="2" t="s">
        <v>4989</v>
      </c>
    </row>
    <row r="381" customFormat="false" ht="79.85" hidden="false" customHeight="false" outlineLevel="0" collapsed="false">
      <c r="A381" s="2" t="s">
        <v>4498</v>
      </c>
      <c r="B381" s="2" t="s">
        <v>4990</v>
      </c>
      <c r="C381" s="2" t="s">
        <v>4991</v>
      </c>
      <c r="D381" s="2" t="s">
        <v>4992</v>
      </c>
      <c r="E381" s="2" t="s">
        <v>4993</v>
      </c>
      <c r="F381" s="2" t="s">
        <v>34</v>
      </c>
      <c r="G381" s="2" t="s">
        <v>4772</v>
      </c>
      <c r="H381" s="2" t="s">
        <v>4994</v>
      </c>
      <c r="I381" s="2" t="s">
        <v>4995</v>
      </c>
      <c r="J381" s="2" t="s">
        <v>156</v>
      </c>
      <c r="K381" s="2" t="s">
        <v>4996</v>
      </c>
      <c r="L381" s="2" t="s">
        <v>4997</v>
      </c>
      <c r="M381" s="2" t="s">
        <v>4998</v>
      </c>
      <c r="N381" s="2" t="s">
        <v>42</v>
      </c>
      <c r="O381" s="2" t="s">
        <v>4999</v>
      </c>
      <c r="P381" s="2" t="s">
        <v>5000</v>
      </c>
      <c r="Q381" s="2" t="s">
        <v>5001</v>
      </c>
      <c r="R381" s="2" t="s">
        <v>57</v>
      </c>
      <c r="S381" s="2" t="s">
        <v>5002</v>
      </c>
      <c r="T381" s="2" t="s">
        <v>5003</v>
      </c>
      <c r="U381" s="2" t="s">
        <v>5004</v>
      </c>
    </row>
    <row r="382" customFormat="false" ht="57.45" hidden="false" customHeight="false" outlineLevel="0" collapsed="false">
      <c r="A382" s="2" t="s">
        <v>4498</v>
      </c>
      <c r="B382" s="2" t="s">
        <v>5005</v>
      </c>
      <c r="C382" s="2" t="s">
        <v>5006</v>
      </c>
      <c r="D382" s="2" t="s">
        <v>5007</v>
      </c>
      <c r="E382" s="2" t="s">
        <v>5008</v>
      </c>
      <c r="F382" s="2" t="s">
        <v>139</v>
      </c>
      <c r="G382" s="2" t="s">
        <v>4930</v>
      </c>
      <c r="H382" s="2" t="s">
        <v>5009</v>
      </c>
      <c r="I382" s="2" t="s">
        <v>5010</v>
      </c>
      <c r="J382" s="2" t="s">
        <v>5011</v>
      </c>
      <c r="K382" s="2" t="s">
        <v>5011</v>
      </c>
      <c r="L382" s="2" t="s">
        <v>5012</v>
      </c>
      <c r="M382" s="2" t="s">
        <v>5013</v>
      </c>
      <c r="N382" s="2" t="s">
        <v>56</v>
      </c>
      <c r="O382" s="2" t="s">
        <v>57</v>
      </c>
      <c r="P382" s="2" t="s">
        <v>57</v>
      </c>
      <c r="Q382" s="2" t="s">
        <v>57</v>
      </c>
      <c r="R382" s="2" t="s">
        <v>57</v>
      </c>
      <c r="S382" s="2" t="s">
        <v>5014</v>
      </c>
      <c r="T382" s="2" t="s">
        <v>5015</v>
      </c>
      <c r="U382" s="2" t="s">
        <v>5016</v>
      </c>
    </row>
    <row r="383" customFormat="false" ht="91" hidden="false" customHeight="false" outlineLevel="0" collapsed="false">
      <c r="A383" s="2" t="s">
        <v>4498</v>
      </c>
      <c r="B383" s="2" t="s">
        <v>5017</v>
      </c>
      <c r="C383" s="2" t="s">
        <v>5017</v>
      </c>
      <c r="D383" s="2" t="s">
        <v>5018</v>
      </c>
      <c r="E383" s="2" t="s">
        <v>5019</v>
      </c>
      <c r="F383" s="2" t="s">
        <v>139</v>
      </c>
      <c r="G383" s="2" t="s">
        <v>5020</v>
      </c>
      <c r="H383" s="2" t="s">
        <v>5021</v>
      </c>
      <c r="I383" s="2" t="s">
        <v>5022</v>
      </c>
      <c r="J383" s="2" t="s">
        <v>5023</v>
      </c>
      <c r="K383" s="2" t="s">
        <v>5024</v>
      </c>
      <c r="L383" s="2" t="s">
        <v>4933</v>
      </c>
      <c r="M383" s="2" t="s">
        <v>5025</v>
      </c>
      <c r="N383" s="2" t="s">
        <v>56</v>
      </c>
      <c r="O383" s="2" t="s">
        <v>57</v>
      </c>
      <c r="P383" s="2" t="s">
        <v>57</v>
      </c>
      <c r="Q383" s="2" t="s">
        <v>5026</v>
      </c>
      <c r="R383" s="2" t="s">
        <v>57</v>
      </c>
      <c r="S383" s="2" t="s">
        <v>5027</v>
      </c>
      <c r="T383" s="2" t="s">
        <v>5028</v>
      </c>
      <c r="U383" s="2" t="s">
        <v>5029</v>
      </c>
    </row>
    <row r="384" customFormat="false" ht="68.65" hidden="false" customHeight="false" outlineLevel="0" collapsed="false">
      <c r="A384" s="2" t="s">
        <v>4498</v>
      </c>
      <c r="B384" s="2" t="s">
        <v>5030</v>
      </c>
      <c r="C384" s="2" t="s">
        <v>5030</v>
      </c>
      <c r="D384" s="2" t="s">
        <v>5031</v>
      </c>
      <c r="E384" s="2" t="s">
        <v>5032</v>
      </c>
      <c r="F384" s="2" t="s">
        <v>66</v>
      </c>
      <c r="G384" s="2" t="s">
        <v>5033</v>
      </c>
      <c r="H384" s="2" t="s">
        <v>57</v>
      </c>
      <c r="I384" s="2" t="s">
        <v>4721</v>
      </c>
      <c r="J384" s="2" t="s">
        <v>57</v>
      </c>
      <c r="K384" s="2" t="s">
        <v>57</v>
      </c>
      <c r="L384" s="2" t="s">
        <v>5034</v>
      </c>
      <c r="M384" s="2" t="s">
        <v>5035</v>
      </c>
      <c r="N384" s="2" t="s">
        <v>144</v>
      </c>
      <c r="O384" s="2" t="s">
        <v>5036</v>
      </c>
      <c r="P384" s="2" t="s">
        <v>57</v>
      </c>
      <c r="Q384" s="2" t="s">
        <v>89</v>
      </c>
      <c r="R384" s="2" t="s">
        <v>57</v>
      </c>
      <c r="S384" s="2" t="s">
        <v>5037</v>
      </c>
      <c r="T384" s="2" t="s">
        <v>5038</v>
      </c>
      <c r="U384" s="2" t="s">
        <v>5039</v>
      </c>
    </row>
    <row r="385" customFormat="false" ht="79.85" hidden="false" customHeight="false" outlineLevel="0" collapsed="false">
      <c r="A385" s="2" t="s">
        <v>4498</v>
      </c>
      <c r="B385" s="2" t="s">
        <v>2252</v>
      </c>
      <c r="C385" s="2" t="s">
        <v>5040</v>
      </c>
      <c r="D385" s="2" t="s">
        <v>5041</v>
      </c>
      <c r="E385" s="2" t="s">
        <v>5042</v>
      </c>
      <c r="F385" s="2" t="s">
        <v>280</v>
      </c>
      <c r="G385" s="2" t="s">
        <v>5043</v>
      </c>
      <c r="H385" s="2" t="s">
        <v>4071</v>
      </c>
      <c r="I385" s="2" t="s">
        <v>5044</v>
      </c>
      <c r="J385" s="2" t="s">
        <v>1560</v>
      </c>
      <c r="K385" s="2" t="s">
        <v>5045</v>
      </c>
      <c r="L385" s="2" t="s">
        <v>5046</v>
      </c>
      <c r="M385" s="2" t="s">
        <v>5047</v>
      </c>
      <c r="N385" s="2" t="s">
        <v>144</v>
      </c>
      <c r="O385" s="2" t="s">
        <v>5048</v>
      </c>
      <c r="P385" s="2" t="s">
        <v>5049</v>
      </c>
      <c r="Q385" s="2" t="s">
        <v>5050</v>
      </c>
      <c r="R385" s="2" t="s">
        <v>57</v>
      </c>
      <c r="S385" s="2" t="s">
        <v>5051</v>
      </c>
      <c r="T385" s="2" t="s">
        <v>5052</v>
      </c>
      <c r="U385" s="2" t="s">
        <v>5053</v>
      </c>
    </row>
    <row r="386" customFormat="false" ht="46.25" hidden="false" customHeight="false" outlineLevel="0" collapsed="false">
      <c r="A386" s="2" t="s">
        <v>4498</v>
      </c>
      <c r="B386" s="2" t="s">
        <v>2252</v>
      </c>
      <c r="C386" s="2" t="s">
        <v>5054</v>
      </c>
      <c r="D386" s="2" t="s">
        <v>5055</v>
      </c>
      <c r="E386" s="2" t="s">
        <v>5056</v>
      </c>
      <c r="F386" s="2" t="s">
        <v>81</v>
      </c>
      <c r="G386" s="2" t="s">
        <v>5057</v>
      </c>
      <c r="H386" s="2" t="s">
        <v>5058</v>
      </c>
      <c r="I386" s="2" t="s">
        <v>5059</v>
      </c>
      <c r="J386" s="2" t="s">
        <v>5060</v>
      </c>
      <c r="K386" s="2" t="s">
        <v>5061</v>
      </c>
      <c r="L386" s="2" t="s">
        <v>5062</v>
      </c>
      <c r="M386" s="2" t="s">
        <v>5063</v>
      </c>
      <c r="N386" s="2" t="s">
        <v>144</v>
      </c>
      <c r="O386" s="2" t="s">
        <v>57</v>
      </c>
      <c r="P386" s="2" t="s">
        <v>5064</v>
      </c>
      <c r="Q386" s="2" t="s">
        <v>57</v>
      </c>
      <c r="R386" s="2" t="s">
        <v>57</v>
      </c>
      <c r="S386" s="2" t="s">
        <v>5065</v>
      </c>
      <c r="T386" s="2" t="s">
        <v>5066</v>
      </c>
      <c r="U386" s="2" t="s">
        <v>5067</v>
      </c>
    </row>
    <row r="387" customFormat="false" ht="57.45" hidden="false" customHeight="false" outlineLevel="0" collapsed="false">
      <c r="A387" s="2" t="s">
        <v>4498</v>
      </c>
      <c r="B387" s="2" t="s">
        <v>2252</v>
      </c>
      <c r="C387" s="2" t="s">
        <v>5068</v>
      </c>
      <c r="D387" s="2" t="s">
        <v>5069</v>
      </c>
      <c r="E387" s="2" t="s">
        <v>5070</v>
      </c>
      <c r="F387" s="2" t="s">
        <v>34</v>
      </c>
      <c r="G387" s="2" t="s">
        <v>5071</v>
      </c>
      <c r="H387" s="2" t="s">
        <v>2257</v>
      </c>
      <c r="I387" s="2" t="s">
        <v>4198</v>
      </c>
      <c r="J387" s="2" t="s">
        <v>57</v>
      </c>
      <c r="K387" s="2" t="s">
        <v>5072</v>
      </c>
      <c r="L387" s="2" t="s">
        <v>5073</v>
      </c>
      <c r="M387" s="2" t="s">
        <v>5074</v>
      </c>
      <c r="N387" s="2" t="s">
        <v>144</v>
      </c>
      <c r="O387" s="2" t="s">
        <v>5075</v>
      </c>
      <c r="P387" s="2" t="s">
        <v>5076</v>
      </c>
      <c r="Q387" s="2" t="s">
        <v>57</v>
      </c>
      <c r="R387" s="2" t="s">
        <v>57</v>
      </c>
      <c r="S387" s="2" t="s">
        <v>5077</v>
      </c>
      <c r="T387" s="2" t="s">
        <v>5078</v>
      </c>
      <c r="U387" s="2" t="s">
        <v>5079</v>
      </c>
    </row>
    <row r="388" customFormat="false" ht="79.85" hidden="false" customHeight="false" outlineLevel="0" collapsed="false">
      <c r="A388" s="2" t="s">
        <v>5080</v>
      </c>
      <c r="B388" s="2" t="s">
        <v>5081</v>
      </c>
      <c r="C388" s="2" t="s">
        <v>5081</v>
      </c>
      <c r="D388" s="2" t="s">
        <v>5082</v>
      </c>
      <c r="E388" s="2" t="s">
        <v>5083</v>
      </c>
      <c r="F388" s="2" t="s">
        <v>34</v>
      </c>
      <c r="G388" s="2" t="s">
        <v>5084</v>
      </c>
      <c r="H388" s="2" t="s">
        <v>5085</v>
      </c>
      <c r="I388" s="2" t="s">
        <v>1248</v>
      </c>
      <c r="J388" s="2" t="s">
        <v>5086</v>
      </c>
      <c r="K388" s="2" t="s">
        <v>5087</v>
      </c>
      <c r="L388" s="2" t="s">
        <v>5088</v>
      </c>
      <c r="M388" s="2" t="s">
        <v>5089</v>
      </c>
      <c r="N388" s="2" t="s">
        <v>144</v>
      </c>
      <c r="O388" s="2" t="s">
        <v>5090</v>
      </c>
      <c r="P388" s="2" t="s">
        <v>5091</v>
      </c>
      <c r="Q388" s="2"/>
      <c r="R388" s="2" t="s">
        <v>5092</v>
      </c>
      <c r="S388" s="2" t="s">
        <v>5093</v>
      </c>
      <c r="T388" s="2" t="s">
        <v>5094</v>
      </c>
      <c r="U388" s="2" t="s">
        <v>5095</v>
      </c>
    </row>
    <row r="389" customFormat="false" ht="79.85" hidden="false" customHeight="false" outlineLevel="0" collapsed="false">
      <c r="A389" s="2" t="s">
        <v>5080</v>
      </c>
      <c r="B389" s="2" t="s">
        <v>5081</v>
      </c>
      <c r="C389" s="2" t="s">
        <v>5096</v>
      </c>
      <c r="D389" s="2" t="s">
        <v>5097</v>
      </c>
      <c r="E389" s="2" t="s">
        <v>5098</v>
      </c>
      <c r="F389" s="2" t="s">
        <v>34</v>
      </c>
      <c r="G389" s="2" t="s">
        <v>5099</v>
      </c>
      <c r="H389" s="2" t="s">
        <v>5100</v>
      </c>
      <c r="I389" s="2" t="s">
        <v>5101</v>
      </c>
      <c r="J389" s="2" t="s">
        <v>5102</v>
      </c>
      <c r="K389" s="2" t="s">
        <v>5103</v>
      </c>
      <c r="L389" s="2" t="s">
        <v>5104</v>
      </c>
      <c r="M389" s="2" t="s">
        <v>5105</v>
      </c>
      <c r="N389" s="2" t="s">
        <v>144</v>
      </c>
      <c r="O389" s="2" t="s">
        <v>897</v>
      </c>
      <c r="P389" s="2" t="s">
        <v>5106</v>
      </c>
      <c r="Q389" s="2"/>
      <c r="R389" s="2"/>
      <c r="S389" s="2" t="s">
        <v>5107</v>
      </c>
      <c r="T389" s="2" t="s">
        <v>5108</v>
      </c>
      <c r="U389" s="2" t="s">
        <v>5109</v>
      </c>
    </row>
    <row r="390" customFormat="false" ht="57.45" hidden="false" customHeight="false" outlineLevel="0" collapsed="false">
      <c r="A390" s="2" t="s">
        <v>5080</v>
      </c>
      <c r="B390" s="2" t="s">
        <v>5081</v>
      </c>
      <c r="C390" s="2" t="s">
        <v>5110</v>
      </c>
      <c r="D390" s="2" t="s">
        <v>5097</v>
      </c>
      <c r="E390" s="2" t="s">
        <v>5111</v>
      </c>
      <c r="F390" s="2" t="s">
        <v>34</v>
      </c>
      <c r="G390" s="2" t="s">
        <v>5112</v>
      </c>
      <c r="H390" s="2" t="s">
        <v>5113</v>
      </c>
      <c r="I390" s="2" t="s">
        <v>1248</v>
      </c>
      <c r="J390" s="2" t="s">
        <v>5114</v>
      </c>
      <c r="K390" s="2" t="s">
        <v>5103</v>
      </c>
      <c r="L390" s="2" t="s">
        <v>5115</v>
      </c>
      <c r="M390" s="2" t="s">
        <v>5116</v>
      </c>
      <c r="N390" s="2" t="s">
        <v>144</v>
      </c>
      <c r="O390" s="2" t="s">
        <v>897</v>
      </c>
      <c r="P390" s="2" t="s">
        <v>5117</v>
      </c>
      <c r="Q390" s="2"/>
      <c r="R390" s="2"/>
      <c r="S390" s="2" t="s">
        <v>5118</v>
      </c>
      <c r="T390" s="2" t="s">
        <v>5119</v>
      </c>
      <c r="U390" s="2" t="s">
        <v>5120</v>
      </c>
    </row>
    <row r="391" customFormat="false" ht="57.45" hidden="false" customHeight="false" outlineLevel="0" collapsed="false">
      <c r="A391" s="2" t="s">
        <v>5080</v>
      </c>
      <c r="B391" s="2" t="s">
        <v>5081</v>
      </c>
      <c r="C391" s="2" t="s">
        <v>5121</v>
      </c>
      <c r="D391" s="2" t="s">
        <v>5122</v>
      </c>
      <c r="E391" s="2" t="s">
        <v>5123</v>
      </c>
      <c r="F391" s="2" t="s">
        <v>34</v>
      </c>
      <c r="G391" s="2" t="s">
        <v>5124</v>
      </c>
      <c r="H391" s="2" t="s">
        <v>5100</v>
      </c>
      <c r="I391" s="2" t="s">
        <v>1248</v>
      </c>
      <c r="J391" s="2" t="s">
        <v>5114</v>
      </c>
      <c r="K391" s="2" t="s">
        <v>5125</v>
      </c>
      <c r="L391" s="2" t="s">
        <v>5126</v>
      </c>
      <c r="M391" s="2" t="s">
        <v>5127</v>
      </c>
      <c r="N391" s="2" t="s">
        <v>89</v>
      </c>
      <c r="O391" s="2" t="s">
        <v>5128</v>
      </c>
      <c r="P391" s="2" t="s">
        <v>5106</v>
      </c>
      <c r="Q391" s="2"/>
      <c r="R391" s="2"/>
      <c r="S391" s="2" t="s">
        <v>5129</v>
      </c>
      <c r="T391" s="2" t="s">
        <v>5130</v>
      </c>
      <c r="U391" s="2" t="s">
        <v>5131</v>
      </c>
    </row>
    <row r="392" customFormat="false" ht="35.05" hidden="false" customHeight="false" outlineLevel="0" collapsed="false">
      <c r="A392" s="2" t="s">
        <v>5080</v>
      </c>
      <c r="B392" s="2" t="s">
        <v>5081</v>
      </c>
      <c r="C392" s="2" t="s">
        <v>5132</v>
      </c>
      <c r="D392" s="2" t="s">
        <v>5133</v>
      </c>
      <c r="E392" s="2" t="s">
        <v>5134</v>
      </c>
      <c r="F392" s="2" t="s">
        <v>34</v>
      </c>
      <c r="G392" s="2" t="s">
        <v>5135</v>
      </c>
      <c r="H392" s="2" t="s">
        <v>5136</v>
      </c>
      <c r="I392" s="2" t="s">
        <v>183</v>
      </c>
      <c r="J392" s="2" t="s">
        <v>5114</v>
      </c>
      <c r="K392" s="2" t="s">
        <v>5103</v>
      </c>
      <c r="L392" s="2" t="s">
        <v>5137</v>
      </c>
      <c r="M392" s="2" t="s">
        <v>5138</v>
      </c>
      <c r="N392" s="2" t="s">
        <v>144</v>
      </c>
      <c r="O392" s="2" t="s">
        <v>5139</v>
      </c>
      <c r="P392" s="2" t="s">
        <v>5106</v>
      </c>
      <c r="Q392" s="2"/>
      <c r="R392" s="2"/>
      <c r="S392" s="2" t="s">
        <v>5140</v>
      </c>
      <c r="T392" s="2" t="s">
        <v>5141</v>
      </c>
      <c r="U392" s="2" t="s">
        <v>5142</v>
      </c>
    </row>
    <row r="393" customFormat="false" ht="46.25" hidden="false" customHeight="false" outlineLevel="0" collapsed="false">
      <c r="A393" s="2" t="s">
        <v>5080</v>
      </c>
      <c r="B393" s="2" t="s">
        <v>5081</v>
      </c>
      <c r="C393" s="2" t="s">
        <v>5143</v>
      </c>
      <c r="D393" s="2" t="s">
        <v>5144</v>
      </c>
      <c r="E393" s="2" t="s">
        <v>5145</v>
      </c>
      <c r="F393" s="2" t="s">
        <v>34</v>
      </c>
      <c r="G393" s="2" t="s">
        <v>5146</v>
      </c>
      <c r="H393" s="2" t="s">
        <v>5147</v>
      </c>
      <c r="I393" s="2" t="s">
        <v>183</v>
      </c>
      <c r="J393" s="2" t="s">
        <v>5114</v>
      </c>
      <c r="K393" s="2" t="s">
        <v>1326</v>
      </c>
      <c r="L393" s="2" t="s">
        <v>5148</v>
      </c>
      <c r="M393" s="2" t="s">
        <v>5149</v>
      </c>
      <c r="N393" s="2" t="s">
        <v>144</v>
      </c>
      <c r="O393" s="2" t="s">
        <v>1326</v>
      </c>
      <c r="P393" s="2" t="s">
        <v>5150</v>
      </c>
      <c r="Q393" s="2"/>
      <c r="R393" s="2"/>
      <c r="S393" s="2" t="s">
        <v>5151</v>
      </c>
      <c r="T393" s="2" t="s">
        <v>5152</v>
      </c>
      <c r="U393" s="2" t="s">
        <v>5153</v>
      </c>
    </row>
    <row r="394" customFormat="false" ht="46.25" hidden="false" customHeight="false" outlineLevel="0" collapsed="false">
      <c r="A394" s="2" t="s">
        <v>5080</v>
      </c>
      <c r="B394" s="2" t="s">
        <v>5081</v>
      </c>
      <c r="C394" s="2" t="s">
        <v>5154</v>
      </c>
      <c r="D394" s="2" t="s">
        <v>5155</v>
      </c>
      <c r="E394" s="2" t="s">
        <v>5156</v>
      </c>
      <c r="F394" s="2" t="s">
        <v>34</v>
      </c>
      <c r="G394" s="2" t="s">
        <v>5157</v>
      </c>
      <c r="H394" s="2" t="s">
        <v>3412</v>
      </c>
      <c r="I394" s="2" t="s">
        <v>1248</v>
      </c>
      <c r="J394" s="2" t="s">
        <v>5158</v>
      </c>
      <c r="K394" s="2" t="s">
        <v>5159</v>
      </c>
      <c r="L394" s="2" t="s">
        <v>5160</v>
      </c>
      <c r="M394" s="2" t="s">
        <v>5161</v>
      </c>
      <c r="N394" s="2" t="s">
        <v>144</v>
      </c>
      <c r="O394" s="2" t="s">
        <v>897</v>
      </c>
      <c r="P394" s="2" t="s">
        <v>5162</v>
      </c>
      <c r="Q394" s="2"/>
      <c r="R394" s="2"/>
      <c r="S394" s="2" t="s">
        <v>5163</v>
      </c>
      <c r="T394" s="2" t="s">
        <v>5164</v>
      </c>
      <c r="U394" s="2" t="s">
        <v>5165</v>
      </c>
    </row>
    <row r="395" customFormat="false" ht="102.2" hidden="false" customHeight="false" outlineLevel="0" collapsed="false">
      <c r="A395" s="2" t="s">
        <v>5080</v>
      </c>
      <c r="B395" s="2" t="s">
        <v>5081</v>
      </c>
      <c r="C395" s="2" t="s">
        <v>5166</v>
      </c>
      <c r="D395" s="2" t="s">
        <v>5155</v>
      </c>
      <c r="E395" s="2" t="s">
        <v>5167</v>
      </c>
      <c r="F395" s="2" t="s">
        <v>34</v>
      </c>
      <c r="G395" s="2" t="s">
        <v>5168</v>
      </c>
      <c r="H395" s="2" t="s">
        <v>5169</v>
      </c>
      <c r="I395" s="2" t="s">
        <v>1248</v>
      </c>
      <c r="J395" s="2" t="s">
        <v>5170</v>
      </c>
      <c r="K395" s="2" t="s">
        <v>5171</v>
      </c>
      <c r="L395" s="2" t="s">
        <v>5172</v>
      </c>
      <c r="M395" s="2" t="s">
        <v>5173</v>
      </c>
      <c r="N395" s="2" t="s">
        <v>56</v>
      </c>
      <c r="O395" s="2" t="s">
        <v>5139</v>
      </c>
      <c r="P395" s="2" t="s">
        <v>5174</v>
      </c>
      <c r="Q395" s="2"/>
      <c r="R395" s="2"/>
      <c r="S395" s="2" t="s">
        <v>5175</v>
      </c>
      <c r="T395" s="2" t="s">
        <v>5176</v>
      </c>
      <c r="U395" s="2" t="s">
        <v>5177</v>
      </c>
    </row>
    <row r="396" customFormat="false" ht="68.65" hidden="false" customHeight="false" outlineLevel="0" collapsed="false">
      <c r="A396" s="2" t="s">
        <v>5080</v>
      </c>
      <c r="B396" s="2" t="s">
        <v>5081</v>
      </c>
      <c r="C396" s="2" t="s">
        <v>5178</v>
      </c>
      <c r="D396" s="2" t="s">
        <v>5179</v>
      </c>
      <c r="E396" s="2" t="s">
        <v>5180</v>
      </c>
      <c r="F396" s="2" t="s">
        <v>81</v>
      </c>
      <c r="G396" s="2" t="s">
        <v>5181</v>
      </c>
      <c r="H396" s="2" t="s">
        <v>5182</v>
      </c>
      <c r="I396" s="2" t="s">
        <v>5183</v>
      </c>
      <c r="J396" s="2" t="s">
        <v>5184</v>
      </c>
      <c r="K396" s="2" t="s">
        <v>5185</v>
      </c>
      <c r="L396" s="2" t="s">
        <v>5186</v>
      </c>
      <c r="M396" s="2" t="s">
        <v>5187</v>
      </c>
      <c r="N396" s="2" t="s">
        <v>144</v>
      </c>
      <c r="O396" s="2" t="s">
        <v>5188</v>
      </c>
      <c r="P396" s="2" t="s">
        <v>5189</v>
      </c>
      <c r="Q396" s="2"/>
      <c r="R396" s="2"/>
      <c r="S396" s="2" t="s">
        <v>5190</v>
      </c>
      <c r="T396" s="2" t="s">
        <v>5191</v>
      </c>
      <c r="U396" s="2" t="s">
        <v>5192</v>
      </c>
    </row>
    <row r="397" customFormat="false" ht="57.45" hidden="false" customHeight="false" outlineLevel="0" collapsed="false">
      <c r="A397" s="2" t="s">
        <v>5080</v>
      </c>
      <c r="B397" s="2" t="s">
        <v>5193</v>
      </c>
      <c r="C397" s="2" t="s">
        <v>5194</v>
      </c>
      <c r="D397" s="2" t="s">
        <v>5195</v>
      </c>
      <c r="E397" s="2" t="s">
        <v>5196</v>
      </c>
      <c r="F397" s="2" t="s">
        <v>280</v>
      </c>
      <c r="G397" s="2" t="s">
        <v>5197</v>
      </c>
      <c r="H397" s="2" t="s">
        <v>5198</v>
      </c>
      <c r="I397" s="2" t="s">
        <v>5199</v>
      </c>
      <c r="J397" s="2" t="s">
        <v>660</v>
      </c>
      <c r="K397" s="2" t="s">
        <v>5200</v>
      </c>
      <c r="L397" s="2" t="s">
        <v>5201</v>
      </c>
      <c r="M397" s="2" t="s">
        <v>5202</v>
      </c>
      <c r="N397" s="2" t="s">
        <v>89</v>
      </c>
      <c r="O397" s="2" t="s">
        <v>5203</v>
      </c>
      <c r="P397" s="2" t="s">
        <v>5204</v>
      </c>
      <c r="Q397" s="2"/>
      <c r="R397" s="2"/>
      <c r="S397" s="2" t="s">
        <v>5205</v>
      </c>
      <c r="T397" s="2" t="s">
        <v>5206</v>
      </c>
      <c r="U397" s="2" t="s">
        <v>5207</v>
      </c>
    </row>
    <row r="398" customFormat="false" ht="35.05" hidden="false" customHeight="false" outlineLevel="0" collapsed="false">
      <c r="A398" s="2" t="s">
        <v>5080</v>
      </c>
      <c r="B398" s="2" t="s">
        <v>5208</v>
      </c>
      <c r="C398" s="2" t="s">
        <v>5209</v>
      </c>
      <c r="D398" s="2" t="s">
        <v>4664</v>
      </c>
      <c r="E398" s="2" t="s">
        <v>5210</v>
      </c>
      <c r="F398" s="2" t="s">
        <v>193</v>
      </c>
      <c r="G398" s="2" t="s">
        <v>5211</v>
      </c>
      <c r="H398" s="2" t="s">
        <v>5212</v>
      </c>
      <c r="I398" s="2" t="s">
        <v>5213</v>
      </c>
      <c r="J398" s="2" t="s">
        <v>5214</v>
      </c>
      <c r="K398" s="2" t="s">
        <v>5215</v>
      </c>
      <c r="L398" s="2" t="s">
        <v>5216</v>
      </c>
      <c r="M398" s="2" t="s">
        <v>5217</v>
      </c>
      <c r="N398" s="2" t="s">
        <v>89</v>
      </c>
      <c r="O398" s="2" t="s">
        <v>1326</v>
      </c>
      <c r="P398" s="2" t="s">
        <v>5218</v>
      </c>
      <c r="Q398" s="2"/>
      <c r="R398" s="2"/>
      <c r="S398" s="2" t="s">
        <v>5219</v>
      </c>
      <c r="T398" s="2" t="s">
        <v>5220</v>
      </c>
      <c r="U398" s="2" t="s">
        <v>5221</v>
      </c>
    </row>
    <row r="399" customFormat="false" ht="68.65" hidden="false" customHeight="false" outlineLevel="0" collapsed="false">
      <c r="A399" s="2" t="s">
        <v>5080</v>
      </c>
      <c r="B399" s="2" t="s">
        <v>5193</v>
      </c>
      <c r="C399" s="2" t="s">
        <v>5222</v>
      </c>
      <c r="D399" s="2" t="s">
        <v>5223</v>
      </c>
      <c r="E399" s="2" t="s">
        <v>5224</v>
      </c>
      <c r="F399" s="2" t="s">
        <v>193</v>
      </c>
      <c r="G399" s="2" t="s">
        <v>5225</v>
      </c>
      <c r="H399" s="2" t="s">
        <v>3228</v>
      </c>
      <c r="I399" s="2" t="s">
        <v>5226</v>
      </c>
      <c r="J399" s="2" t="s">
        <v>5227</v>
      </c>
      <c r="K399" s="2" t="s">
        <v>5228</v>
      </c>
      <c r="L399" s="2" t="s">
        <v>5229</v>
      </c>
      <c r="M399" s="2" t="s">
        <v>5230</v>
      </c>
      <c r="N399" s="2" t="s">
        <v>89</v>
      </c>
      <c r="O399" s="2" t="s">
        <v>1326</v>
      </c>
      <c r="P399" s="2" t="s">
        <v>5231</v>
      </c>
      <c r="Q399" s="2"/>
      <c r="R399" s="2"/>
      <c r="S399" s="2" t="s">
        <v>5232</v>
      </c>
      <c r="T399" s="2" t="s">
        <v>5233</v>
      </c>
      <c r="U399" s="2" t="s">
        <v>5234</v>
      </c>
    </row>
    <row r="400" customFormat="false" ht="35.05" hidden="false" customHeight="false" outlineLevel="0" collapsed="false">
      <c r="A400" s="2" t="s">
        <v>5080</v>
      </c>
      <c r="B400" s="2" t="s">
        <v>5208</v>
      </c>
      <c r="C400" s="2" t="s">
        <v>5235</v>
      </c>
      <c r="D400" s="2" t="s">
        <v>5236</v>
      </c>
      <c r="E400" s="2" t="s">
        <v>5237</v>
      </c>
      <c r="F400" s="2" t="s">
        <v>193</v>
      </c>
      <c r="G400" s="2" t="s">
        <v>5238</v>
      </c>
      <c r="H400" s="2" t="s">
        <v>5239</v>
      </c>
      <c r="I400" s="2" t="s">
        <v>183</v>
      </c>
      <c r="J400" s="2" t="s">
        <v>5240</v>
      </c>
      <c r="K400" s="2" t="s">
        <v>5241</v>
      </c>
      <c r="L400" s="2" t="s">
        <v>5242</v>
      </c>
      <c r="M400" s="2" t="s">
        <v>5243</v>
      </c>
      <c r="N400" s="2" t="s">
        <v>89</v>
      </c>
      <c r="O400" s="2" t="s">
        <v>1326</v>
      </c>
      <c r="P400" s="2" t="s">
        <v>5244</v>
      </c>
      <c r="Q400" s="2"/>
      <c r="R400" s="2"/>
      <c r="S400" s="2" t="s">
        <v>5245</v>
      </c>
      <c r="T400" s="2" t="s">
        <v>5246</v>
      </c>
      <c r="U400" s="2" t="s">
        <v>5247</v>
      </c>
    </row>
    <row r="401" customFormat="false" ht="91" hidden="false" customHeight="false" outlineLevel="0" collapsed="false">
      <c r="A401" s="2" t="s">
        <v>5080</v>
      </c>
      <c r="B401" s="2" t="s">
        <v>5193</v>
      </c>
      <c r="C401" s="2" t="s">
        <v>5248</v>
      </c>
      <c r="D401" s="2" t="s">
        <v>5249</v>
      </c>
      <c r="E401" s="2" t="s">
        <v>5250</v>
      </c>
      <c r="F401" s="2" t="s">
        <v>34</v>
      </c>
      <c r="G401" s="2" t="s">
        <v>5251</v>
      </c>
      <c r="H401" s="2" t="s">
        <v>1260</v>
      </c>
      <c r="I401" s="2" t="s">
        <v>5252</v>
      </c>
      <c r="J401" s="2" t="s">
        <v>5253</v>
      </c>
      <c r="K401" s="2" t="s">
        <v>5254</v>
      </c>
      <c r="L401" s="2" t="s">
        <v>5255</v>
      </c>
      <c r="M401" s="2" t="s">
        <v>5256</v>
      </c>
      <c r="N401" s="2" t="s">
        <v>42</v>
      </c>
      <c r="O401" s="2" t="s">
        <v>5257</v>
      </c>
      <c r="P401" s="2" t="s">
        <v>5258</v>
      </c>
      <c r="Q401" s="2"/>
      <c r="R401" s="2"/>
      <c r="S401" s="2" t="s">
        <v>5259</v>
      </c>
      <c r="T401" s="2" t="s">
        <v>5260</v>
      </c>
      <c r="U401" s="2" t="s">
        <v>5261</v>
      </c>
    </row>
    <row r="402" customFormat="false" ht="79.85" hidden="false" customHeight="false" outlineLevel="0" collapsed="false">
      <c r="A402" s="2" t="s">
        <v>5080</v>
      </c>
      <c r="B402" s="2" t="s">
        <v>5262</v>
      </c>
      <c r="C402" s="2" t="s">
        <v>5263</v>
      </c>
      <c r="D402" s="2" t="s">
        <v>5264</v>
      </c>
      <c r="E402" s="2" t="s">
        <v>5265</v>
      </c>
      <c r="F402" s="2" t="s">
        <v>34</v>
      </c>
      <c r="G402" s="2" t="s">
        <v>5266</v>
      </c>
      <c r="H402" s="2" t="s">
        <v>5267</v>
      </c>
      <c r="I402" s="2" t="s">
        <v>5268</v>
      </c>
      <c r="J402" s="2" t="s">
        <v>5269</v>
      </c>
      <c r="K402" s="2" t="s">
        <v>5270</v>
      </c>
      <c r="L402" s="2" t="s">
        <v>5271</v>
      </c>
      <c r="M402" s="2" t="s">
        <v>5272</v>
      </c>
      <c r="N402" s="2" t="s">
        <v>56</v>
      </c>
      <c r="O402" s="2" t="s">
        <v>5273</v>
      </c>
      <c r="P402" s="2" t="s">
        <v>5274</v>
      </c>
      <c r="Q402" s="2"/>
      <c r="R402" s="2"/>
      <c r="S402" s="2" t="s">
        <v>5275</v>
      </c>
      <c r="T402" s="2" t="s">
        <v>5276</v>
      </c>
      <c r="U402" s="2" t="s">
        <v>5277</v>
      </c>
    </row>
    <row r="403" customFormat="false" ht="46.25" hidden="false" customHeight="false" outlineLevel="0" collapsed="false">
      <c r="A403" s="2" t="s">
        <v>5080</v>
      </c>
      <c r="B403" s="2" t="s">
        <v>5278</v>
      </c>
      <c r="C403" s="2" t="s">
        <v>5279</v>
      </c>
      <c r="D403" s="2" t="s">
        <v>5280</v>
      </c>
      <c r="E403" s="2" t="s">
        <v>5281</v>
      </c>
      <c r="F403" s="2" t="s">
        <v>139</v>
      </c>
      <c r="G403" s="2" t="s">
        <v>5282</v>
      </c>
      <c r="H403" s="2" t="s">
        <v>5283</v>
      </c>
      <c r="I403" s="2" t="s">
        <v>183</v>
      </c>
      <c r="J403" s="2" t="s">
        <v>5284</v>
      </c>
      <c r="K403" s="2" t="s">
        <v>5285</v>
      </c>
      <c r="L403" s="2" t="s">
        <v>5286</v>
      </c>
      <c r="M403" s="2" t="s">
        <v>5287</v>
      </c>
      <c r="N403" s="2" t="s">
        <v>42</v>
      </c>
      <c r="O403" s="2" t="s">
        <v>5288</v>
      </c>
      <c r="P403" s="2" t="s">
        <v>5289</v>
      </c>
      <c r="Q403" s="2"/>
      <c r="R403" s="2"/>
      <c r="S403" s="2" t="s">
        <v>5290</v>
      </c>
      <c r="T403" s="2" t="s">
        <v>5291</v>
      </c>
      <c r="U403" s="2" t="s">
        <v>5292</v>
      </c>
    </row>
    <row r="404" customFormat="false" ht="46.25" hidden="false" customHeight="false" outlineLevel="0" collapsed="false">
      <c r="A404" s="2" t="s">
        <v>5080</v>
      </c>
      <c r="B404" s="2" t="s">
        <v>5293</v>
      </c>
      <c r="C404" s="2" t="s">
        <v>5294</v>
      </c>
      <c r="D404" s="2" t="s">
        <v>5295</v>
      </c>
      <c r="E404" s="2" t="s">
        <v>5296</v>
      </c>
      <c r="F404" s="2" t="s">
        <v>66</v>
      </c>
      <c r="G404" s="2" t="s">
        <v>5297</v>
      </c>
      <c r="H404" s="2" t="s">
        <v>660</v>
      </c>
      <c r="I404" s="2" t="s">
        <v>5298</v>
      </c>
      <c r="J404" s="2" t="s">
        <v>666</v>
      </c>
      <c r="K404" s="2" t="s">
        <v>5299</v>
      </c>
      <c r="L404" s="2" t="s">
        <v>5300</v>
      </c>
      <c r="M404" s="2" t="s">
        <v>5301</v>
      </c>
      <c r="N404" s="2" t="s">
        <v>56</v>
      </c>
      <c r="O404" s="2" t="s">
        <v>1326</v>
      </c>
      <c r="P404" s="2" t="s">
        <v>5302</v>
      </c>
      <c r="Q404" s="2"/>
      <c r="R404" s="2"/>
      <c r="S404" s="2" t="s">
        <v>5303</v>
      </c>
      <c r="T404" s="2" t="s">
        <v>5304</v>
      </c>
      <c r="U404" s="2" t="s">
        <v>5305</v>
      </c>
    </row>
    <row r="405" customFormat="false" ht="46.25" hidden="false" customHeight="false" outlineLevel="0" collapsed="false">
      <c r="A405" s="2" t="s">
        <v>5080</v>
      </c>
      <c r="B405" s="2" t="s">
        <v>5081</v>
      </c>
      <c r="C405" s="2" t="s">
        <v>5306</v>
      </c>
      <c r="D405" s="2" t="s">
        <v>5307</v>
      </c>
      <c r="E405" s="2" t="s">
        <v>5308</v>
      </c>
      <c r="F405" s="2" t="s">
        <v>66</v>
      </c>
      <c r="G405" s="2" t="s">
        <v>5309</v>
      </c>
      <c r="H405" s="2" t="s">
        <v>666</v>
      </c>
      <c r="I405" s="2" t="s">
        <v>5310</v>
      </c>
      <c r="J405" s="2" t="s">
        <v>666</v>
      </c>
      <c r="K405" s="2" t="s">
        <v>5311</v>
      </c>
      <c r="L405" s="2" t="s">
        <v>5312</v>
      </c>
      <c r="M405" s="2" t="s">
        <v>5313</v>
      </c>
      <c r="N405" s="2" t="s">
        <v>144</v>
      </c>
      <c r="O405" s="2" t="s">
        <v>1326</v>
      </c>
      <c r="P405" s="2" t="s">
        <v>5314</v>
      </c>
      <c r="Q405" s="2"/>
      <c r="R405" s="2"/>
      <c r="S405" s="2" t="s">
        <v>5315</v>
      </c>
      <c r="T405" s="2" t="s">
        <v>5316</v>
      </c>
      <c r="U405" s="2" t="s">
        <v>5317</v>
      </c>
    </row>
    <row r="406" customFormat="false" ht="46.25" hidden="false" customHeight="false" outlineLevel="0" collapsed="false">
      <c r="A406" s="2" t="s">
        <v>5080</v>
      </c>
      <c r="B406" s="2" t="s">
        <v>5208</v>
      </c>
      <c r="C406" s="2" t="s">
        <v>5318</v>
      </c>
      <c r="D406" s="2" t="s">
        <v>5319</v>
      </c>
      <c r="E406" s="2" t="s">
        <v>5320</v>
      </c>
      <c r="F406" s="2" t="s">
        <v>81</v>
      </c>
      <c r="G406" s="2" t="s">
        <v>5321</v>
      </c>
      <c r="H406" s="2" t="s">
        <v>660</v>
      </c>
      <c r="I406" s="2" t="s">
        <v>5322</v>
      </c>
      <c r="J406" s="2" t="s">
        <v>666</v>
      </c>
      <c r="K406" s="2" t="s">
        <v>5323</v>
      </c>
      <c r="L406" s="2" t="s">
        <v>5324</v>
      </c>
      <c r="M406" s="2" t="s">
        <v>5325</v>
      </c>
      <c r="N406" s="2" t="s">
        <v>144</v>
      </c>
      <c r="O406" s="2" t="s">
        <v>5139</v>
      </c>
      <c r="P406" s="2" t="s">
        <v>5326</v>
      </c>
      <c r="Q406" s="2"/>
      <c r="R406" s="2"/>
      <c r="S406" s="2" t="s">
        <v>5327</v>
      </c>
      <c r="T406" s="2" t="s">
        <v>5328</v>
      </c>
      <c r="U406" s="2" t="s">
        <v>5329</v>
      </c>
    </row>
    <row r="407" customFormat="false" ht="35.05" hidden="false" customHeight="false" outlineLevel="0" collapsed="false">
      <c r="A407" s="2" t="s">
        <v>5080</v>
      </c>
      <c r="B407" s="2" t="s">
        <v>5208</v>
      </c>
      <c r="C407" s="2" t="s">
        <v>5330</v>
      </c>
      <c r="D407" s="2" t="s">
        <v>5331</v>
      </c>
      <c r="E407" s="2" t="s">
        <v>5332</v>
      </c>
      <c r="F407" s="2" t="s">
        <v>34</v>
      </c>
      <c r="G407" s="2" t="s">
        <v>5333</v>
      </c>
      <c r="H407" s="2" t="s">
        <v>3412</v>
      </c>
      <c r="I407" s="2" t="s">
        <v>5334</v>
      </c>
      <c r="J407" s="2" t="s">
        <v>5335</v>
      </c>
      <c r="K407" s="2" t="s">
        <v>5336</v>
      </c>
      <c r="L407" s="2" t="s">
        <v>5337</v>
      </c>
      <c r="M407" s="2" t="s">
        <v>5338</v>
      </c>
      <c r="N407" s="2" t="s">
        <v>144</v>
      </c>
      <c r="O407" s="2" t="s">
        <v>5339</v>
      </c>
      <c r="P407" s="2" t="s">
        <v>5340</v>
      </c>
      <c r="Q407" s="2"/>
      <c r="R407" s="2"/>
      <c r="S407" s="2" t="s">
        <v>5341</v>
      </c>
      <c r="T407" s="2" t="s">
        <v>5342</v>
      </c>
      <c r="U407" s="2" t="s">
        <v>5343</v>
      </c>
    </row>
    <row r="408" customFormat="false" ht="57.45" hidden="false" customHeight="false" outlineLevel="0" collapsed="false">
      <c r="A408" s="2" t="s">
        <v>5080</v>
      </c>
      <c r="B408" s="2" t="s">
        <v>5344</v>
      </c>
      <c r="C408" s="2" t="s">
        <v>5345</v>
      </c>
      <c r="D408" s="2" t="s">
        <v>5346</v>
      </c>
      <c r="E408" s="2" t="s">
        <v>5347</v>
      </c>
      <c r="F408" s="2" t="s">
        <v>34</v>
      </c>
      <c r="G408" s="2" t="s">
        <v>5348</v>
      </c>
      <c r="H408" s="2" t="s">
        <v>251</v>
      </c>
      <c r="I408" s="2" t="s">
        <v>183</v>
      </c>
      <c r="J408" s="2" t="s">
        <v>460</v>
      </c>
      <c r="K408" s="2" t="s">
        <v>5349</v>
      </c>
      <c r="L408" s="2" t="s">
        <v>5350</v>
      </c>
      <c r="M408" s="2" t="s">
        <v>5351</v>
      </c>
      <c r="N408" s="2" t="s">
        <v>144</v>
      </c>
      <c r="O408" s="2" t="s">
        <v>5139</v>
      </c>
      <c r="P408" s="2" t="s">
        <v>5150</v>
      </c>
      <c r="Q408" s="2"/>
      <c r="R408" s="2" t="s">
        <v>666</v>
      </c>
      <c r="S408" s="2" t="s">
        <v>5352</v>
      </c>
      <c r="T408" s="2" t="s">
        <v>5353</v>
      </c>
      <c r="U408" s="2" t="s">
        <v>5354</v>
      </c>
    </row>
    <row r="409" customFormat="false" ht="68.65" hidden="false" customHeight="false" outlineLevel="0" collapsed="false">
      <c r="A409" s="2" t="s">
        <v>5080</v>
      </c>
      <c r="B409" s="2" t="s">
        <v>5355</v>
      </c>
      <c r="C409" s="2" t="s">
        <v>5356</v>
      </c>
      <c r="D409" s="2" t="s">
        <v>263</v>
      </c>
      <c r="E409" s="2" t="s">
        <v>5357</v>
      </c>
      <c r="F409" s="2" t="s">
        <v>34</v>
      </c>
      <c r="G409" s="2" t="s">
        <v>5358</v>
      </c>
      <c r="H409" s="2" t="s">
        <v>5359</v>
      </c>
      <c r="I409" s="2" t="s">
        <v>5360</v>
      </c>
      <c r="J409" s="2" t="s">
        <v>38</v>
      </c>
      <c r="K409" s="2" t="s">
        <v>5361</v>
      </c>
      <c r="L409" s="2" t="s">
        <v>5362</v>
      </c>
      <c r="M409" s="2" t="s">
        <v>5363</v>
      </c>
      <c r="N409" s="2" t="s">
        <v>72</v>
      </c>
      <c r="O409" s="2" t="s">
        <v>5364</v>
      </c>
      <c r="P409" s="2" t="s">
        <v>5365</v>
      </c>
      <c r="Q409" s="2"/>
      <c r="R409" s="2"/>
      <c r="S409" s="2" t="s">
        <v>5366</v>
      </c>
      <c r="T409" s="2" t="s">
        <v>274</v>
      </c>
      <c r="U409" s="2" t="s">
        <v>275</v>
      </c>
    </row>
    <row r="410" customFormat="false" ht="57.45" hidden="false" customHeight="false" outlineLevel="0" collapsed="false">
      <c r="A410" s="2" t="s">
        <v>5080</v>
      </c>
      <c r="B410" s="2" t="s">
        <v>5367</v>
      </c>
      <c r="C410" s="2" t="s">
        <v>5368</v>
      </c>
      <c r="D410" s="2" t="s">
        <v>5369</v>
      </c>
      <c r="E410" s="2" t="s">
        <v>5370</v>
      </c>
      <c r="F410" s="2" t="s">
        <v>34</v>
      </c>
      <c r="G410" s="2" t="s">
        <v>5371</v>
      </c>
      <c r="H410" s="2" t="s">
        <v>5372</v>
      </c>
      <c r="I410" s="2" t="s">
        <v>5373</v>
      </c>
      <c r="J410" s="2" t="s">
        <v>5374</v>
      </c>
      <c r="K410" s="2" t="s">
        <v>5375</v>
      </c>
      <c r="L410" s="2" t="s">
        <v>5376</v>
      </c>
      <c r="M410" s="2" t="s">
        <v>5377</v>
      </c>
      <c r="N410" s="2" t="s">
        <v>42</v>
      </c>
      <c r="O410" s="2" t="s">
        <v>5378</v>
      </c>
      <c r="P410" s="2" t="s">
        <v>5379</v>
      </c>
      <c r="Q410" s="2"/>
      <c r="R410" s="2" t="s">
        <v>666</v>
      </c>
      <c r="S410" s="2" t="s">
        <v>5380</v>
      </c>
      <c r="T410" s="2" t="s">
        <v>5381</v>
      </c>
      <c r="U410" s="2" t="s">
        <v>5382</v>
      </c>
    </row>
    <row r="411" customFormat="false" ht="57.45" hidden="false" customHeight="false" outlineLevel="0" collapsed="false">
      <c r="A411" s="2" t="s">
        <v>5080</v>
      </c>
      <c r="B411" s="2" t="s">
        <v>5383</v>
      </c>
      <c r="C411" s="2" t="s">
        <v>2302</v>
      </c>
      <c r="D411" s="2" t="s">
        <v>2303</v>
      </c>
      <c r="E411" s="2" t="s">
        <v>5384</v>
      </c>
      <c r="F411" s="2" t="s">
        <v>81</v>
      </c>
      <c r="G411" s="2" t="s">
        <v>5385</v>
      </c>
      <c r="H411" s="2" t="s">
        <v>5386</v>
      </c>
      <c r="I411" s="2" t="s">
        <v>1236</v>
      </c>
      <c r="J411" s="2" t="s">
        <v>2307</v>
      </c>
      <c r="K411" s="2" t="s">
        <v>5387</v>
      </c>
      <c r="L411" s="2" t="s">
        <v>5388</v>
      </c>
      <c r="M411" s="2" t="s">
        <v>5389</v>
      </c>
      <c r="N411" s="2" t="s">
        <v>56</v>
      </c>
      <c r="O411" s="2" t="s">
        <v>897</v>
      </c>
      <c r="P411" s="2" t="s">
        <v>5150</v>
      </c>
      <c r="Q411" s="2"/>
      <c r="R411" s="2" t="s">
        <v>666</v>
      </c>
      <c r="S411" s="2" t="s">
        <v>2311</v>
      </c>
      <c r="T411" s="2" t="s">
        <v>2312</v>
      </c>
      <c r="U411" s="2" t="s">
        <v>5390</v>
      </c>
    </row>
    <row r="412" customFormat="false" ht="46.25" hidden="false" customHeight="false" outlineLevel="0" collapsed="false">
      <c r="A412" s="2" t="s">
        <v>5080</v>
      </c>
      <c r="B412" s="2" t="s">
        <v>5391</v>
      </c>
      <c r="C412" s="2" t="s">
        <v>5392</v>
      </c>
      <c r="D412" s="2" t="s">
        <v>5393</v>
      </c>
      <c r="E412" s="2" t="s">
        <v>5394</v>
      </c>
      <c r="F412" s="2" t="s">
        <v>720</v>
      </c>
      <c r="G412" s="2" t="s">
        <v>5395</v>
      </c>
      <c r="H412" s="2" t="s">
        <v>1326</v>
      </c>
      <c r="I412" s="2" t="s">
        <v>4578</v>
      </c>
      <c r="J412" s="2" t="s">
        <v>1326</v>
      </c>
      <c r="K412" s="2" t="s">
        <v>5396</v>
      </c>
      <c r="L412" s="2" t="s">
        <v>5397</v>
      </c>
      <c r="M412" s="2" t="s">
        <v>5398</v>
      </c>
      <c r="N412" s="2" t="s">
        <v>144</v>
      </c>
      <c r="O412" s="2" t="s">
        <v>5399</v>
      </c>
      <c r="P412" s="2" t="s">
        <v>5400</v>
      </c>
      <c r="Q412" s="2"/>
      <c r="R412" s="2"/>
      <c r="S412" s="2" t="s">
        <v>5401</v>
      </c>
      <c r="T412" s="2" t="s">
        <v>5402</v>
      </c>
      <c r="U412" s="2" t="s">
        <v>5403</v>
      </c>
    </row>
    <row r="413" customFormat="false" ht="46.25" hidden="false" customHeight="false" outlineLevel="0" collapsed="false">
      <c r="A413" s="2" t="s">
        <v>5080</v>
      </c>
      <c r="B413" s="2" t="s">
        <v>5383</v>
      </c>
      <c r="C413" s="2" t="s">
        <v>5404</v>
      </c>
      <c r="D413" s="2" t="s">
        <v>5405</v>
      </c>
      <c r="E413" s="2" t="s">
        <v>5406</v>
      </c>
      <c r="F413" s="2" t="s">
        <v>347</v>
      </c>
      <c r="G413" s="2" t="s">
        <v>5407</v>
      </c>
      <c r="H413" s="2" t="s">
        <v>5408</v>
      </c>
      <c r="I413" s="2" t="s">
        <v>5409</v>
      </c>
      <c r="J413" s="2" t="s">
        <v>5410</v>
      </c>
      <c r="K413" s="2" t="s">
        <v>5383</v>
      </c>
      <c r="L413" s="2" t="s">
        <v>5411</v>
      </c>
      <c r="M413" s="2" t="s">
        <v>5412</v>
      </c>
      <c r="N413" s="2" t="s">
        <v>144</v>
      </c>
      <c r="O413" s="2" t="s">
        <v>5413</v>
      </c>
      <c r="P413" s="2" t="s">
        <v>5314</v>
      </c>
      <c r="Q413" s="2"/>
      <c r="R413" s="2"/>
      <c r="S413" s="2" t="s">
        <v>5414</v>
      </c>
      <c r="T413" s="2" t="s">
        <v>5415</v>
      </c>
      <c r="U413" s="2" t="s">
        <v>5416</v>
      </c>
    </row>
    <row r="414" customFormat="false" ht="35.05" hidden="false" customHeight="false" outlineLevel="0" collapsed="false">
      <c r="A414" s="2" t="s">
        <v>5080</v>
      </c>
      <c r="B414" s="2" t="s">
        <v>5417</v>
      </c>
      <c r="C414" s="2" t="s">
        <v>5418</v>
      </c>
      <c r="D414" s="2" t="s">
        <v>5419</v>
      </c>
      <c r="E414" s="2" t="s">
        <v>5420</v>
      </c>
      <c r="F414" s="2" t="s">
        <v>66</v>
      </c>
      <c r="G414" s="2" t="s">
        <v>5421</v>
      </c>
      <c r="H414" s="2" t="s">
        <v>5422</v>
      </c>
      <c r="I414" s="2" t="s">
        <v>5423</v>
      </c>
      <c r="J414" s="2" t="s">
        <v>588</v>
      </c>
      <c r="K414" s="2" t="s">
        <v>5424</v>
      </c>
      <c r="L414" s="2" t="s">
        <v>5425</v>
      </c>
      <c r="M414" s="2" t="s">
        <v>5426</v>
      </c>
      <c r="N414" s="2" t="s">
        <v>144</v>
      </c>
      <c r="O414" s="2" t="s">
        <v>1326</v>
      </c>
      <c r="P414" s="2" t="s">
        <v>5427</v>
      </c>
      <c r="Q414" s="2"/>
      <c r="R414" s="2"/>
      <c r="S414" s="2" t="s">
        <v>5428</v>
      </c>
      <c r="T414" s="2" t="s">
        <v>5429</v>
      </c>
      <c r="U414" s="2" t="s">
        <v>5430</v>
      </c>
    </row>
    <row r="415" customFormat="false" ht="35.05" hidden="false" customHeight="false" outlineLevel="0" collapsed="false">
      <c r="A415" s="2" t="s">
        <v>5080</v>
      </c>
      <c r="B415" s="2" t="s">
        <v>5417</v>
      </c>
      <c r="C415" s="2" t="s">
        <v>5431</v>
      </c>
      <c r="D415" s="2" t="s">
        <v>5419</v>
      </c>
      <c r="E415" s="2" t="s">
        <v>5432</v>
      </c>
      <c r="F415" s="2" t="s">
        <v>66</v>
      </c>
      <c r="G415" s="2" t="s">
        <v>5433</v>
      </c>
      <c r="H415" s="2" t="s">
        <v>666</v>
      </c>
      <c r="I415" s="2" t="s">
        <v>5423</v>
      </c>
      <c r="J415" s="2" t="s">
        <v>877</v>
      </c>
      <c r="K415" s="2" t="s">
        <v>5434</v>
      </c>
      <c r="L415" s="2" t="s">
        <v>5435</v>
      </c>
      <c r="M415" s="2" t="s">
        <v>5436</v>
      </c>
      <c r="N415" s="2" t="s">
        <v>144</v>
      </c>
      <c r="O415" s="2" t="s">
        <v>1326</v>
      </c>
      <c r="P415" s="2" t="s">
        <v>5437</v>
      </c>
      <c r="Q415" s="2"/>
      <c r="R415" s="2"/>
      <c r="S415" s="2" t="s">
        <v>5438</v>
      </c>
      <c r="T415" s="2" t="s">
        <v>5439</v>
      </c>
      <c r="U415" s="2" t="s">
        <v>5440</v>
      </c>
    </row>
    <row r="416" customFormat="false" ht="35.05" hidden="false" customHeight="false" outlineLevel="0" collapsed="false">
      <c r="A416" s="2" t="s">
        <v>5080</v>
      </c>
      <c r="B416" s="2" t="s">
        <v>5441</v>
      </c>
      <c r="C416" s="2" t="s">
        <v>5442</v>
      </c>
      <c r="D416" s="2" t="s">
        <v>5443</v>
      </c>
      <c r="E416" s="2" t="s">
        <v>5444</v>
      </c>
      <c r="F416" s="2" t="s">
        <v>34</v>
      </c>
      <c r="G416" s="2" t="s">
        <v>5445</v>
      </c>
      <c r="H416" s="2" t="s">
        <v>5446</v>
      </c>
      <c r="I416" s="2" t="s">
        <v>5447</v>
      </c>
      <c r="J416" s="2" t="s">
        <v>2384</v>
      </c>
      <c r="K416" s="2" t="s">
        <v>5448</v>
      </c>
      <c r="L416" s="2" t="s">
        <v>5449</v>
      </c>
      <c r="M416" s="2" t="s">
        <v>5450</v>
      </c>
      <c r="N416" s="2" t="s">
        <v>144</v>
      </c>
      <c r="O416" s="2" t="s">
        <v>5451</v>
      </c>
      <c r="P416" s="2" t="s">
        <v>5452</v>
      </c>
      <c r="Q416" s="2" t="s">
        <v>5453</v>
      </c>
      <c r="R416" s="2"/>
      <c r="S416" s="2" t="s">
        <v>5454</v>
      </c>
      <c r="T416" s="2" t="s">
        <v>5455</v>
      </c>
      <c r="U416" s="2" t="s">
        <v>5456</v>
      </c>
    </row>
    <row r="417" customFormat="false" ht="57.45" hidden="false" customHeight="false" outlineLevel="0" collapsed="false">
      <c r="A417" s="2" t="s">
        <v>5080</v>
      </c>
      <c r="B417" s="2" t="s">
        <v>5457</v>
      </c>
      <c r="C417" s="2" t="s">
        <v>5458</v>
      </c>
      <c r="D417" s="2" t="s">
        <v>5459</v>
      </c>
      <c r="E417" s="2" t="s">
        <v>5460</v>
      </c>
      <c r="F417" s="2" t="s">
        <v>66</v>
      </c>
      <c r="G417" s="2" t="s">
        <v>5461</v>
      </c>
      <c r="H417" s="2" t="s">
        <v>666</v>
      </c>
      <c r="I417" s="2" t="s">
        <v>5423</v>
      </c>
      <c r="J417" s="2" t="s">
        <v>1326</v>
      </c>
      <c r="K417" s="2" t="s">
        <v>5462</v>
      </c>
      <c r="L417" s="2" t="s">
        <v>5463</v>
      </c>
      <c r="M417" s="2" t="s">
        <v>5464</v>
      </c>
      <c r="N417" s="2" t="s">
        <v>144</v>
      </c>
      <c r="O417" s="2" t="s">
        <v>1326</v>
      </c>
      <c r="P417" s="2" t="s">
        <v>5465</v>
      </c>
      <c r="Q417" s="2"/>
      <c r="R417" s="2"/>
      <c r="S417" s="2" t="s">
        <v>5466</v>
      </c>
      <c r="T417" s="2" t="s">
        <v>5467</v>
      </c>
      <c r="U417" s="2" t="s">
        <v>5468</v>
      </c>
    </row>
    <row r="418" customFormat="false" ht="57.45" hidden="false" customHeight="false" outlineLevel="0" collapsed="false">
      <c r="A418" s="2" t="s">
        <v>5080</v>
      </c>
      <c r="B418" s="2" t="s">
        <v>5469</v>
      </c>
      <c r="C418" s="2" t="s">
        <v>5470</v>
      </c>
      <c r="D418" s="2" t="s">
        <v>5471</v>
      </c>
      <c r="E418" s="2" t="s">
        <v>5472</v>
      </c>
      <c r="F418" s="2" t="s">
        <v>347</v>
      </c>
      <c r="G418" s="2" t="s">
        <v>5473</v>
      </c>
      <c r="H418" s="2" t="s">
        <v>5474</v>
      </c>
      <c r="I418" s="2" t="s">
        <v>5475</v>
      </c>
      <c r="J418" s="2" t="s">
        <v>5476</v>
      </c>
      <c r="K418" s="2" t="s">
        <v>5477</v>
      </c>
      <c r="L418" s="2" t="s">
        <v>5478</v>
      </c>
      <c r="M418" s="2" t="s">
        <v>5479</v>
      </c>
      <c r="N418" s="2" t="s">
        <v>144</v>
      </c>
      <c r="O418" s="2" t="s">
        <v>5139</v>
      </c>
      <c r="P418" s="2" t="s">
        <v>5480</v>
      </c>
      <c r="Q418" s="2"/>
      <c r="R418" s="2" t="s">
        <v>666</v>
      </c>
      <c r="S418" s="2" t="s">
        <v>5481</v>
      </c>
      <c r="T418" s="2" t="s">
        <v>5482</v>
      </c>
      <c r="U418" s="2" t="s">
        <v>5483</v>
      </c>
    </row>
    <row r="419" customFormat="false" ht="46.25" hidden="false" customHeight="false" outlineLevel="0" collapsed="false">
      <c r="A419" s="2" t="s">
        <v>5080</v>
      </c>
      <c r="B419" s="2" t="s">
        <v>5484</v>
      </c>
      <c r="C419" s="2" t="s">
        <v>5485</v>
      </c>
      <c r="D419" s="2" t="s">
        <v>5486</v>
      </c>
      <c r="E419" s="2" t="s">
        <v>5487</v>
      </c>
      <c r="F419" s="2" t="s">
        <v>193</v>
      </c>
      <c r="G419" s="2" t="s">
        <v>5488</v>
      </c>
      <c r="H419" s="2" t="s">
        <v>1614</v>
      </c>
      <c r="I419" s="2" t="s">
        <v>183</v>
      </c>
      <c r="J419" s="2" t="s">
        <v>5489</v>
      </c>
      <c r="K419" s="2" t="s">
        <v>5490</v>
      </c>
      <c r="L419" s="2" t="s">
        <v>5491</v>
      </c>
      <c r="M419" s="2" t="s">
        <v>5492</v>
      </c>
      <c r="N419" s="2" t="s">
        <v>89</v>
      </c>
      <c r="O419" s="2" t="s">
        <v>1326</v>
      </c>
      <c r="P419" s="2" t="s">
        <v>5493</v>
      </c>
      <c r="Q419" s="2"/>
      <c r="R419" s="2"/>
      <c r="S419" s="2" t="s">
        <v>5494</v>
      </c>
      <c r="T419" s="2" t="s">
        <v>5495</v>
      </c>
      <c r="U419" s="2" t="s">
        <v>5496</v>
      </c>
    </row>
    <row r="420" customFormat="false" ht="57.45" hidden="false" customHeight="false" outlineLevel="0" collapsed="false">
      <c r="A420" s="2" t="s">
        <v>5080</v>
      </c>
      <c r="B420" s="2" t="s">
        <v>5497</v>
      </c>
      <c r="C420" s="2" t="s">
        <v>5498</v>
      </c>
      <c r="D420" s="2" t="s">
        <v>5499</v>
      </c>
      <c r="E420" s="2" t="s">
        <v>5500</v>
      </c>
      <c r="F420" s="2" t="s">
        <v>193</v>
      </c>
      <c r="G420" s="2" t="s">
        <v>5501</v>
      </c>
      <c r="H420" s="2" t="s">
        <v>3046</v>
      </c>
      <c r="I420" s="2" t="s">
        <v>183</v>
      </c>
      <c r="J420" s="2" t="s">
        <v>5502</v>
      </c>
      <c r="K420" s="2" t="s">
        <v>5503</v>
      </c>
      <c r="L420" s="2" t="s">
        <v>5216</v>
      </c>
      <c r="M420" s="2" t="s">
        <v>5504</v>
      </c>
      <c r="N420" s="2" t="s">
        <v>89</v>
      </c>
      <c r="O420" s="2" t="s">
        <v>5505</v>
      </c>
      <c r="P420" s="2" t="s">
        <v>5506</v>
      </c>
      <c r="Q420" s="2"/>
      <c r="R420" s="2"/>
      <c r="S420" s="2" t="s">
        <v>5507</v>
      </c>
      <c r="T420" s="2" t="s">
        <v>5508</v>
      </c>
      <c r="U420" s="2" t="s">
        <v>5509</v>
      </c>
    </row>
    <row r="421" customFormat="false" ht="91" hidden="false" customHeight="false" outlineLevel="0" collapsed="false">
      <c r="A421" s="2" t="s">
        <v>5080</v>
      </c>
      <c r="B421" s="2" t="s">
        <v>5510</v>
      </c>
      <c r="C421" s="2" t="s">
        <v>5511</v>
      </c>
      <c r="D421" s="2" t="s">
        <v>5512</v>
      </c>
      <c r="E421" s="2" t="s">
        <v>5513</v>
      </c>
      <c r="F421" s="2" t="s">
        <v>193</v>
      </c>
      <c r="G421" s="2" t="s">
        <v>5514</v>
      </c>
      <c r="H421" s="2" t="s">
        <v>5515</v>
      </c>
      <c r="I421" s="2" t="s">
        <v>1248</v>
      </c>
      <c r="J421" s="2" t="s">
        <v>5516</v>
      </c>
      <c r="K421" s="2" t="s">
        <v>5517</v>
      </c>
      <c r="L421" s="2" t="s">
        <v>5518</v>
      </c>
      <c r="M421" s="2" t="s">
        <v>5519</v>
      </c>
      <c r="N421" s="2" t="s">
        <v>89</v>
      </c>
      <c r="O421" s="2" t="s">
        <v>1326</v>
      </c>
      <c r="P421" s="2" t="s">
        <v>5520</v>
      </c>
      <c r="Q421" s="2"/>
      <c r="R421" s="2"/>
      <c r="S421" s="2" t="s">
        <v>5521</v>
      </c>
      <c r="T421" s="2" t="s">
        <v>5522</v>
      </c>
      <c r="U421" s="2" t="s">
        <v>5523</v>
      </c>
    </row>
    <row r="422" customFormat="false" ht="46.25" hidden="false" customHeight="false" outlineLevel="0" collapsed="false">
      <c r="A422" s="2" t="s">
        <v>5080</v>
      </c>
      <c r="B422" s="2" t="s">
        <v>5510</v>
      </c>
      <c r="C422" s="2" t="s">
        <v>5524</v>
      </c>
      <c r="D422" s="2" t="s">
        <v>5525</v>
      </c>
      <c r="E422" s="2" t="s">
        <v>5526</v>
      </c>
      <c r="F422" s="2" t="s">
        <v>139</v>
      </c>
      <c r="G422" s="2" t="s">
        <v>497</v>
      </c>
      <c r="H422" s="2" t="s">
        <v>5527</v>
      </c>
      <c r="I422" s="2" t="s">
        <v>183</v>
      </c>
      <c r="J422" s="2" t="s">
        <v>5528</v>
      </c>
      <c r="K422" s="2" t="s">
        <v>5510</v>
      </c>
      <c r="L422" s="2" t="s">
        <v>3832</v>
      </c>
      <c r="M422" s="2" t="s">
        <v>5529</v>
      </c>
      <c r="N422" s="2" t="s">
        <v>56</v>
      </c>
      <c r="O422" s="2" t="s">
        <v>5530</v>
      </c>
      <c r="P422" s="2" t="s">
        <v>5531</v>
      </c>
      <c r="Q422" s="2"/>
      <c r="R422" s="2"/>
      <c r="S422" s="2" t="s">
        <v>5532</v>
      </c>
      <c r="T422" s="2" t="s">
        <v>5533</v>
      </c>
      <c r="U422" s="2" t="s">
        <v>5534</v>
      </c>
    </row>
    <row r="423" customFormat="false" ht="57.45" hidden="false" customHeight="false" outlineLevel="0" collapsed="false">
      <c r="A423" s="2" t="s">
        <v>5080</v>
      </c>
      <c r="B423" s="2" t="s">
        <v>5510</v>
      </c>
      <c r="C423" s="2" t="s">
        <v>5535</v>
      </c>
      <c r="D423" s="2" t="s">
        <v>5525</v>
      </c>
      <c r="E423" s="2" t="s">
        <v>5536</v>
      </c>
      <c r="F423" s="2" t="s">
        <v>139</v>
      </c>
      <c r="G423" s="2" t="s">
        <v>5537</v>
      </c>
      <c r="H423" s="2" t="s">
        <v>5538</v>
      </c>
      <c r="I423" s="2" t="s">
        <v>183</v>
      </c>
      <c r="J423" s="2" t="s">
        <v>666</v>
      </c>
      <c r="K423" s="2" t="s">
        <v>5539</v>
      </c>
      <c r="L423" s="2" t="s">
        <v>1400</v>
      </c>
      <c r="M423" s="2" t="s">
        <v>5540</v>
      </c>
      <c r="N423" s="2" t="s">
        <v>56</v>
      </c>
      <c r="O423" s="2" t="s">
        <v>5541</v>
      </c>
      <c r="P423" s="2" t="s">
        <v>5542</v>
      </c>
      <c r="Q423" s="2"/>
      <c r="R423" s="2"/>
      <c r="S423" s="2" t="s">
        <v>5543</v>
      </c>
      <c r="T423" s="2" t="s">
        <v>5544</v>
      </c>
      <c r="U423" s="2" t="s">
        <v>5545</v>
      </c>
    </row>
    <row r="424" customFormat="false" ht="46.25" hidden="false" customHeight="false" outlineLevel="0" collapsed="false">
      <c r="A424" s="2" t="s">
        <v>5080</v>
      </c>
      <c r="B424" s="2" t="s">
        <v>5546</v>
      </c>
      <c r="C424" s="2" t="s">
        <v>5547</v>
      </c>
      <c r="D424" s="2" t="s">
        <v>5548</v>
      </c>
      <c r="E424" s="2" t="s">
        <v>5549</v>
      </c>
      <c r="F424" s="2" t="s">
        <v>66</v>
      </c>
      <c r="G424" s="2" t="s">
        <v>5550</v>
      </c>
      <c r="H424" s="2" t="s">
        <v>666</v>
      </c>
      <c r="I424" s="2" t="s">
        <v>2788</v>
      </c>
      <c r="J424" s="2" t="s">
        <v>666</v>
      </c>
      <c r="K424" s="2" t="s">
        <v>5551</v>
      </c>
      <c r="L424" s="2" t="s">
        <v>5552</v>
      </c>
      <c r="M424" s="2" t="s">
        <v>5553</v>
      </c>
      <c r="N424" s="2" t="s">
        <v>144</v>
      </c>
      <c r="O424" s="2" t="s">
        <v>1326</v>
      </c>
      <c r="P424" s="2" t="s">
        <v>5554</v>
      </c>
      <c r="Q424" s="2"/>
      <c r="R424" s="2"/>
      <c r="S424" s="2" t="s">
        <v>5555</v>
      </c>
      <c r="T424" s="2" t="s">
        <v>5556</v>
      </c>
      <c r="U424" s="2" t="s">
        <v>5557</v>
      </c>
    </row>
    <row r="425" customFormat="false" ht="57.45" hidden="false" customHeight="false" outlineLevel="0" collapsed="false">
      <c r="A425" s="2" t="s">
        <v>5080</v>
      </c>
      <c r="B425" s="2" t="s">
        <v>5558</v>
      </c>
      <c r="C425" s="2" t="s">
        <v>5559</v>
      </c>
      <c r="D425" s="2" t="s">
        <v>5560</v>
      </c>
      <c r="E425" s="2" t="s">
        <v>5561</v>
      </c>
      <c r="F425" s="2" t="s">
        <v>193</v>
      </c>
      <c r="G425" s="2" t="s">
        <v>5562</v>
      </c>
      <c r="H425" s="2" t="s">
        <v>5563</v>
      </c>
      <c r="I425" s="2" t="s">
        <v>5564</v>
      </c>
      <c r="J425" s="2" t="s">
        <v>5565</v>
      </c>
      <c r="K425" s="2" t="s">
        <v>5566</v>
      </c>
      <c r="L425" s="2" t="s">
        <v>5567</v>
      </c>
      <c r="M425" s="2" t="s">
        <v>5568</v>
      </c>
      <c r="N425" s="2" t="s">
        <v>89</v>
      </c>
      <c r="O425" s="2" t="s">
        <v>1326</v>
      </c>
      <c r="P425" s="2" t="s">
        <v>5569</v>
      </c>
      <c r="Q425" s="2"/>
      <c r="R425" s="2"/>
      <c r="S425" s="2" t="s">
        <v>5570</v>
      </c>
      <c r="T425" s="2" t="s">
        <v>5571</v>
      </c>
      <c r="U425" s="2" t="s">
        <v>5572</v>
      </c>
    </row>
    <row r="426" customFormat="false" ht="35.05" hidden="false" customHeight="false" outlineLevel="0" collapsed="false">
      <c r="A426" s="2" t="s">
        <v>5080</v>
      </c>
      <c r="B426" s="2" t="s">
        <v>5573</v>
      </c>
      <c r="C426" s="2" t="s">
        <v>5574</v>
      </c>
      <c r="D426" s="2" t="s">
        <v>5575</v>
      </c>
      <c r="E426" s="2" t="s">
        <v>5576</v>
      </c>
      <c r="F426" s="2" t="s">
        <v>66</v>
      </c>
      <c r="G426" s="2" t="s">
        <v>5577</v>
      </c>
      <c r="H426" s="2" t="s">
        <v>666</v>
      </c>
      <c r="I426" s="2" t="s">
        <v>5578</v>
      </c>
      <c r="J426" s="2" t="s">
        <v>666</v>
      </c>
      <c r="K426" s="2" t="s">
        <v>5579</v>
      </c>
      <c r="L426" s="2" t="s">
        <v>5580</v>
      </c>
      <c r="M426" s="2" t="s">
        <v>5581</v>
      </c>
      <c r="N426" s="2" t="s">
        <v>144</v>
      </c>
      <c r="O426" s="2" t="s">
        <v>1326</v>
      </c>
      <c r="P426" s="2" t="s">
        <v>5150</v>
      </c>
      <c r="Q426" s="2"/>
      <c r="R426" s="2"/>
      <c r="S426" s="2" t="s">
        <v>5582</v>
      </c>
      <c r="T426" s="2" t="s">
        <v>5583</v>
      </c>
      <c r="U426" s="2" t="s">
        <v>5584</v>
      </c>
    </row>
    <row r="427" customFormat="false" ht="46.25" hidden="false" customHeight="false" outlineLevel="0" collapsed="false">
      <c r="A427" s="2" t="s">
        <v>5080</v>
      </c>
      <c r="B427" s="2" t="s">
        <v>5193</v>
      </c>
      <c r="C427" s="2" t="s">
        <v>5585</v>
      </c>
      <c r="D427" s="2" t="s">
        <v>5586</v>
      </c>
      <c r="E427" s="2" t="s">
        <v>5587</v>
      </c>
      <c r="F427" s="2" t="s">
        <v>1174</v>
      </c>
      <c r="G427" s="2" t="s">
        <v>5588</v>
      </c>
      <c r="H427" s="2" t="s">
        <v>1326</v>
      </c>
      <c r="I427" s="2" t="s">
        <v>5589</v>
      </c>
      <c r="J427" s="2" t="s">
        <v>1326</v>
      </c>
      <c r="K427" s="2" t="s">
        <v>5590</v>
      </c>
      <c r="L427" s="2" t="s">
        <v>1326</v>
      </c>
      <c r="M427" s="2" t="s">
        <v>5591</v>
      </c>
      <c r="N427" s="2" t="s">
        <v>89</v>
      </c>
      <c r="O427" s="2" t="s">
        <v>5592</v>
      </c>
      <c r="P427" s="2" t="s">
        <v>5593</v>
      </c>
      <c r="Q427" s="2"/>
      <c r="R427" s="2" t="s">
        <v>5594</v>
      </c>
      <c r="S427" s="2" t="s">
        <v>5595</v>
      </c>
      <c r="T427" s="2" t="s">
        <v>1196</v>
      </c>
      <c r="U427" s="2" t="s">
        <v>5596</v>
      </c>
    </row>
    <row r="428" customFormat="false" ht="57.45" hidden="false" customHeight="false" outlineLevel="0" collapsed="false">
      <c r="A428" s="2" t="s">
        <v>5080</v>
      </c>
      <c r="B428" s="2" t="s">
        <v>5081</v>
      </c>
      <c r="C428" s="2" t="s">
        <v>5597</v>
      </c>
      <c r="D428" s="2" t="s">
        <v>5598</v>
      </c>
      <c r="E428" s="2" t="s">
        <v>5599</v>
      </c>
      <c r="F428" s="2" t="s">
        <v>193</v>
      </c>
      <c r="G428" s="2" t="s">
        <v>5600</v>
      </c>
      <c r="H428" s="2" t="s">
        <v>5100</v>
      </c>
      <c r="I428" s="2" t="s">
        <v>1248</v>
      </c>
      <c r="J428" s="2" t="s">
        <v>5601</v>
      </c>
      <c r="K428" s="2" t="s">
        <v>5602</v>
      </c>
      <c r="L428" s="2" t="s">
        <v>5603</v>
      </c>
      <c r="M428" s="2" t="s">
        <v>5604</v>
      </c>
      <c r="N428" s="2" t="s">
        <v>89</v>
      </c>
      <c r="O428" s="2" t="s">
        <v>5605</v>
      </c>
      <c r="P428" s="2" t="s">
        <v>5606</v>
      </c>
      <c r="Q428" s="2"/>
      <c r="R428" s="2"/>
      <c r="S428" s="2" t="s">
        <v>5607</v>
      </c>
      <c r="T428" s="2" t="s">
        <v>5608</v>
      </c>
      <c r="U428" s="2" t="s">
        <v>5609</v>
      </c>
    </row>
    <row r="429" customFormat="false" ht="46.25" hidden="false" customHeight="false" outlineLevel="0" collapsed="false">
      <c r="A429" s="2" t="s">
        <v>5080</v>
      </c>
      <c r="B429" s="2" t="s">
        <v>5081</v>
      </c>
      <c r="C429" s="2" t="s">
        <v>5610</v>
      </c>
      <c r="D429" s="2" t="s">
        <v>5598</v>
      </c>
      <c r="E429" s="2" t="s">
        <v>5611</v>
      </c>
      <c r="F429" s="2" t="s">
        <v>193</v>
      </c>
      <c r="G429" s="2" t="s">
        <v>5612</v>
      </c>
      <c r="H429" s="2" t="s">
        <v>3412</v>
      </c>
      <c r="I429" s="2" t="s">
        <v>1248</v>
      </c>
      <c r="J429" s="2" t="s">
        <v>5613</v>
      </c>
      <c r="K429" s="2" t="s">
        <v>5614</v>
      </c>
      <c r="L429" s="2" t="s">
        <v>5615</v>
      </c>
      <c r="M429" s="2" t="s">
        <v>5616</v>
      </c>
      <c r="N429" s="2" t="s">
        <v>89</v>
      </c>
      <c r="O429" s="2" t="s">
        <v>5605</v>
      </c>
      <c r="P429" s="2" t="s">
        <v>5617</v>
      </c>
      <c r="Q429" s="2"/>
      <c r="R429" s="2"/>
      <c r="S429" s="2" t="s">
        <v>5618</v>
      </c>
      <c r="T429" s="2" t="s">
        <v>5619</v>
      </c>
      <c r="U429" s="2" t="s">
        <v>5620</v>
      </c>
    </row>
    <row r="430" customFormat="false" ht="79.85" hidden="false" customHeight="false" outlineLevel="0" collapsed="false">
      <c r="A430" s="2" t="s">
        <v>5621</v>
      </c>
      <c r="B430" s="2" t="s">
        <v>5622</v>
      </c>
      <c r="C430" s="2" t="s">
        <v>5623</v>
      </c>
      <c r="D430" s="2" t="s">
        <v>5624</v>
      </c>
      <c r="E430" s="2" t="s">
        <v>5625</v>
      </c>
      <c r="F430" s="2" t="s">
        <v>34</v>
      </c>
      <c r="G430" s="2" t="s">
        <v>5626</v>
      </c>
      <c r="H430" s="2" t="s">
        <v>5627</v>
      </c>
      <c r="I430" s="2" t="s">
        <v>5628</v>
      </c>
      <c r="J430" s="2" t="s">
        <v>5629</v>
      </c>
      <c r="K430" s="2" t="s">
        <v>5630</v>
      </c>
      <c r="L430" s="2" t="s">
        <v>5631</v>
      </c>
      <c r="M430" s="2" t="s">
        <v>5632</v>
      </c>
      <c r="N430" s="2" t="s">
        <v>89</v>
      </c>
      <c r="O430" s="2" t="s">
        <v>58</v>
      </c>
      <c r="P430" s="2" t="s">
        <v>5633</v>
      </c>
      <c r="Q430" s="2" t="s">
        <v>5634</v>
      </c>
      <c r="R430" s="2" t="s">
        <v>5635</v>
      </c>
      <c r="S430" s="2" t="s">
        <v>5636</v>
      </c>
      <c r="T430" s="2" t="s">
        <v>5637</v>
      </c>
      <c r="U430" s="2" t="s">
        <v>5638</v>
      </c>
    </row>
    <row r="431" customFormat="false" ht="68.65" hidden="false" customHeight="false" outlineLevel="0" collapsed="false">
      <c r="A431" s="2" t="s">
        <v>5621</v>
      </c>
      <c r="B431" s="2" t="s">
        <v>5622</v>
      </c>
      <c r="C431" s="2" t="s">
        <v>5639</v>
      </c>
      <c r="D431" s="2" t="s">
        <v>5640</v>
      </c>
      <c r="E431" s="2" t="s">
        <v>5641</v>
      </c>
      <c r="F431" s="2" t="s">
        <v>34</v>
      </c>
      <c r="G431" s="2" t="s">
        <v>5642</v>
      </c>
      <c r="H431" s="2" t="s">
        <v>5643</v>
      </c>
      <c r="I431" s="2" t="s">
        <v>5644</v>
      </c>
      <c r="J431" s="2" t="s">
        <v>5645</v>
      </c>
      <c r="K431" s="2" t="s">
        <v>5646</v>
      </c>
      <c r="L431" s="2" t="s">
        <v>5647</v>
      </c>
      <c r="M431" s="2" t="s">
        <v>5648</v>
      </c>
      <c r="N431" s="2" t="s">
        <v>144</v>
      </c>
      <c r="O431" s="2" t="s">
        <v>58</v>
      </c>
      <c r="P431" s="2" t="s">
        <v>5633</v>
      </c>
      <c r="Q431" s="2" t="s">
        <v>5649</v>
      </c>
      <c r="R431" s="2" t="s">
        <v>5635</v>
      </c>
      <c r="S431" s="2" t="s">
        <v>5650</v>
      </c>
      <c r="T431" s="2" t="s">
        <v>5651</v>
      </c>
      <c r="U431" s="2" t="s">
        <v>5652</v>
      </c>
    </row>
    <row r="432" customFormat="false" ht="57.45" hidden="false" customHeight="false" outlineLevel="0" collapsed="false">
      <c r="A432" s="2" t="s">
        <v>5621</v>
      </c>
      <c r="B432" s="2" t="s">
        <v>5622</v>
      </c>
      <c r="C432" s="2" t="s">
        <v>5653</v>
      </c>
      <c r="D432" s="2" t="s">
        <v>5654</v>
      </c>
      <c r="E432" s="2" t="s">
        <v>5655</v>
      </c>
      <c r="F432" s="2" t="s">
        <v>34</v>
      </c>
      <c r="G432" s="2" t="s">
        <v>5656</v>
      </c>
      <c r="H432" s="2" t="s">
        <v>800</v>
      </c>
      <c r="I432" s="2" t="s">
        <v>5657</v>
      </c>
      <c r="J432" s="2" t="s">
        <v>2824</v>
      </c>
      <c r="K432" s="2" t="s">
        <v>5646</v>
      </c>
      <c r="L432" s="2" t="s">
        <v>5658</v>
      </c>
      <c r="M432" s="2" t="s">
        <v>5659</v>
      </c>
      <c r="N432" s="2" t="s">
        <v>144</v>
      </c>
      <c r="O432" s="2" t="s">
        <v>58</v>
      </c>
      <c r="P432" s="2" t="s">
        <v>5660</v>
      </c>
      <c r="Q432" s="2" t="s">
        <v>5661</v>
      </c>
      <c r="R432" s="2" t="s">
        <v>5635</v>
      </c>
      <c r="S432" s="2" t="s">
        <v>5662</v>
      </c>
      <c r="T432" s="2" t="s">
        <v>5663</v>
      </c>
      <c r="U432" s="2" t="s">
        <v>5664</v>
      </c>
    </row>
    <row r="433" customFormat="false" ht="57.45" hidden="false" customHeight="false" outlineLevel="0" collapsed="false">
      <c r="A433" s="2" t="s">
        <v>5621</v>
      </c>
      <c r="B433" s="2" t="s">
        <v>5622</v>
      </c>
      <c r="C433" s="2" t="s">
        <v>5665</v>
      </c>
      <c r="D433" s="2" t="s">
        <v>5654</v>
      </c>
      <c r="E433" s="2" t="s">
        <v>5666</v>
      </c>
      <c r="F433" s="2" t="s">
        <v>34</v>
      </c>
      <c r="G433" s="2" t="s">
        <v>5667</v>
      </c>
      <c r="H433" s="2" t="s">
        <v>5668</v>
      </c>
      <c r="I433" s="2" t="s">
        <v>5669</v>
      </c>
      <c r="J433" s="2" t="s">
        <v>2824</v>
      </c>
      <c r="K433" s="2" t="s">
        <v>5646</v>
      </c>
      <c r="L433" s="2" t="s">
        <v>5670</v>
      </c>
      <c r="M433" s="2" t="s">
        <v>5671</v>
      </c>
      <c r="N433" s="2" t="s">
        <v>144</v>
      </c>
      <c r="O433" s="2" t="s">
        <v>58</v>
      </c>
      <c r="P433" s="2" t="s">
        <v>5672</v>
      </c>
      <c r="Q433" s="2"/>
      <c r="R433" s="2"/>
      <c r="S433" s="2" t="s">
        <v>5673</v>
      </c>
      <c r="T433" s="2" t="s">
        <v>5674</v>
      </c>
      <c r="U433" s="2" t="s">
        <v>5675</v>
      </c>
    </row>
    <row r="434" customFormat="false" ht="57.45" hidden="false" customHeight="false" outlineLevel="0" collapsed="false">
      <c r="A434" s="2" t="s">
        <v>5621</v>
      </c>
      <c r="B434" s="2" t="s">
        <v>5654</v>
      </c>
      <c r="C434" s="2" t="s">
        <v>5676</v>
      </c>
      <c r="D434" s="2" t="s">
        <v>5654</v>
      </c>
      <c r="E434" s="2" t="s">
        <v>5677</v>
      </c>
      <c r="F434" s="2" t="s">
        <v>34</v>
      </c>
      <c r="G434" s="2" t="s">
        <v>5678</v>
      </c>
      <c r="H434" s="2" t="s">
        <v>5679</v>
      </c>
      <c r="I434" s="2" t="s">
        <v>5680</v>
      </c>
      <c r="J434" s="2" t="s">
        <v>5681</v>
      </c>
      <c r="K434" s="2" t="s">
        <v>5682</v>
      </c>
      <c r="L434" s="2" t="s">
        <v>5683</v>
      </c>
      <c r="M434" s="2" t="s">
        <v>5684</v>
      </c>
      <c r="N434" s="2" t="s">
        <v>144</v>
      </c>
      <c r="O434" s="2" t="s">
        <v>58</v>
      </c>
      <c r="P434" s="2" t="s">
        <v>5633</v>
      </c>
      <c r="Q434" s="2"/>
      <c r="R434" s="2"/>
      <c r="S434" s="2" t="s">
        <v>5685</v>
      </c>
      <c r="T434" s="2" t="s">
        <v>5686</v>
      </c>
      <c r="U434" s="2" t="s">
        <v>5687</v>
      </c>
    </row>
    <row r="435" customFormat="false" ht="113.4" hidden="false" customHeight="false" outlineLevel="0" collapsed="false">
      <c r="A435" s="2" t="s">
        <v>5621</v>
      </c>
      <c r="B435" s="2" t="s">
        <v>5654</v>
      </c>
      <c r="C435" s="2" t="s">
        <v>5688</v>
      </c>
      <c r="D435" s="2" t="s">
        <v>5654</v>
      </c>
      <c r="E435" s="2" t="s">
        <v>5689</v>
      </c>
      <c r="F435" s="2" t="s">
        <v>34</v>
      </c>
      <c r="G435" s="2" t="s">
        <v>5690</v>
      </c>
      <c r="H435" s="2" t="s">
        <v>5691</v>
      </c>
      <c r="I435" s="2" t="s">
        <v>5692</v>
      </c>
      <c r="J435" s="2" t="s">
        <v>5693</v>
      </c>
      <c r="K435" s="2" t="s">
        <v>5694</v>
      </c>
      <c r="L435" s="2" t="s">
        <v>5695</v>
      </c>
      <c r="M435" s="2" t="s">
        <v>5696</v>
      </c>
      <c r="N435" s="2" t="s">
        <v>144</v>
      </c>
      <c r="O435" s="2" t="s">
        <v>58</v>
      </c>
      <c r="P435" s="2" t="s">
        <v>5697</v>
      </c>
      <c r="Q435" s="2"/>
      <c r="R435" s="2"/>
      <c r="S435" s="2" t="s">
        <v>5698</v>
      </c>
      <c r="T435" s="2" t="s">
        <v>5699</v>
      </c>
      <c r="U435" s="2" t="s">
        <v>5700</v>
      </c>
    </row>
    <row r="436" customFormat="false" ht="46.25" hidden="false" customHeight="false" outlineLevel="0" collapsed="false">
      <c r="A436" s="2" t="s">
        <v>5621</v>
      </c>
      <c r="B436" s="2" t="s">
        <v>5654</v>
      </c>
      <c r="C436" s="2" t="s">
        <v>5701</v>
      </c>
      <c r="D436" s="2" t="s">
        <v>5654</v>
      </c>
      <c r="E436" s="2" t="s">
        <v>5702</v>
      </c>
      <c r="F436" s="2" t="s">
        <v>34</v>
      </c>
      <c r="G436" s="2" t="s">
        <v>5703</v>
      </c>
      <c r="H436" s="2" t="s">
        <v>58</v>
      </c>
      <c r="I436" s="2" t="s">
        <v>421</v>
      </c>
      <c r="J436" s="2" t="s">
        <v>58</v>
      </c>
      <c r="K436" s="2" t="s">
        <v>58</v>
      </c>
      <c r="L436" s="2" t="s">
        <v>5704</v>
      </c>
      <c r="M436" s="2" t="s">
        <v>5705</v>
      </c>
      <c r="N436" s="2" t="s">
        <v>144</v>
      </c>
      <c r="O436" s="2" t="s">
        <v>58</v>
      </c>
      <c r="P436" s="2" t="s">
        <v>5633</v>
      </c>
      <c r="Q436" s="2"/>
      <c r="R436" s="2"/>
      <c r="S436" s="2" t="s">
        <v>5706</v>
      </c>
      <c r="T436" s="2" t="s">
        <v>5707</v>
      </c>
      <c r="U436" s="2" t="s">
        <v>5708</v>
      </c>
    </row>
    <row r="437" customFormat="false" ht="91" hidden="false" customHeight="false" outlineLevel="0" collapsed="false">
      <c r="A437" s="2" t="s">
        <v>5621</v>
      </c>
      <c r="B437" s="2" t="s">
        <v>5709</v>
      </c>
      <c r="C437" s="2" t="s">
        <v>5710</v>
      </c>
      <c r="D437" s="2" t="s">
        <v>5711</v>
      </c>
      <c r="E437" s="2" t="s">
        <v>5712</v>
      </c>
      <c r="F437" s="2" t="s">
        <v>34</v>
      </c>
      <c r="G437" s="2" t="s">
        <v>5713</v>
      </c>
      <c r="H437" s="2" t="s">
        <v>5714</v>
      </c>
      <c r="I437" s="2" t="s">
        <v>5715</v>
      </c>
      <c r="J437" s="2" t="s">
        <v>197</v>
      </c>
      <c r="K437" s="2" t="s">
        <v>5716</v>
      </c>
      <c r="L437" s="2" t="s">
        <v>5717</v>
      </c>
      <c r="M437" s="2" t="s">
        <v>5718</v>
      </c>
      <c r="N437" s="2" t="s">
        <v>42</v>
      </c>
      <c r="O437" s="2" t="s">
        <v>5719</v>
      </c>
      <c r="P437" s="2" t="s">
        <v>5720</v>
      </c>
      <c r="Q437" s="2"/>
      <c r="R437" s="2"/>
      <c r="S437" s="2" t="s">
        <v>5721</v>
      </c>
      <c r="T437" s="2" t="s">
        <v>5722</v>
      </c>
      <c r="U437" s="2" t="s">
        <v>5723</v>
      </c>
    </row>
    <row r="438" customFormat="false" ht="35.05" hidden="false" customHeight="false" outlineLevel="0" collapsed="false">
      <c r="A438" s="2" t="s">
        <v>5621</v>
      </c>
      <c r="B438" s="2" t="s">
        <v>5724</v>
      </c>
      <c r="C438" s="2" t="s">
        <v>5725</v>
      </c>
      <c r="D438" s="2" t="s">
        <v>5726</v>
      </c>
      <c r="E438" s="2" t="s">
        <v>5727</v>
      </c>
      <c r="F438" s="2" t="s">
        <v>34</v>
      </c>
      <c r="G438" s="2" t="s">
        <v>5728</v>
      </c>
      <c r="H438" s="2" t="s">
        <v>5729</v>
      </c>
      <c r="I438" s="2" t="s">
        <v>5730</v>
      </c>
      <c r="J438" s="2" t="s">
        <v>2384</v>
      </c>
      <c r="K438" s="2" t="s">
        <v>5731</v>
      </c>
      <c r="L438" s="2" t="s">
        <v>5732</v>
      </c>
      <c r="M438" s="2" t="s">
        <v>5733</v>
      </c>
      <c r="N438" s="2" t="s">
        <v>56</v>
      </c>
      <c r="O438" s="2" t="s">
        <v>58</v>
      </c>
      <c r="P438" s="2" t="s">
        <v>5734</v>
      </c>
      <c r="Q438" s="2"/>
      <c r="R438" s="2"/>
      <c r="S438" s="2" t="s">
        <v>5735</v>
      </c>
      <c r="T438" s="2" t="s">
        <v>5736</v>
      </c>
      <c r="U438" s="2" t="s">
        <v>5737</v>
      </c>
    </row>
    <row r="439" customFormat="false" ht="68.65" hidden="false" customHeight="false" outlineLevel="0" collapsed="false">
      <c r="A439" s="2" t="s">
        <v>5621</v>
      </c>
      <c r="B439" s="2" t="s">
        <v>5738</v>
      </c>
      <c r="C439" s="2" t="s">
        <v>5739</v>
      </c>
      <c r="D439" s="2" t="s">
        <v>5711</v>
      </c>
      <c r="E439" s="2" t="s">
        <v>5740</v>
      </c>
      <c r="F439" s="2" t="s">
        <v>34</v>
      </c>
      <c r="G439" s="2" t="s">
        <v>5741</v>
      </c>
      <c r="H439" s="2" t="s">
        <v>5742</v>
      </c>
      <c r="I439" s="2" t="s">
        <v>5743</v>
      </c>
      <c r="J439" s="2" t="s">
        <v>5744</v>
      </c>
      <c r="K439" s="2" t="s">
        <v>5745</v>
      </c>
      <c r="L439" s="2" t="s">
        <v>5746</v>
      </c>
      <c r="M439" s="2" t="s">
        <v>5747</v>
      </c>
      <c r="N439" s="2" t="s">
        <v>56</v>
      </c>
      <c r="O439" s="2" t="s">
        <v>58</v>
      </c>
      <c r="P439" s="2" t="s">
        <v>5748</v>
      </c>
      <c r="Q439" s="2"/>
      <c r="R439" s="2"/>
      <c r="S439" s="2" t="s">
        <v>5749</v>
      </c>
      <c r="T439" s="2" t="s">
        <v>5750</v>
      </c>
      <c r="U439" s="2" t="s">
        <v>5751</v>
      </c>
    </row>
    <row r="440" customFormat="false" ht="68.65" hidden="false" customHeight="false" outlineLevel="0" collapsed="false">
      <c r="A440" s="2" t="s">
        <v>5621</v>
      </c>
      <c r="B440" s="2" t="s">
        <v>5726</v>
      </c>
      <c r="C440" s="2" t="s">
        <v>5752</v>
      </c>
      <c r="D440" s="2" t="s">
        <v>5726</v>
      </c>
      <c r="E440" s="2" t="s">
        <v>5753</v>
      </c>
      <c r="F440" s="2" t="s">
        <v>34</v>
      </c>
      <c r="G440" s="2" t="s">
        <v>5754</v>
      </c>
      <c r="H440" s="2" t="s">
        <v>5755</v>
      </c>
      <c r="I440" s="2" t="s">
        <v>424</v>
      </c>
      <c r="J440" s="2" t="s">
        <v>2384</v>
      </c>
      <c r="K440" s="2" t="s">
        <v>5756</v>
      </c>
      <c r="L440" s="2" t="s">
        <v>5757</v>
      </c>
      <c r="M440" s="2" t="s">
        <v>5758</v>
      </c>
      <c r="N440" s="2" t="s">
        <v>42</v>
      </c>
      <c r="O440" s="2" t="s">
        <v>58</v>
      </c>
      <c r="P440" s="2" t="s">
        <v>5759</v>
      </c>
      <c r="Q440" s="2"/>
      <c r="R440" s="2"/>
      <c r="S440" s="2" t="s">
        <v>5760</v>
      </c>
      <c r="T440" s="2" t="s">
        <v>5761</v>
      </c>
      <c r="U440" s="2" t="s">
        <v>5762</v>
      </c>
    </row>
    <row r="441" customFormat="false" ht="57.45" hidden="false" customHeight="false" outlineLevel="0" collapsed="false">
      <c r="A441" s="2" t="s">
        <v>5621</v>
      </c>
      <c r="B441" s="2" t="s">
        <v>5763</v>
      </c>
      <c r="C441" s="2" t="s">
        <v>5764</v>
      </c>
      <c r="D441" s="2" t="s">
        <v>5765</v>
      </c>
      <c r="E441" s="2" t="s">
        <v>5766</v>
      </c>
      <c r="F441" s="2" t="s">
        <v>34</v>
      </c>
      <c r="G441" s="2" t="s">
        <v>5767</v>
      </c>
      <c r="H441" s="2" t="s">
        <v>5768</v>
      </c>
      <c r="I441" s="2" t="s">
        <v>424</v>
      </c>
      <c r="J441" s="2" t="s">
        <v>5769</v>
      </c>
      <c r="K441" s="2" t="s">
        <v>5770</v>
      </c>
      <c r="L441" s="2" t="s">
        <v>5771</v>
      </c>
      <c r="M441" s="2" t="s">
        <v>5772</v>
      </c>
      <c r="N441" s="2" t="s">
        <v>56</v>
      </c>
      <c r="O441" s="2" t="s">
        <v>58</v>
      </c>
      <c r="P441" s="2" t="s">
        <v>5773</v>
      </c>
      <c r="Q441" s="2"/>
      <c r="R441" s="2"/>
      <c r="S441" s="2" t="s">
        <v>5774</v>
      </c>
      <c r="T441" s="2" t="s">
        <v>5775</v>
      </c>
      <c r="U441" s="2" t="s">
        <v>5776</v>
      </c>
    </row>
    <row r="442" customFormat="false" ht="46.25" hidden="false" customHeight="false" outlineLevel="0" collapsed="false">
      <c r="A442" s="2" t="s">
        <v>5621</v>
      </c>
      <c r="B442" s="2" t="s">
        <v>5726</v>
      </c>
      <c r="C442" s="2" t="s">
        <v>5777</v>
      </c>
      <c r="D442" s="2" t="s">
        <v>5778</v>
      </c>
      <c r="E442" s="2" t="s">
        <v>5779</v>
      </c>
      <c r="F442" s="2" t="s">
        <v>34</v>
      </c>
      <c r="G442" s="2" t="s">
        <v>5780</v>
      </c>
      <c r="H442" s="2" t="s">
        <v>1600</v>
      </c>
      <c r="I442" s="2" t="s">
        <v>5781</v>
      </c>
      <c r="J442" s="2" t="s">
        <v>225</v>
      </c>
      <c r="K442" s="2" t="s">
        <v>5782</v>
      </c>
      <c r="L442" s="2" t="s">
        <v>5783</v>
      </c>
      <c r="M442" s="2" t="s">
        <v>5784</v>
      </c>
      <c r="N442" s="2" t="s">
        <v>56</v>
      </c>
      <c r="O442" s="2" t="s">
        <v>58</v>
      </c>
      <c r="P442" s="2" t="s">
        <v>5633</v>
      </c>
      <c r="Q442" s="2"/>
      <c r="R442" s="2"/>
      <c r="S442" s="2" t="s">
        <v>5785</v>
      </c>
      <c r="T442" s="2" t="s">
        <v>5786</v>
      </c>
      <c r="U442" s="2" t="s">
        <v>5787</v>
      </c>
    </row>
    <row r="443" customFormat="false" ht="79.85" hidden="false" customHeight="false" outlineLevel="0" collapsed="false">
      <c r="A443" s="2" t="s">
        <v>5621</v>
      </c>
      <c r="B443" s="2" t="s">
        <v>5726</v>
      </c>
      <c r="C443" s="2" t="s">
        <v>5788</v>
      </c>
      <c r="D443" s="2" t="s">
        <v>5789</v>
      </c>
      <c r="E443" s="2" t="s">
        <v>5790</v>
      </c>
      <c r="F443" s="2" t="s">
        <v>1174</v>
      </c>
      <c r="G443" s="2" t="s">
        <v>5791</v>
      </c>
      <c r="H443" s="2" t="s">
        <v>5792</v>
      </c>
      <c r="I443" s="2" t="s">
        <v>5793</v>
      </c>
      <c r="J443" s="2" t="s">
        <v>5794</v>
      </c>
      <c r="K443" s="2" t="s">
        <v>5795</v>
      </c>
      <c r="L443" s="2" t="s">
        <v>5796</v>
      </c>
      <c r="M443" s="2" t="s">
        <v>5797</v>
      </c>
      <c r="N443" s="2" t="s">
        <v>144</v>
      </c>
      <c r="O443" s="2" t="s">
        <v>58</v>
      </c>
      <c r="P443" s="2" t="s">
        <v>5798</v>
      </c>
      <c r="Q443" s="2"/>
      <c r="R443" s="2" t="s">
        <v>57</v>
      </c>
      <c r="S443" s="2" t="s">
        <v>5799</v>
      </c>
      <c r="T443" s="2" t="s">
        <v>5800</v>
      </c>
      <c r="U443" s="2" t="s">
        <v>5801</v>
      </c>
    </row>
    <row r="444" customFormat="false" ht="46.25" hidden="false" customHeight="false" outlineLevel="0" collapsed="false">
      <c r="A444" s="2" t="s">
        <v>5621</v>
      </c>
      <c r="B444" s="2" t="s">
        <v>5802</v>
      </c>
      <c r="C444" s="2" t="s">
        <v>5803</v>
      </c>
      <c r="D444" s="2" t="s">
        <v>5804</v>
      </c>
      <c r="E444" s="2" t="s">
        <v>5805</v>
      </c>
      <c r="F444" s="2" t="s">
        <v>34</v>
      </c>
      <c r="G444" s="2" t="s">
        <v>5806</v>
      </c>
      <c r="H444" s="2" t="s">
        <v>5807</v>
      </c>
      <c r="I444" s="2" t="s">
        <v>5808</v>
      </c>
      <c r="J444" s="2" t="s">
        <v>5809</v>
      </c>
      <c r="K444" s="2" t="s">
        <v>5810</v>
      </c>
      <c r="L444" s="2" t="s">
        <v>5811</v>
      </c>
      <c r="M444" s="2" t="s">
        <v>5812</v>
      </c>
      <c r="N444" s="2" t="s">
        <v>56</v>
      </c>
      <c r="O444" s="2" t="s">
        <v>58</v>
      </c>
      <c r="P444" s="2" t="s">
        <v>5633</v>
      </c>
      <c r="Q444" s="2"/>
      <c r="R444" s="2"/>
      <c r="S444" s="2" t="s">
        <v>5813</v>
      </c>
      <c r="T444" s="2" t="s">
        <v>5814</v>
      </c>
      <c r="U444" s="2" t="s">
        <v>5815</v>
      </c>
    </row>
    <row r="445" customFormat="false" ht="79.85" hidden="false" customHeight="false" outlineLevel="0" collapsed="false">
      <c r="A445" s="2" t="s">
        <v>5621</v>
      </c>
      <c r="B445" s="2" t="s">
        <v>5816</v>
      </c>
      <c r="C445" s="2" t="s">
        <v>5817</v>
      </c>
      <c r="D445" s="2" t="s">
        <v>5575</v>
      </c>
      <c r="E445" s="2" t="s">
        <v>5818</v>
      </c>
      <c r="F445" s="2" t="s">
        <v>34</v>
      </c>
      <c r="G445" s="2" t="s">
        <v>5819</v>
      </c>
      <c r="H445" s="2" t="s">
        <v>5820</v>
      </c>
      <c r="I445" s="2" t="s">
        <v>5821</v>
      </c>
      <c r="J445" s="2" t="s">
        <v>5822</v>
      </c>
      <c r="K445" s="2" t="s">
        <v>5823</v>
      </c>
      <c r="L445" s="2" t="s">
        <v>5824</v>
      </c>
      <c r="M445" s="2" t="s">
        <v>5825</v>
      </c>
      <c r="N445" s="2" t="s">
        <v>56</v>
      </c>
      <c r="O445" s="2" t="s">
        <v>5826</v>
      </c>
      <c r="P445" s="2" t="s">
        <v>5827</v>
      </c>
      <c r="Q445" s="2"/>
      <c r="R445" s="2"/>
      <c r="S445" s="2" t="s">
        <v>5828</v>
      </c>
      <c r="T445" s="2" t="s">
        <v>5829</v>
      </c>
      <c r="U445" s="2" t="s">
        <v>5830</v>
      </c>
    </row>
    <row r="446" customFormat="false" ht="46.25" hidden="false" customHeight="false" outlineLevel="0" collapsed="false">
      <c r="A446" s="2" t="s">
        <v>5621</v>
      </c>
      <c r="B446" s="2" t="s">
        <v>5831</v>
      </c>
      <c r="C446" s="2" t="s">
        <v>5832</v>
      </c>
      <c r="D446" s="2" t="s">
        <v>5575</v>
      </c>
      <c r="E446" s="2" t="s">
        <v>5833</v>
      </c>
      <c r="F446" s="2" t="s">
        <v>34</v>
      </c>
      <c r="G446" s="2" t="s">
        <v>2256</v>
      </c>
      <c r="H446" s="2" t="s">
        <v>58</v>
      </c>
      <c r="I446" s="2" t="s">
        <v>5834</v>
      </c>
      <c r="J446" s="2" t="s">
        <v>2824</v>
      </c>
      <c r="K446" s="2" t="s">
        <v>58</v>
      </c>
      <c r="L446" s="2" t="s">
        <v>5835</v>
      </c>
      <c r="M446" s="2" t="s">
        <v>5836</v>
      </c>
      <c r="N446" s="2" t="s">
        <v>144</v>
      </c>
      <c r="O446" s="2" t="s">
        <v>58</v>
      </c>
      <c r="P446" s="2" t="s">
        <v>5633</v>
      </c>
      <c r="Q446" s="2"/>
      <c r="R446" s="2"/>
      <c r="S446" s="2" t="s">
        <v>5837</v>
      </c>
      <c r="T446" s="2" t="s">
        <v>5838</v>
      </c>
      <c r="U446" s="2" t="s">
        <v>5839</v>
      </c>
    </row>
    <row r="447" customFormat="false" ht="46.25" hidden="false" customHeight="false" outlineLevel="0" collapsed="false">
      <c r="A447" s="2" t="s">
        <v>5621</v>
      </c>
      <c r="B447" s="2" t="s">
        <v>5816</v>
      </c>
      <c r="C447" s="2" t="s">
        <v>5840</v>
      </c>
      <c r="D447" s="2" t="s">
        <v>5575</v>
      </c>
      <c r="E447" s="2" t="s">
        <v>5841</v>
      </c>
      <c r="F447" s="2" t="s">
        <v>139</v>
      </c>
      <c r="G447" s="2" t="s">
        <v>5842</v>
      </c>
      <c r="H447" s="2" t="s">
        <v>5843</v>
      </c>
      <c r="I447" s="2" t="s">
        <v>5844</v>
      </c>
      <c r="J447" s="2" t="s">
        <v>2656</v>
      </c>
      <c r="K447" s="2" t="s">
        <v>2656</v>
      </c>
      <c r="L447" s="2" t="s">
        <v>5845</v>
      </c>
      <c r="M447" s="2" t="s">
        <v>5846</v>
      </c>
      <c r="N447" s="2" t="s">
        <v>144</v>
      </c>
      <c r="O447" s="2" t="s">
        <v>58</v>
      </c>
      <c r="P447" s="2" t="s">
        <v>5633</v>
      </c>
      <c r="Q447" s="2"/>
      <c r="R447" s="2"/>
      <c r="S447" s="2" t="s">
        <v>5847</v>
      </c>
      <c r="T447" s="2" t="s">
        <v>5848</v>
      </c>
      <c r="U447" s="2" t="s">
        <v>5849</v>
      </c>
    </row>
    <row r="448" customFormat="false" ht="46.25" hidden="false" customHeight="false" outlineLevel="0" collapsed="false">
      <c r="A448" s="2" t="s">
        <v>5621</v>
      </c>
      <c r="B448" s="2" t="s">
        <v>5831</v>
      </c>
      <c r="C448" s="2" t="s">
        <v>5850</v>
      </c>
      <c r="D448" s="2" t="s">
        <v>5851</v>
      </c>
      <c r="E448" s="2" t="s">
        <v>5852</v>
      </c>
      <c r="F448" s="2" t="s">
        <v>66</v>
      </c>
      <c r="G448" s="2" t="s">
        <v>5853</v>
      </c>
      <c r="H448" s="2" t="s">
        <v>58</v>
      </c>
      <c r="I448" s="2" t="s">
        <v>2788</v>
      </c>
      <c r="J448" s="2" t="s">
        <v>57</v>
      </c>
      <c r="K448" s="2" t="s">
        <v>5854</v>
      </c>
      <c r="L448" s="2" t="s">
        <v>5855</v>
      </c>
      <c r="M448" s="2" t="s">
        <v>5856</v>
      </c>
      <c r="N448" s="2" t="s">
        <v>144</v>
      </c>
      <c r="O448" s="2" t="s">
        <v>58</v>
      </c>
      <c r="P448" s="2" t="s">
        <v>5633</v>
      </c>
      <c r="Q448" s="2"/>
      <c r="R448" s="2"/>
      <c r="S448" s="2" t="s">
        <v>5857</v>
      </c>
      <c r="T448" s="2" t="s">
        <v>5858</v>
      </c>
      <c r="U448" s="2" t="s">
        <v>5859</v>
      </c>
    </row>
    <row r="449" customFormat="false" ht="46.25" hidden="false" customHeight="false" outlineLevel="0" collapsed="false">
      <c r="A449" s="2" t="s">
        <v>5621</v>
      </c>
      <c r="B449" s="2" t="s">
        <v>5831</v>
      </c>
      <c r="C449" s="2" t="s">
        <v>5860</v>
      </c>
      <c r="D449" s="2" t="s">
        <v>5851</v>
      </c>
      <c r="E449" s="2" t="s">
        <v>5861</v>
      </c>
      <c r="F449" s="2" t="s">
        <v>66</v>
      </c>
      <c r="G449" s="2" t="s">
        <v>5862</v>
      </c>
      <c r="H449" s="2" t="s">
        <v>58</v>
      </c>
      <c r="I449" s="2" t="s">
        <v>2788</v>
      </c>
      <c r="J449" s="2" t="s">
        <v>57</v>
      </c>
      <c r="K449" s="2" t="s">
        <v>5863</v>
      </c>
      <c r="L449" s="2" t="s">
        <v>5864</v>
      </c>
      <c r="M449" s="2" t="s">
        <v>5865</v>
      </c>
      <c r="N449" s="2" t="s">
        <v>144</v>
      </c>
      <c r="O449" s="2" t="s">
        <v>58</v>
      </c>
      <c r="P449" s="2" t="s">
        <v>5866</v>
      </c>
      <c r="Q449" s="2"/>
      <c r="R449" s="2"/>
      <c r="S449" s="2" t="s">
        <v>5867</v>
      </c>
      <c r="T449" s="2" t="s">
        <v>5868</v>
      </c>
      <c r="U449" s="2" t="s">
        <v>5869</v>
      </c>
    </row>
    <row r="450" customFormat="false" ht="35.05" hidden="false" customHeight="false" outlineLevel="0" collapsed="false">
      <c r="A450" s="2" t="s">
        <v>5621</v>
      </c>
      <c r="B450" s="2" t="s">
        <v>5870</v>
      </c>
      <c r="C450" s="2" t="s">
        <v>5871</v>
      </c>
      <c r="D450" s="2" t="s">
        <v>5872</v>
      </c>
      <c r="E450" s="2" t="s">
        <v>5873</v>
      </c>
      <c r="F450" s="2" t="s">
        <v>34</v>
      </c>
      <c r="G450" s="2" t="s">
        <v>5874</v>
      </c>
      <c r="H450" s="2" t="s">
        <v>5875</v>
      </c>
      <c r="I450" s="2" t="s">
        <v>5876</v>
      </c>
      <c r="J450" s="2" t="s">
        <v>5877</v>
      </c>
      <c r="K450" s="2" t="s">
        <v>5878</v>
      </c>
      <c r="L450" s="2" t="s">
        <v>5879</v>
      </c>
      <c r="M450" s="2" t="s">
        <v>5880</v>
      </c>
      <c r="N450" s="2" t="s">
        <v>56</v>
      </c>
      <c r="O450" s="2" t="s">
        <v>58</v>
      </c>
      <c r="P450" s="2" t="s">
        <v>5633</v>
      </c>
      <c r="Q450" s="2"/>
      <c r="R450" s="2"/>
      <c r="S450" s="2" t="s">
        <v>5881</v>
      </c>
      <c r="T450" s="2" t="s">
        <v>5882</v>
      </c>
      <c r="U450" s="2" t="s">
        <v>5883</v>
      </c>
    </row>
    <row r="451" customFormat="false" ht="46.25" hidden="false" customHeight="false" outlineLevel="0" collapsed="false">
      <c r="A451" s="2" t="s">
        <v>5621</v>
      </c>
      <c r="B451" s="2" t="s">
        <v>5884</v>
      </c>
      <c r="C451" s="2" t="s">
        <v>5885</v>
      </c>
      <c r="D451" s="2" t="s">
        <v>5884</v>
      </c>
      <c r="E451" s="2" t="s">
        <v>5886</v>
      </c>
      <c r="F451" s="2" t="s">
        <v>34</v>
      </c>
      <c r="G451" s="2" t="s">
        <v>5887</v>
      </c>
      <c r="H451" s="2" t="s">
        <v>58</v>
      </c>
      <c r="I451" s="2" t="s">
        <v>1236</v>
      </c>
      <c r="J451" s="2" t="s">
        <v>58</v>
      </c>
      <c r="K451" s="2" t="s">
        <v>5888</v>
      </c>
      <c r="L451" s="2" t="s">
        <v>5889</v>
      </c>
      <c r="M451" s="2" t="s">
        <v>5890</v>
      </c>
      <c r="N451" s="2" t="s">
        <v>144</v>
      </c>
      <c r="O451" s="2" t="s">
        <v>58</v>
      </c>
      <c r="P451" s="2" t="s">
        <v>5633</v>
      </c>
      <c r="Q451" s="2"/>
      <c r="R451" s="2"/>
      <c r="S451" s="2" t="s">
        <v>5891</v>
      </c>
      <c r="T451" s="2" t="s">
        <v>5892</v>
      </c>
      <c r="U451" s="2" t="s">
        <v>5893</v>
      </c>
    </row>
    <row r="452" customFormat="false" ht="35.05" hidden="false" customHeight="false" outlineLevel="0" collapsed="false">
      <c r="A452" s="2" t="s">
        <v>5621</v>
      </c>
      <c r="B452" s="2" t="s">
        <v>5894</v>
      </c>
      <c r="C452" s="2" t="s">
        <v>5894</v>
      </c>
      <c r="D452" s="2" t="s">
        <v>5895</v>
      </c>
      <c r="E452" s="2" t="s">
        <v>5896</v>
      </c>
      <c r="F452" s="2" t="s">
        <v>34</v>
      </c>
      <c r="G452" s="2" t="s">
        <v>5897</v>
      </c>
      <c r="H452" s="2" t="s">
        <v>5898</v>
      </c>
      <c r="I452" s="2" t="s">
        <v>5899</v>
      </c>
      <c r="J452" s="2" t="s">
        <v>58</v>
      </c>
      <c r="K452" s="2" t="s">
        <v>58</v>
      </c>
      <c r="L452" s="2" t="s">
        <v>5900</v>
      </c>
      <c r="M452" s="2" t="s">
        <v>5901</v>
      </c>
      <c r="N452" s="2" t="s">
        <v>144</v>
      </c>
      <c r="O452" s="2" t="s">
        <v>58</v>
      </c>
      <c r="P452" s="2" t="s">
        <v>5633</v>
      </c>
      <c r="Q452" s="2"/>
      <c r="R452" s="2"/>
      <c r="S452" s="2" t="s">
        <v>5902</v>
      </c>
      <c r="T452" s="2" t="s">
        <v>5903</v>
      </c>
      <c r="U452" s="2" t="s">
        <v>5904</v>
      </c>
    </row>
    <row r="453" customFormat="false" ht="46.25" hidden="false" customHeight="false" outlineLevel="0" collapsed="false">
      <c r="A453" s="2" t="s">
        <v>5621</v>
      </c>
      <c r="B453" s="2" t="s">
        <v>5905</v>
      </c>
      <c r="C453" s="2" t="s">
        <v>5906</v>
      </c>
      <c r="D453" s="2" t="s">
        <v>5895</v>
      </c>
      <c r="E453" s="2" t="s">
        <v>5907</v>
      </c>
      <c r="F453" s="2" t="s">
        <v>280</v>
      </c>
      <c r="G453" s="2" t="s">
        <v>5908</v>
      </c>
      <c r="H453" s="2" t="s">
        <v>58</v>
      </c>
      <c r="I453" s="2" t="s">
        <v>5909</v>
      </c>
      <c r="J453" s="2" t="s">
        <v>57</v>
      </c>
      <c r="K453" s="2" t="s">
        <v>5905</v>
      </c>
      <c r="L453" s="2" t="s">
        <v>5910</v>
      </c>
      <c r="M453" s="2" t="s">
        <v>5911</v>
      </c>
      <c r="N453" s="2" t="s">
        <v>89</v>
      </c>
      <c r="O453" s="2" t="s">
        <v>58</v>
      </c>
      <c r="P453" s="2" t="s">
        <v>5633</v>
      </c>
      <c r="Q453" s="2"/>
      <c r="R453" s="2"/>
      <c r="S453" s="2" t="s">
        <v>5912</v>
      </c>
      <c r="T453" s="2" t="s">
        <v>5913</v>
      </c>
      <c r="U453" s="2" t="s">
        <v>5914</v>
      </c>
    </row>
    <row r="454" customFormat="false" ht="46.25" hidden="false" customHeight="false" outlineLevel="0" collapsed="false">
      <c r="A454" s="2" t="s">
        <v>5621</v>
      </c>
      <c r="B454" s="2" t="s">
        <v>5915</v>
      </c>
      <c r="C454" s="2" t="s">
        <v>5916</v>
      </c>
      <c r="D454" s="2" t="s">
        <v>5915</v>
      </c>
      <c r="E454" s="2" t="s">
        <v>5917</v>
      </c>
      <c r="F454" s="2" t="s">
        <v>34</v>
      </c>
      <c r="G454" s="2" t="s">
        <v>5918</v>
      </c>
      <c r="H454" s="2" t="s">
        <v>58</v>
      </c>
      <c r="I454" s="2" t="s">
        <v>5919</v>
      </c>
      <c r="J454" s="2" t="s">
        <v>57</v>
      </c>
      <c r="K454" s="2" t="s">
        <v>5920</v>
      </c>
      <c r="L454" s="2" t="s">
        <v>5921</v>
      </c>
      <c r="M454" s="2" t="s">
        <v>5922</v>
      </c>
      <c r="N454" s="2" t="s">
        <v>144</v>
      </c>
      <c r="O454" s="2" t="s">
        <v>58</v>
      </c>
      <c r="P454" s="2" t="s">
        <v>5633</v>
      </c>
      <c r="Q454" s="2"/>
      <c r="R454" s="2"/>
      <c r="S454" s="2" t="s">
        <v>5923</v>
      </c>
      <c r="T454" s="2" t="s">
        <v>5924</v>
      </c>
      <c r="U454" s="2" t="s">
        <v>5925</v>
      </c>
    </row>
    <row r="455" customFormat="false" ht="57.45" hidden="false" customHeight="false" outlineLevel="0" collapsed="false">
      <c r="A455" s="2" t="s">
        <v>5621</v>
      </c>
      <c r="B455" s="2" t="s">
        <v>5915</v>
      </c>
      <c r="C455" s="2" t="s">
        <v>5926</v>
      </c>
      <c r="D455" s="2" t="s">
        <v>5927</v>
      </c>
      <c r="E455" s="2" t="s">
        <v>5928</v>
      </c>
      <c r="F455" s="2" t="s">
        <v>34</v>
      </c>
      <c r="G455" s="2" t="s">
        <v>5897</v>
      </c>
      <c r="H455" s="2" t="s">
        <v>5929</v>
      </c>
      <c r="I455" s="2" t="s">
        <v>5930</v>
      </c>
      <c r="J455" s="2" t="s">
        <v>5931</v>
      </c>
      <c r="K455" s="2" t="s">
        <v>5932</v>
      </c>
      <c r="L455" s="2" t="s">
        <v>5933</v>
      </c>
      <c r="M455" s="2" t="s">
        <v>5934</v>
      </c>
      <c r="N455" s="2" t="s">
        <v>144</v>
      </c>
      <c r="O455" s="2" t="s">
        <v>58</v>
      </c>
      <c r="P455" s="2" t="s">
        <v>5935</v>
      </c>
      <c r="Q455" s="2"/>
      <c r="R455" s="2"/>
      <c r="S455" s="2" t="s">
        <v>5936</v>
      </c>
      <c r="T455" s="2" t="s">
        <v>5937</v>
      </c>
      <c r="U455" s="2" t="s">
        <v>5938</v>
      </c>
    </row>
    <row r="456" customFormat="false" ht="46.25" hidden="false" customHeight="false" outlineLevel="0" collapsed="false">
      <c r="A456" s="2" t="s">
        <v>5621</v>
      </c>
      <c r="B456" s="2" t="s">
        <v>5939</v>
      </c>
      <c r="C456" s="2" t="s">
        <v>5940</v>
      </c>
      <c r="D456" s="2" t="s">
        <v>5941</v>
      </c>
      <c r="E456" s="2" t="s">
        <v>5942</v>
      </c>
      <c r="F456" s="2" t="s">
        <v>34</v>
      </c>
      <c r="G456" s="2" t="s">
        <v>5943</v>
      </c>
      <c r="H456" s="2" t="s">
        <v>58</v>
      </c>
      <c r="I456" s="2" t="s">
        <v>3519</v>
      </c>
      <c r="J456" s="2" t="s">
        <v>57</v>
      </c>
      <c r="K456" s="2" t="s">
        <v>5944</v>
      </c>
      <c r="L456" s="2" t="s">
        <v>5945</v>
      </c>
      <c r="M456" s="2" t="s">
        <v>5946</v>
      </c>
      <c r="N456" s="2" t="s">
        <v>144</v>
      </c>
      <c r="O456" s="2" t="s">
        <v>58</v>
      </c>
      <c r="P456" s="2" t="s">
        <v>5633</v>
      </c>
      <c r="Q456" s="2"/>
      <c r="R456" s="2"/>
      <c r="S456" s="2" t="s">
        <v>5947</v>
      </c>
      <c r="T456" s="2" t="s">
        <v>5948</v>
      </c>
      <c r="U456" s="2" t="s">
        <v>5949</v>
      </c>
    </row>
    <row r="457" customFormat="false" ht="35.05" hidden="false" customHeight="false" outlineLevel="0" collapsed="false">
      <c r="A457" s="2" t="s">
        <v>5621</v>
      </c>
      <c r="B457" s="2" t="s">
        <v>5950</v>
      </c>
      <c r="C457" s="2" t="s">
        <v>5951</v>
      </c>
      <c r="D457" s="2" t="s">
        <v>5952</v>
      </c>
      <c r="E457" s="2" t="s">
        <v>5953</v>
      </c>
      <c r="F457" s="2" t="s">
        <v>34</v>
      </c>
      <c r="G457" s="2" t="s">
        <v>5897</v>
      </c>
      <c r="H457" s="2" t="s">
        <v>5954</v>
      </c>
      <c r="I457" s="2" t="s">
        <v>5955</v>
      </c>
      <c r="J457" s="2" t="s">
        <v>58</v>
      </c>
      <c r="K457" s="2" t="s">
        <v>5956</v>
      </c>
      <c r="L457" s="2" t="s">
        <v>5957</v>
      </c>
      <c r="M457" s="2" t="s">
        <v>5958</v>
      </c>
      <c r="N457" s="2" t="s">
        <v>144</v>
      </c>
      <c r="O457" s="2" t="s">
        <v>58</v>
      </c>
      <c r="P457" s="2" t="s">
        <v>5959</v>
      </c>
      <c r="Q457" s="2" t="s">
        <v>5960</v>
      </c>
      <c r="R457" s="2"/>
      <c r="S457" s="2" t="s">
        <v>5961</v>
      </c>
      <c r="T457" s="2" t="s">
        <v>5962</v>
      </c>
      <c r="U457" s="2" t="s">
        <v>5963</v>
      </c>
    </row>
    <row r="458" customFormat="false" ht="57.45" hidden="false" customHeight="false" outlineLevel="0" collapsed="false">
      <c r="A458" s="2" t="s">
        <v>5621</v>
      </c>
      <c r="B458" s="2" t="s">
        <v>5964</v>
      </c>
      <c r="C458" s="2" t="s">
        <v>5965</v>
      </c>
      <c r="D458" s="2" t="s">
        <v>5966</v>
      </c>
      <c r="E458" s="2" t="s">
        <v>5967</v>
      </c>
      <c r="F458" s="2" t="s">
        <v>34</v>
      </c>
      <c r="G458" s="2" t="s">
        <v>5968</v>
      </c>
      <c r="H458" s="2" t="s">
        <v>5969</v>
      </c>
      <c r="I458" s="2" t="s">
        <v>5970</v>
      </c>
      <c r="J458" s="2" t="s">
        <v>5971</v>
      </c>
      <c r="K458" s="2" t="s">
        <v>5972</v>
      </c>
      <c r="L458" s="2" t="s">
        <v>5973</v>
      </c>
      <c r="M458" s="2" t="s">
        <v>5974</v>
      </c>
      <c r="N458" s="2" t="s">
        <v>56</v>
      </c>
      <c r="O458" s="2" t="s">
        <v>5975</v>
      </c>
      <c r="P458" s="2" t="s">
        <v>5633</v>
      </c>
      <c r="Q458" s="2"/>
      <c r="R458" s="2"/>
      <c r="S458" s="2" t="s">
        <v>5976</v>
      </c>
      <c r="T458" s="2" t="s">
        <v>5977</v>
      </c>
      <c r="U458" s="2" t="s">
        <v>5978</v>
      </c>
    </row>
    <row r="459" customFormat="false" ht="35.05" hidden="false" customHeight="false" outlineLevel="0" collapsed="false">
      <c r="A459" s="2" t="s">
        <v>5621</v>
      </c>
      <c r="B459" s="2" t="s">
        <v>5979</v>
      </c>
      <c r="C459" s="2" t="s">
        <v>5980</v>
      </c>
      <c r="D459" s="2" t="s">
        <v>5981</v>
      </c>
      <c r="E459" s="2" t="s">
        <v>5982</v>
      </c>
      <c r="F459" s="2" t="s">
        <v>34</v>
      </c>
      <c r="G459" s="2" t="s">
        <v>5983</v>
      </c>
      <c r="H459" s="2" t="s">
        <v>5984</v>
      </c>
      <c r="I459" s="2" t="s">
        <v>5743</v>
      </c>
      <c r="J459" s="2" t="s">
        <v>58</v>
      </c>
      <c r="K459" s="2" t="s">
        <v>5985</v>
      </c>
      <c r="L459" s="2" t="s">
        <v>5986</v>
      </c>
      <c r="M459" s="2" t="s">
        <v>5987</v>
      </c>
      <c r="N459" s="2" t="s">
        <v>56</v>
      </c>
      <c r="O459" s="2" t="s">
        <v>58</v>
      </c>
      <c r="P459" s="2" t="s">
        <v>5988</v>
      </c>
      <c r="Q459" s="2"/>
      <c r="R459" s="2"/>
      <c r="S459" s="2" t="s">
        <v>5989</v>
      </c>
      <c r="T459" s="2" t="s">
        <v>5990</v>
      </c>
      <c r="U459" s="2" t="s">
        <v>5991</v>
      </c>
    </row>
    <row r="460" customFormat="false" ht="46.25" hidden="false" customHeight="false" outlineLevel="0" collapsed="false">
      <c r="A460" s="2" t="s">
        <v>5621</v>
      </c>
      <c r="B460" s="2" t="s">
        <v>5979</v>
      </c>
      <c r="C460" s="2" t="s">
        <v>5992</v>
      </c>
      <c r="D460" s="2" t="s">
        <v>5981</v>
      </c>
      <c r="E460" s="2" t="s">
        <v>5993</v>
      </c>
      <c r="F460" s="2" t="s">
        <v>34</v>
      </c>
      <c r="G460" s="2" t="s">
        <v>5897</v>
      </c>
      <c r="H460" s="2" t="s">
        <v>58</v>
      </c>
      <c r="I460" s="2" t="s">
        <v>5994</v>
      </c>
      <c r="J460" s="2" t="s">
        <v>57</v>
      </c>
      <c r="K460" s="2" t="s">
        <v>5995</v>
      </c>
      <c r="L460" s="2" t="s">
        <v>5996</v>
      </c>
      <c r="M460" s="2" t="s">
        <v>5997</v>
      </c>
      <c r="N460" s="2" t="s">
        <v>56</v>
      </c>
      <c r="O460" s="2" t="s">
        <v>58</v>
      </c>
      <c r="P460" s="2" t="s">
        <v>5633</v>
      </c>
      <c r="Q460" s="2"/>
      <c r="R460" s="2"/>
      <c r="S460" s="2" t="s">
        <v>5998</v>
      </c>
      <c r="T460" s="2" t="s">
        <v>5999</v>
      </c>
      <c r="U460" s="2" t="s">
        <v>6000</v>
      </c>
    </row>
    <row r="461" customFormat="false" ht="68.65" hidden="false" customHeight="false" outlineLevel="0" collapsed="false">
      <c r="A461" s="2" t="s">
        <v>5621</v>
      </c>
      <c r="B461" s="2" t="s">
        <v>6001</v>
      </c>
      <c r="C461" s="2" t="s">
        <v>6002</v>
      </c>
      <c r="D461" s="2" t="s">
        <v>6003</v>
      </c>
      <c r="E461" s="2" t="s">
        <v>6004</v>
      </c>
      <c r="F461" s="2" t="s">
        <v>34</v>
      </c>
      <c r="G461" s="2" t="s">
        <v>6005</v>
      </c>
      <c r="H461" s="2" t="s">
        <v>6006</v>
      </c>
      <c r="I461" s="2" t="s">
        <v>6007</v>
      </c>
      <c r="J461" s="2" t="s">
        <v>877</v>
      </c>
      <c r="K461" s="2" t="s">
        <v>6008</v>
      </c>
      <c r="L461" s="2" t="s">
        <v>6009</v>
      </c>
      <c r="M461" s="2" t="s">
        <v>6010</v>
      </c>
      <c r="N461" s="2" t="s">
        <v>56</v>
      </c>
      <c r="O461" s="2" t="s">
        <v>58</v>
      </c>
      <c r="P461" s="2" t="s">
        <v>6011</v>
      </c>
      <c r="Q461" s="2"/>
      <c r="R461" s="2"/>
      <c r="S461" s="2" t="s">
        <v>6012</v>
      </c>
      <c r="T461" s="2" t="s">
        <v>6013</v>
      </c>
      <c r="U461" s="2" t="s">
        <v>6014</v>
      </c>
    </row>
    <row r="462" customFormat="false" ht="57.45" hidden="false" customHeight="false" outlineLevel="0" collapsed="false">
      <c r="A462" s="2" t="s">
        <v>5621</v>
      </c>
      <c r="B462" s="2" t="s">
        <v>6015</v>
      </c>
      <c r="C462" s="2" t="s">
        <v>6016</v>
      </c>
      <c r="D462" s="2" t="s">
        <v>6017</v>
      </c>
      <c r="E462" s="2" t="s">
        <v>6018</v>
      </c>
      <c r="F462" s="2" t="s">
        <v>34</v>
      </c>
      <c r="G462" s="2" t="s">
        <v>6019</v>
      </c>
      <c r="H462" s="2" t="s">
        <v>6020</v>
      </c>
      <c r="I462" s="2" t="s">
        <v>1236</v>
      </c>
      <c r="J462" s="2" t="s">
        <v>156</v>
      </c>
      <c r="K462" s="2" t="s">
        <v>6021</v>
      </c>
      <c r="L462" s="2" t="s">
        <v>6022</v>
      </c>
      <c r="M462" s="2" t="s">
        <v>6023</v>
      </c>
      <c r="N462" s="2" t="s">
        <v>56</v>
      </c>
      <c r="O462" s="2" t="s">
        <v>58</v>
      </c>
      <c r="P462" s="2" t="s">
        <v>6024</v>
      </c>
      <c r="Q462" s="2"/>
      <c r="R462" s="2"/>
      <c r="S462" s="2" t="s">
        <v>6025</v>
      </c>
      <c r="T462" s="2" t="s">
        <v>6026</v>
      </c>
      <c r="U462" s="2" t="s">
        <v>6027</v>
      </c>
    </row>
    <row r="463" customFormat="false" ht="57.45" hidden="false" customHeight="false" outlineLevel="0" collapsed="false">
      <c r="A463" s="2" t="s">
        <v>5621</v>
      </c>
      <c r="B463" s="2" t="s">
        <v>6028</v>
      </c>
      <c r="C463" s="2" t="s">
        <v>6029</v>
      </c>
      <c r="D463" s="2" t="s">
        <v>6017</v>
      </c>
      <c r="E463" s="2" t="s">
        <v>6030</v>
      </c>
      <c r="F463" s="2" t="s">
        <v>34</v>
      </c>
      <c r="G463" s="2" t="s">
        <v>5897</v>
      </c>
      <c r="H463" s="2" t="s">
        <v>6031</v>
      </c>
      <c r="I463" s="2" t="s">
        <v>424</v>
      </c>
      <c r="J463" s="2" t="s">
        <v>156</v>
      </c>
      <c r="K463" s="2" t="s">
        <v>6032</v>
      </c>
      <c r="L463" s="2" t="s">
        <v>6033</v>
      </c>
      <c r="M463" s="2" t="s">
        <v>6034</v>
      </c>
      <c r="N463" s="2" t="s">
        <v>42</v>
      </c>
      <c r="O463" s="2" t="s">
        <v>58</v>
      </c>
      <c r="P463" s="2" t="s">
        <v>5748</v>
      </c>
      <c r="Q463" s="2"/>
      <c r="R463" s="2"/>
      <c r="S463" s="2" t="s">
        <v>6035</v>
      </c>
      <c r="T463" s="2" t="s">
        <v>6036</v>
      </c>
      <c r="U463" s="2" t="s">
        <v>6037</v>
      </c>
    </row>
    <row r="464" customFormat="false" ht="35.05" hidden="false" customHeight="false" outlineLevel="0" collapsed="false">
      <c r="A464" s="2" t="s">
        <v>5621</v>
      </c>
      <c r="B464" s="2" t="s">
        <v>6038</v>
      </c>
      <c r="C464" s="2" t="s">
        <v>6039</v>
      </c>
      <c r="D464" s="2" t="s">
        <v>6040</v>
      </c>
      <c r="E464" s="2" t="s">
        <v>6041</v>
      </c>
      <c r="F464" s="2" t="s">
        <v>66</v>
      </c>
      <c r="G464" s="2" t="s">
        <v>6042</v>
      </c>
      <c r="H464" s="2" t="s">
        <v>57</v>
      </c>
      <c r="I464" s="2" t="s">
        <v>5578</v>
      </c>
      <c r="J464" s="2" t="s">
        <v>2307</v>
      </c>
      <c r="K464" s="2" t="s">
        <v>6043</v>
      </c>
      <c r="L464" s="2" t="s">
        <v>6044</v>
      </c>
      <c r="M464" s="2" t="s">
        <v>6045</v>
      </c>
      <c r="N464" s="2" t="s">
        <v>144</v>
      </c>
      <c r="O464" s="2" t="s">
        <v>58</v>
      </c>
      <c r="P464" s="2" t="s">
        <v>5633</v>
      </c>
      <c r="Q464" s="2"/>
      <c r="R464" s="2"/>
      <c r="S464" s="2" t="s">
        <v>6046</v>
      </c>
      <c r="T464" s="2" t="s">
        <v>6047</v>
      </c>
      <c r="U464" s="2" t="s">
        <v>6048</v>
      </c>
    </row>
    <row r="465" customFormat="false" ht="35.05" hidden="false" customHeight="false" outlineLevel="0" collapsed="false">
      <c r="A465" s="2" t="s">
        <v>5621</v>
      </c>
      <c r="B465" s="2" t="s">
        <v>6049</v>
      </c>
      <c r="C465" s="2" t="s">
        <v>6050</v>
      </c>
      <c r="D465" s="2" t="s">
        <v>6051</v>
      </c>
      <c r="E465" s="2" t="s">
        <v>6052</v>
      </c>
      <c r="F465" s="2" t="s">
        <v>347</v>
      </c>
      <c r="G465" s="2" t="s">
        <v>6053</v>
      </c>
      <c r="H465" s="2" t="s">
        <v>2732</v>
      </c>
      <c r="I465" s="2" t="s">
        <v>6054</v>
      </c>
      <c r="J465" s="2" t="s">
        <v>6055</v>
      </c>
      <c r="K465" s="2" t="s">
        <v>6056</v>
      </c>
      <c r="L465" s="2" t="s">
        <v>6057</v>
      </c>
      <c r="M465" s="2" t="s">
        <v>6058</v>
      </c>
      <c r="N465" s="2" t="s">
        <v>144</v>
      </c>
      <c r="O465" s="2" t="s">
        <v>58</v>
      </c>
      <c r="P465" s="2" t="s">
        <v>6059</v>
      </c>
      <c r="Q465" s="2"/>
      <c r="R465" s="2"/>
      <c r="S465" s="2" t="s">
        <v>6060</v>
      </c>
      <c r="T465" s="2" t="s">
        <v>6061</v>
      </c>
      <c r="U465" s="2" t="s">
        <v>6062</v>
      </c>
    </row>
    <row r="466" customFormat="false" ht="46.25" hidden="false" customHeight="false" outlineLevel="0" collapsed="false">
      <c r="A466" s="2" t="s">
        <v>5621</v>
      </c>
      <c r="B466" s="2" t="s">
        <v>6049</v>
      </c>
      <c r="C466" s="2" t="s">
        <v>6063</v>
      </c>
      <c r="D466" s="2" t="s">
        <v>6051</v>
      </c>
      <c r="E466" s="2" t="s">
        <v>6064</v>
      </c>
      <c r="F466" s="2" t="s">
        <v>1309</v>
      </c>
      <c r="G466" s="2" t="s">
        <v>6065</v>
      </c>
      <c r="H466" s="2" t="s">
        <v>58</v>
      </c>
      <c r="I466" s="2" t="s">
        <v>6066</v>
      </c>
      <c r="J466" s="2" t="s">
        <v>57</v>
      </c>
      <c r="K466" s="2" t="s">
        <v>6067</v>
      </c>
      <c r="L466" s="2" t="s">
        <v>6068</v>
      </c>
      <c r="M466" s="2" t="s">
        <v>6069</v>
      </c>
      <c r="N466" s="2" t="s">
        <v>144</v>
      </c>
      <c r="O466" s="2" t="s">
        <v>58</v>
      </c>
      <c r="P466" s="2" t="s">
        <v>6070</v>
      </c>
      <c r="Q466" s="2"/>
      <c r="R466" s="2"/>
      <c r="S466" s="2" t="s">
        <v>6071</v>
      </c>
      <c r="T466" s="2" t="s">
        <v>6072</v>
      </c>
      <c r="U466" s="2" t="s">
        <v>6073</v>
      </c>
    </row>
    <row r="467" customFormat="false" ht="35.05" hidden="false" customHeight="false" outlineLevel="0" collapsed="false">
      <c r="A467" s="2" t="s">
        <v>5621</v>
      </c>
      <c r="B467" s="2" t="s">
        <v>6074</v>
      </c>
      <c r="C467" s="2" t="s">
        <v>6075</v>
      </c>
      <c r="D467" s="2" t="s">
        <v>6074</v>
      </c>
      <c r="E467" s="2" t="s">
        <v>6076</v>
      </c>
      <c r="F467" s="2" t="s">
        <v>34</v>
      </c>
      <c r="G467" s="2" t="s">
        <v>5897</v>
      </c>
      <c r="H467" s="2" t="s">
        <v>6077</v>
      </c>
      <c r="I467" s="2" t="s">
        <v>1236</v>
      </c>
      <c r="J467" s="2" t="s">
        <v>58</v>
      </c>
      <c r="K467" s="2" t="s">
        <v>6078</v>
      </c>
      <c r="L467" s="2" t="s">
        <v>6079</v>
      </c>
      <c r="M467" s="2" t="s">
        <v>6080</v>
      </c>
      <c r="N467" s="2" t="s">
        <v>144</v>
      </c>
      <c r="O467" s="2" t="s">
        <v>58</v>
      </c>
      <c r="P467" s="2" t="s">
        <v>5633</v>
      </c>
      <c r="Q467" s="2"/>
      <c r="R467" s="2"/>
      <c r="S467" s="2" t="s">
        <v>6081</v>
      </c>
      <c r="T467" s="2" t="s">
        <v>6082</v>
      </c>
      <c r="U467" s="2" t="s">
        <v>6083</v>
      </c>
    </row>
    <row r="468" customFormat="false" ht="57.45" hidden="false" customHeight="false" outlineLevel="0" collapsed="false">
      <c r="A468" s="2" t="s">
        <v>5621</v>
      </c>
      <c r="B468" s="2" t="s">
        <v>6084</v>
      </c>
      <c r="C468" s="2" t="s">
        <v>6085</v>
      </c>
      <c r="D468" s="2" t="s">
        <v>6086</v>
      </c>
      <c r="E468" s="2" t="s">
        <v>6087</v>
      </c>
      <c r="F468" s="2" t="s">
        <v>280</v>
      </c>
      <c r="G468" s="2" t="s">
        <v>6088</v>
      </c>
      <c r="H468" s="2" t="s">
        <v>6089</v>
      </c>
      <c r="I468" s="2" t="s">
        <v>6090</v>
      </c>
      <c r="J468" s="2" t="s">
        <v>6091</v>
      </c>
      <c r="K468" s="2" t="s">
        <v>6092</v>
      </c>
      <c r="L468" s="2" t="s">
        <v>6093</v>
      </c>
      <c r="M468" s="2" t="s">
        <v>6094</v>
      </c>
      <c r="N468" s="2" t="s">
        <v>56</v>
      </c>
      <c r="O468" s="2" t="s">
        <v>6095</v>
      </c>
      <c r="P468" s="2" t="s">
        <v>5633</v>
      </c>
      <c r="Q468" s="2"/>
      <c r="R468" s="2"/>
      <c r="S468" s="2" t="s">
        <v>6096</v>
      </c>
      <c r="T468" s="2" t="s">
        <v>6097</v>
      </c>
      <c r="U468" s="2" t="s">
        <v>6098</v>
      </c>
    </row>
    <row r="469" customFormat="false" ht="35.05" hidden="false" customHeight="false" outlineLevel="0" collapsed="false">
      <c r="A469" s="2" t="s">
        <v>5621</v>
      </c>
      <c r="B469" s="2" t="s">
        <v>6099</v>
      </c>
      <c r="C469" s="2" t="s">
        <v>6099</v>
      </c>
      <c r="D469" s="2" t="s">
        <v>6100</v>
      </c>
      <c r="E469" s="2" t="s">
        <v>6101</v>
      </c>
      <c r="F469" s="2" t="s">
        <v>34</v>
      </c>
      <c r="G469" s="2" t="s">
        <v>6102</v>
      </c>
      <c r="H469" s="2" t="s">
        <v>6103</v>
      </c>
      <c r="I469" s="2" t="s">
        <v>6104</v>
      </c>
      <c r="J469" s="2" t="s">
        <v>57</v>
      </c>
      <c r="K469" s="2" t="s">
        <v>6105</v>
      </c>
      <c r="L469" s="2" t="s">
        <v>6106</v>
      </c>
      <c r="M469" s="2" t="s">
        <v>6107</v>
      </c>
      <c r="N469" s="2" t="s">
        <v>144</v>
      </c>
      <c r="O469" s="2" t="s">
        <v>58</v>
      </c>
      <c r="P469" s="2" t="s">
        <v>5633</v>
      </c>
      <c r="Q469" s="2"/>
      <c r="R469" s="2"/>
      <c r="S469" s="2" t="s">
        <v>6108</v>
      </c>
      <c r="T469" s="2" t="s">
        <v>6109</v>
      </c>
      <c r="U469" s="2" t="s">
        <v>6110</v>
      </c>
    </row>
    <row r="470" customFormat="false" ht="46.25" hidden="false" customHeight="false" outlineLevel="0" collapsed="false">
      <c r="A470" s="2" t="s">
        <v>5621</v>
      </c>
      <c r="B470" s="2" t="s">
        <v>6111</v>
      </c>
      <c r="C470" s="2" t="s">
        <v>6112</v>
      </c>
      <c r="D470" s="2" t="s">
        <v>6113</v>
      </c>
      <c r="E470" s="2" t="s">
        <v>6114</v>
      </c>
      <c r="F470" s="2" t="s">
        <v>193</v>
      </c>
      <c r="G470" s="2" t="s">
        <v>6115</v>
      </c>
      <c r="H470" s="2" t="s">
        <v>1600</v>
      </c>
      <c r="I470" s="2" t="s">
        <v>6116</v>
      </c>
      <c r="J470" s="2" t="s">
        <v>6117</v>
      </c>
      <c r="K470" s="2" t="s">
        <v>6118</v>
      </c>
      <c r="L470" s="2" t="s">
        <v>6118</v>
      </c>
      <c r="M470" s="2" t="s">
        <v>6119</v>
      </c>
      <c r="N470" s="2" t="s">
        <v>89</v>
      </c>
      <c r="O470" s="2" t="s">
        <v>58</v>
      </c>
      <c r="P470" s="2" t="s">
        <v>5633</v>
      </c>
      <c r="Q470" s="2"/>
      <c r="R470" s="2"/>
      <c r="S470" s="2" t="s">
        <v>6120</v>
      </c>
      <c r="T470" s="2" t="s">
        <v>6121</v>
      </c>
      <c r="U470" s="2" t="s">
        <v>6122</v>
      </c>
    </row>
    <row r="471" customFormat="false" ht="46.25" hidden="false" customHeight="false" outlineLevel="0" collapsed="false">
      <c r="A471" s="2" t="s">
        <v>5621</v>
      </c>
      <c r="B471" s="2" t="s">
        <v>5915</v>
      </c>
      <c r="C471" s="2" t="s">
        <v>6123</v>
      </c>
      <c r="D471" s="2" t="s">
        <v>6113</v>
      </c>
      <c r="E471" s="2" t="s">
        <v>6124</v>
      </c>
      <c r="F471" s="2" t="s">
        <v>193</v>
      </c>
      <c r="G471" s="2" t="s">
        <v>6125</v>
      </c>
      <c r="H471" s="2" t="s">
        <v>6126</v>
      </c>
      <c r="I471" s="2" t="s">
        <v>6127</v>
      </c>
      <c r="J471" s="2" t="s">
        <v>6128</v>
      </c>
      <c r="K471" s="2" t="s">
        <v>6118</v>
      </c>
      <c r="L471" s="2" t="s">
        <v>6118</v>
      </c>
      <c r="M471" s="2" t="s">
        <v>6119</v>
      </c>
      <c r="N471" s="2" t="s">
        <v>89</v>
      </c>
      <c r="O471" s="2" t="s">
        <v>58</v>
      </c>
      <c r="P471" s="2" t="s">
        <v>5633</v>
      </c>
      <c r="Q471" s="2"/>
      <c r="R471" s="2"/>
      <c r="S471" s="2" t="s">
        <v>6129</v>
      </c>
      <c r="T471" s="2" t="s">
        <v>6130</v>
      </c>
      <c r="U471" s="2" t="s">
        <v>6131</v>
      </c>
    </row>
    <row r="472" customFormat="false" ht="46.25" hidden="false" customHeight="false" outlineLevel="0" collapsed="false">
      <c r="A472" s="2" t="s">
        <v>5621</v>
      </c>
      <c r="B472" s="2" t="s">
        <v>5816</v>
      </c>
      <c r="C472" s="2" t="s">
        <v>6132</v>
      </c>
      <c r="D472" s="2" t="s">
        <v>6113</v>
      </c>
      <c r="E472" s="2" t="s">
        <v>6133</v>
      </c>
      <c r="F472" s="2" t="s">
        <v>193</v>
      </c>
      <c r="G472" s="2" t="s">
        <v>6134</v>
      </c>
      <c r="H472" s="2" t="s">
        <v>875</v>
      </c>
      <c r="I472" s="2" t="s">
        <v>6135</v>
      </c>
      <c r="J472" s="2" t="s">
        <v>6136</v>
      </c>
      <c r="K472" s="2" t="s">
        <v>6118</v>
      </c>
      <c r="L472" s="2" t="s">
        <v>6118</v>
      </c>
      <c r="M472" s="2" t="s">
        <v>6119</v>
      </c>
      <c r="N472" s="2" t="s">
        <v>89</v>
      </c>
      <c r="O472" s="2" t="s">
        <v>58</v>
      </c>
      <c r="P472" s="2" t="s">
        <v>5633</v>
      </c>
      <c r="Q472" s="2"/>
      <c r="R472" s="2"/>
      <c r="S472" s="2" t="s">
        <v>6137</v>
      </c>
      <c r="T472" s="2" t="s">
        <v>6138</v>
      </c>
      <c r="U472" s="2" t="s">
        <v>6139</v>
      </c>
    </row>
    <row r="473" customFormat="false" ht="46.25" hidden="false" customHeight="false" outlineLevel="0" collapsed="false">
      <c r="A473" s="2" t="s">
        <v>5621</v>
      </c>
      <c r="B473" s="2" t="s">
        <v>5831</v>
      </c>
      <c r="C473" s="2" t="s">
        <v>6140</v>
      </c>
      <c r="D473" s="2" t="s">
        <v>6113</v>
      </c>
      <c r="E473" s="2" t="s">
        <v>6141</v>
      </c>
      <c r="F473" s="2" t="s">
        <v>193</v>
      </c>
      <c r="G473" s="2" t="s">
        <v>6142</v>
      </c>
      <c r="H473" s="2" t="s">
        <v>6143</v>
      </c>
      <c r="I473" s="2" t="s">
        <v>6144</v>
      </c>
      <c r="J473" s="2" t="s">
        <v>6145</v>
      </c>
      <c r="K473" s="2" t="s">
        <v>6118</v>
      </c>
      <c r="L473" s="2" t="s">
        <v>6118</v>
      </c>
      <c r="M473" s="2" t="s">
        <v>6119</v>
      </c>
      <c r="N473" s="2" t="s">
        <v>89</v>
      </c>
      <c r="O473" s="2" t="s">
        <v>58</v>
      </c>
      <c r="P473" s="2" t="s">
        <v>5633</v>
      </c>
      <c r="Q473" s="2"/>
      <c r="R473" s="2"/>
      <c r="S473" s="2" t="s">
        <v>6146</v>
      </c>
      <c r="T473" s="2" t="s">
        <v>6147</v>
      </c>
      <c r="U473" s="2" t="s">
        <v>6148</v>
      </c>
    </row>
    <row r="474" customFormat="false" ht="46.25" hidden="false" customHeight="false" outlineLevel="0" collapsed="false">
      <c r="A474" s="2" t="s">
        <v>5621</v>
      </c>
      <c r="B474" s="2" t="s">
        <v>5979</v>
      </c>
      <c r="C474" s="2" t="s">
        <v>6149</v>
      </c>
      <c r="D474" s="2" t="s">
        <v>6113</v>
      </c>
      <c r="E474" s="2" t="s">
        <v>6150</v>
      </c>
      <c r="F474" s="2" t="s">
        <v>193</v>
      </c>
      <c r="G474" s="2" t="s">
        <v>6151</v>
      </c>
      <c r="H474" s="2" t="s">
        <v>5136</v>
      </c>
      <c r="I474" s="2" t="s">
        <v>6152</v>
      </c>
      <c r="J474" s="2" t="s">
        <v>6153</v>
      </c>
      <c r="K474" s="2" t="s">
        <v>6118</v>
      </c>
      <c r="L474" s="2" t="s">
        <v>6118</v>
      </c>
      <c r="M474" s="2" t="s">
        <v>6119</v>
      </c>
      <c r="N474" s="2" t="s">
        <v>89</v>
      </c>
      <c r="O474" s="2" t="s">
        <v>58</v>
      </c>
      <c r="P474" s="2" t="s">
        <v>5633</v>
      </c>
      <c r="Q474" s="2"/>
      <c r="R474" s="2"/>
      <c r="S474" s="2" t="s">
        <v>6154</v>
      </c>
      <c r="T474" s="2" t="s">
        <v>6155</v>
      </c>
      <c r="U474" s="2" t="s">
        <v>6156</v>
      </c>
    </row>
    <row r="475" customFormat="false" ht="46.25" hidden="false" customHeight="false" outlineLevel="0" collapsed="false">
      <c r="A475" s="2" t="s">
        <v>5621</v>
      </c>
      <c r="B475" s="2" t="s">
        <v>5726</v>
      </c>
      <c r="C475" s="2" t="s">
        <v>6157</v>
      </c>
      <c r="D475" s="2" t="s">
        <v>6113</v>
      </c>
      <c r="E475" s="2" t="s">
        <v>6158</v>
      </c>
      <c r="F475" s="2" t="s">
        <v>193</v>
      </c>
      <c r="G475" s="2" t="s">
        <v>6159</v>
      </c>
      <c r="H475" s="2" t="s">
        <v>2630</v>
      </c>
      <c r="I475" s="2" t="s">
        <v>6160</v>
      </c>
      <c r="J475" s="2" t="s">
        <v>6161</v>
      </c>
      <c r="K475" s="2" t="s">
        <v>6118</v>
      </c>
      <c r="L475" s="2" t="s">
        <v>6118</v>
      </c>
      <c r="M475" s="2" t="s">
        <v>6119</v>
      </c>
      <c r="N475" s="2" t="s">
        <v>89</v>
      </c>
      <c r="O475" s="2" t="s">
        <v>58</v>
      </c>
      <c r="P475" s="2" t="s">
        <v>5633</v>
      </c>
      <c r="Q475" s="2"/>
      <c r="R475" s="2"/>
      <c r="S475" s="2" t="s">
        <v>6162</v>
      </c>
      <c r="T475" s="2" t="s">
        <v>6163</v>
      </c>
      <c r="U475" s="2" t="s">
        <v>6164</v>
      </c>
    </row>
    <row r="476" customFormat="false" ht="46.25" hidden="false" customHeight="false" outlineLevel="0" collapsed="false">
      <c r="A476" s="2" t="s">
        <v>5621</v>
      </c>
      <c r="B476" s="2" t="s">
        <v>5915</v>
      </c>
      <c r="C476" s="2" t="s">
        <v>6165</v>
      </c>
      <c r="D476" s="2" t="s">
        <v>6113</v>
      </c>
      <c r="E476" s="2" t="s">
        <v>6166</v>
      </c>
      <c r="F476" s="2" t="s">
        <v>193</v>
      </c>
      <c r="G476" s="2" t="s">
        <v>6167</v>
      </c>
      <c r="H476" s="2" t="s">
        <v>2630</v>
      </c>
      <c r="I476" s="2" t="s">
        <v>6168</v>
      </c>
      <c r="J476" s="2" t="s">
        <v>6169</v>
      </c>
      <c r="K476" s="2" t="s">
        <v>6118</v>
      </c>
      <c r="L476" s="2" t="s">
        <v>6118</v>
      </c>
      <c r="M476" s="2" t="s">
        <v>6119</v>
      </c>
      <c r="N476" s="2" t="s">
        <v>89</v>
      </c>
      <c r="O476" s="2" t="s">
        <v>58</v>
      </c>
      <c r="P476" s="2" t="s">
        <v>5633</v>
      </c>
      <c r="Q476" s="2"/>
      <c r="R476" s="2"/>
      <c r="S476" s="2" t="s">
        <v>6170</v>
      </c>
      <c r="T476" s="2" t="s">
        <v>6171</v>
      </c>
      <c r="U476" s="2" t="s">
        <v>6172</v>
      </c>
    </row>
    <row r="477" customFormat="false" ht="46.25" hidden="false" customHeight="false" outlineLevel="0" collapsed="false">
      <c r="A477" s="2" t="s">
        <v>5621</v>
      </c>
      <c r="B477" s="2" t="s">
        <v>5915</v>
      </c>
      <c r="C477" s="2" t="s">
        <v>6173</v>
      </c>
      <c r="D477" s="2" t="s">
        <v>6113</v>
      </c>
      <c r="E477" s="2" t="s">
        <v>6174</v>
      </c>
      <c r="F477" s="2" t="s">
        <v>193</v>
      </c>
      <c r="G477" s="2" t="s">
        <v>6175</v>
      </c>
      <c r="H477" s="2" t="s">
        <v>6176</v>
      </c>
      <c r="I477" s="2" t="s">
        <v>6177</v>
      </c>
      <c r="J477" s="2" t="s">
        <v>6178</v>
      </c>
      <c r="K477" s="2" t="s">
        <v>6118</v>
      </c>
      <c r="L477" s="2" t="s">
        <v>6118</v>
      </c>
      <c r="M477" s="2" t="s">
        <v>6119</v>
      </c>
      <c r="N477" s="2" t="s">
        <v>89</v>
      </c>
      <c r="O477" s="2" t="s">
        <v>58</v>
      </c>
      <c r="P477" s="2" t="s">
        <v>5633</v>
      </c>
      <c r="Q477" s="2"/>
      <c r="R477" s="2"/>
      <c r="S477" s="2" t="s">
        <v>6179</v>
      </c>
      <c r="T477" s="2" t="s">
        <v>6180</v>
      </c>
      <c r="U477" s="2" t="s">
        <v>6181</v>
      </c>
    </row>
    <row r="478" customFormat="false" ht="68.65" hidden="false" customHeight="false" outlineLevel="0" collapsed="false">
      <c r="A478" s="2" t="s">
        <v>6182</v>
      </c>
      <c r="B478" s="2" t="s">
        <v>6183</v>
      </c>
      <c r="C478" s="2" t="s">
        <v>6184</v>
      </c>
      <c r="D478" s="2" t="s">
        <v>6185</v>
      </c>
      <c r="E478" s="2" t="s">
        <v>6186</v>
      </c>
      <c r="F478" s="2" t="s">
        <v>81</v>
      </c>
      <c r="G478" s="2" t="s">
        <v>6187</v>
      </c>
      <c r="H478" s="2" t="s">
        <v>6188</v>
      </c>
      <c r="I478" s="2" t="s">
        <v>6189</v>
      </c>
      <c r="J478" s="2" t="s">
        <v>6190</v>
      </c>
      <c r="K478" s="2" t="s">
        <v>6191</v>
      </c>
      <c r="L478" s="2" t="s">
        <v>6192</v>
      </c>
      <c r="M478" s="2" t="s">
        <v>6193</v>
      </c>
      <c r="N478" s="2" t="s">
        <v>56</v>
      </c>
      <c r="O478" s="2" t="s">
        <v>57</v>
      </c>
      <c r="P478" s="2" t="s">
        <v>6194</v>
      </c>
      <c r="Q478" s="2" t="s">
        <v>6195</v>
      </c>
      <c r="R478" s="2" t="s">
        <v>57</v>
      </c>
      <c r="S478" s="2" t="s">
        <v>6196</v>
      </c>
      <c r="T478" s="2" t="s">
        <v>6197</v>
      </c>
      <c r="U478" s="2" t="s">
        <v>6198</v>
      </c>
    </row>
    <row r="479" customFormat="false" ht="91" hidden="false" customHeight="false" outlineLevel="0" collapsed="false">
      <c r="A479" s="2" t="s">
        <v>6182</v>
      </c>
      <c r="B479" s="2" t="s">
        <v>6199</v>
      </c>
      <c r="C479" s="2" t="s">
        <v>6200</v>
      </c>
      <c r="D479" s="2" t="s">
        <v>6201</v>
      </c>
      <c r="E479" s="2" t="s">
        <v>6202</v>
      </c>
      <c r="F479" s="2" t="s">
        <v>280</v>
      </c>
      <c r="G479" s="2" t="s">
        <v>6203</v>
      </c>
      <c r="H479" s="2" t="s">
        <v>6204</v>
      </c>
      <c r="I479" s="2" t="s">
        <v>6205</v>
      </c>
      <c r="J479" s="2" t="s">
        <v>6206</v>
      </c>
      <c r="K479" s="2" t="s">
        <v>6207</v>
      </c>
      <c r="L479" s="2" t="s">
        <v>6208</v>
      </c>
      <c r="M479" s="2" t="s">
        <v>6209</v>
      </c>
      <c r="N479" s="2" t="s">
        <v>144</v>
      </c>
      <c r="O479" s="2" t="s">
        <v>57</v>
      </c>
      <c r="P479" s="2" t="s">
        <v>6210</v>
      </c>
      <c r="Q479" s="2" t="s">
        <v>6211</v>
      </c>
      <c r="R479" s="2" t="s">
        <v>57</v>
      </c>
      <c r="S479" s="2" t="s">
        <v>6212</v>
      </c>
      <c r="T479" s="2" t="s">
        <v>4417</v>
      </c>
      <c r="U479" s="2" t="s">
        <v>6213</v>
      </c>
    </row>
    <row r="480" customFormat="false" ht="46.25" hidden="false" customHeight="false" outlineLevel="0" collapsed="false">
      <c r="A480" s="2" t="s">
        <v>6182</v>
      </c>
      <c r="B480" s="2" t="s">
        <v>2576</v>
      </c>
      <c r="C480" s="2" t="s">
        <v>6214</v>
      </c>
      <c r="D480" s="2" t="s">
        <v>6215</v>
      </c>
      <c r="E480" s="2" t="s">
        <v>6216</v>
      </c>
      <c r="F480" s="2" t="s">
        <v>280</v>
      </c>
      <c r="G480" s="2" t="s">
        <v>6217</v>
      </c>
      <c r="H480" s="2" t="s">
        <v>600</v>
      </c>
      <c r="I480" s="2" t="s">
        <v>6218</v>
      </c>
      <c r="J480" s="2" t="s">
        <v>6219</v>
      </c>
      <c r="K480" s="2" t="s">
        <v>6220</v>
      </c>
      <c r="L480" s="2" t="s">
        <v>6221</v>
      </c>
      <c r="M480" s="2" t="s">
        <v>6222</v>
      </c>
      <c r="N480" s="2" t="s">
        <v>144</v>
      </c>
      <c r="O480" s="2" t="s">
        <v>57</v>
      </c>
      <c r="P480" s="2" t="s">
        <v>6223</v>
      </c>
      <c r="Q480" s="2"/>
      <c r="R480" s="2"/>
      <c r="S480" s="2" t="s">
        <v>6196</v>
      </c>
      <c r="T480" s="2" t="s">
        <v>2237</v>
      </c>
      <c r="U480" s="2" t="s">
        <v>2238</v>
      </c>
    </row>
    <row r="481" customFormat="false" ht="46.25" hidden="false" customHeight="false" outlineLevel="0" collapsed="false">
      <c r="A481" s="2" t="s">
        <v>6182</v>
      </c>
      <c r="B481" s="2" t="s">
        <v>2576</v>
      </c>
      <c r="C481" s="2" t="s">
        <v>6224</v>
      </c>
      <c r="D481" s="2" t="s">
        <v>2239</v>
      </c>
      <c r="E481" s="2" t="s">
        <v>6225</v>
      </c>
      <c r="F481" s="2" t="s">
        <v>280</v>
      </c>
      <c r="G481" s="2" t="s">
        <v>6226</v>
      </c>
      <c r="H481" s="2" t="s">
        <v>6227</v>
      </c>
      <c r="I481" s="2" t="s">
        <v>6228</v>
      </c>
      <c r="J481" s="2" t="s">
        <v>2244</v>
      </c>
      <c r="K481" s="2" t="s">
        <v>2576</v>
      </c>
      <c r="L481" s="2" t="s">
        <v>6229</v>
      </c>
      <c r="M481" s="2" t="s">
        <v>6230</v>
      </c>
      <c r="N481" s="2" t="s">
        <v>144</v>
      </c>
      <c r="O481" s="2" t="s">
        <v>57</v>
      </c>
      <c r="P481" s="2" t="s">
        <v>6231</v>
      </c>
      <c r="Q481" s="2"/>
      <c r="R481" s="2"/>
      <c r="S481" s="2" t="s">
        <v>6212</v>
      </c>
      <c r="T481" s="2" t="s">
        <v>2250</v>
      </c>
      <c r="U481" s="2" t="s">
        <v>2251</v>
      </c>
    </row>
    <row r="482" customFormat="false" ht="46.25" hidden="false" customHeight="false" outlineLevel="0" collapsed="false">
      <c r="A482" s="2" t="s">
        <v>6182</v>
      </c>
      <c r="B482" s="2" t="s">
        <v>6232</v>
      </c>
      <c r="C482" s="2" t="s">
        <v>6233</v>
      </c>
      <c r="D482" s="2" t="s">
        <v>6234</v>
      </c>
      <c r="E482" s="2" t="s">
        <v>6235</v>
      </c>
      <c r="F482" s="2" t="s">
        <v>347</v>
      </c>
      <c r="G482" s="2" t="s">
        <v>6236</v>
      </c>
      <c r="H482" s="2" t="s">
        <v>4071</v>
      </c>
      <c r="I482" s="2" t="s">
        <v>6237</v>
      </c>
      <c r="J482" s="2" t="s">
        <v>1560</v>
      </c>
      <c r="K482" s="2" t="s">
        <v>6238</v>
      </c>
      <c r="L482" s="2" t="s">
        <v>6239</v>
      </c>
      <c r="M482" s="2" t="s">
        <v>6240</v>
      </c>
      <c r="N482" s="2" t="s">
        <v>144</v>
      </c>
      <c r="O482" s="2" t="s">
        <v>6241</v>
      </c>
      <c r="P482" s="2" t="s">
        <v>6242</v>
      </c>
      <c r="Q482" s="2"/>
      <c r="R482" s="2"/>
      <c r="S482" s="2" t="s">
        <v>6212</v>
      </c>
      <c r="T482" s="2" t="s">
        <v>4080</v>
      </c>
      <c r="U482" s="2" t="s">
        <v>6243</v>
      </c>
    </row>
    <row r="483" customFormat="false" ht="46.25" hidden="false" customHeight="false" outlineLevel="0" collapsed="false">
      <c r="A483" s="2" t="s">
        <v>6182</v>
      </c>
      <c r="B483" s="2" t="s">
        <v>2252</v>
      </c>
      <c r="C483" s="2" t="s">
        <v>6244</v>
      </c>
      <c r="D483" s="2" t="s">
        <v>6234</v>
      </c>
      <c r="E483" s="2" t="s">
        <v>6245</v>
      </c>
      <c r="F483" s="2" t="s">
        <v>280</v>
      </c>
      <c r="G483" s="2" t="s">
        <v>6246</v>
      </c>
      <c r="H483" s="2" t="s">
        <v>58</v>
      </c>
      <c r="I483" s="2" t="s">
        <v>6247</v>
      </c>
      <c r="J483" s="2" t="s">
        <v>6248</v>
      </c>
      <c r="K483" s="2" t="s">
        <v>6249</v>
      </c>
      <c r="L483" s="2" t="s">
        <v>6250</v>
      </c>
      <c r="M483" s="2" t="s">
        <v>6251</v>
      </c>
      <c r="N483" s="2" t="s">
        <v>144</v>
      </c>
      <c r="O483" s="2" t="s">
        <v>57</v>
      </c>
      <c r="P483" s="2" t="s">
        <v>6252</v>
      </c>
      <c r="Q483" s="2"/>
      <c r="R483" s="2"/>
      <c r="S483" s="2" t="s">
        <v>6212</v>
      </c>
      <c r="T483" s="2" t="s">
        <v>4092</v>
      </c>
      <c r="U483" s="2" t="s">
        <v>6253</v>
      </c>
    </row>
    <row r="484" customFormat="false" ht="57.45" hidden="false" customHeight="false" outlineLevel="0" collapsed="false">
      <c r="A484" s="2" t="s">
        <v>6182</v>
      </c>
      <c r="B484" s="2" t="s">
        <v>6254</v>
      </c>
      <c r="C484" s="2" t="s">
        <v>6255</v>
      </c>
      <c r="D484" s="2" t="s">
        <v>6256</v>
      </c>
      <c r="E484" s="2" t="s">
        <v>6257</v>
      </c>
      <c r="F484" s="2" t="s">
        <v>280</v>
      </c>
      <c r="G484" s="2" t="s">
        <v>6258</v>
      </c>
      <c r="H484" s="2" t="s">
        <v>1516</v>
      </c>
      <c r="I484" s="2" t="s">
        <v>6259</v>
      </c>
      <c r="J484" s="2" t="s">
        <v>57</v>
      </c>
      <c r="K484" s="2" t="s">
        <v>6260</v>
      </c>
      <c r="L484" s="2" t="s">
        <v>6261</v>
      </c>
      <c r="M484" s="2" t="s">
        <v>6262</v>
      </c>
      <c r="N484" s="2" t="s">
        <v>144</v>
      </c>
      <c r="O484" s="2" t="s">
        <v>57</v>
      </c>
      <c r="P484" s="2" t="s">
        <v>58</v>
      </c>
      <c r="Q484" s="2"/>
      <c r="R484" s="2"/>
      <c r="S484" s="2" t="s">
        <v>6196</v>
      </c>
      <c r="T484" s="2" t="s">
        <v>6263</v>
      </c>
      <c r="U484" s="2" t="s">
        <v>6264</v>
      </c>
    </row>
    <row r="485" customFormat="false" ht="57.45" hidden="false" customHeight="false" outlineLevel="0" collapsed="false">
      <c r="A485" s="2" t="s">
        <v>6182</v>
      </c>
      <c r="B485" s="2" t="s">
        <v>6265</v>
      </c>
      <c r="C485" s="2" t="s">
        <v>6266</v>
      </c>
      <c r="D485" s="2" t="s">
        <v>6267</v>
      </c>
      <c r="E485" s="2" t="s">
        <v>6268</v>
      </c>
      <c r="F485" s="2" t="s">
        <v>139</v>
      </c>
      <c r="G485" s="2" t="s">
        <v>6269</v>
      </c>
      <c r="H485" s="2" t="s">
        <v>6270</v>
      </c>
      <c r="I485" s="2" t="s">
        <v>6271</v>
      </c>
      <c r="J485" s="2" t="s">
        <v>89</v>
      </c>
      <c r="K485" s="2" t="s">
        <v>89</v>
      </c>
      <c r="L485" s="2" t="s">
        <v>6272</v>
      </c>
      <c r="M485" s="2" t="s">
        <v>6273</v>
      </c>
      <c r="N485" s="2" t="s">
        <v>72</v>
      </c>
      <c r="O485" s="2" t="s">
        <v>89</v>
      </c>
      <c r="P485" s="2" t="s">
        <v>58</v>
      </c>
      <c r="Q485" s="2"/>
      <c r="R485" s="2"/>
      <c r="S485" s="2" t="s">
        <v>6212</v>
      </c>
      <c r="T485" s="2" t="s">
        <v>6274</v>
      </c>
      <c r="U485" s="2" t="s">
        <v>6275</v>
      </c>
    </row>
    <row r="486" customFormat="false" ht="79.85" hidden="false" customHeight="false" outlineLevel="0" collapsed="false">
      <c r="A486" s="2" t="s">
        <v>6182</v>
      </c>
      <c r="B486" s="2" t="s">
        <v>6276</v>
      </c>
      <c r="C486" s="2" t="s">
        <v>6277</v>
      </c>
      <c r="D486" s="2" t="s">
        <v>6278</v>
      </c>
      <c r="E486" s="2" t="s">
        <v>6279</v>
      </c>
      <c r="F486" s="2" t="s">
        <v>81</v>
      </c>
      <c r="G486" s="2" t="s">
        <v>6280</v>
      </c>
      <c r="H486" s="2" t="s">
        <v>6281</v>
      </c>
      <c r="I486" s="2" t="s">
        <v>6282</v>
      </c>
      <c r="J486" s="2" t="s">
        <v>6283</v>
      </c>
      <c r="K486" s="2" t="s">
        <v>6284</v>
      </c>
      <c r="L486" s="2" t="s">
        <v>6285</v>
      </c>
      <c r="M486" s="2" t="s">
        <v>6286</v>
      </c>
      <c r="N486" s="2" t="s">
        <v>56</v>
      </c>
      <c r="O486" s="2" t="s">
        <v>89</v>
      </c>
      <c r="P486" s="2" t="s">
        <v>58</v>
      </c>
      <c r="Q486" s="2"/>
      <c r="R486" s="2"/>
      <c r="S486" s="2" t="s">
        <v>6196</v>
      </c>
      <c r="T486" s="2" t="s">
        <v>302</v>
      </c>
      <c r="U486" s="2" t="s">
        <v>6287</v>
      </c>
    </row>
    <row r="487" customFormat="false" ht="158.2" hidden="false" customHeight="false" outlineLevel="0" collapsed="false">
      <c r="A487" s="2" t="s">
        <v>6182</v>
      </c>
      <c r="B487" s="2" t="s">
        <v>6276</v>
      </c>
      <c r="C487" s="2" t="s">
        <v>6288</v>
      </c>
      <c r="D487" s="2" t="s">
        <v>6278</v>
      </c>
      <c r="E487" s="2" t="s">
        <v>6289</v>
      </c>
      <c r="F487" s="2" t="s">
        <v>81</v>
      </c>
      <c r="G487" s="2" t="s">
        <v>6290</v>
      </c>
      <c r="H487" s="2" t="s">
        <v>6291</v>
      </c>
      <c r="I487" s="2" t="s">
        <v>6292</v>
      </c>
      <c r="J487" s="2" t="s">
        <v>6293</v>
      </c>
      <c r="K487" s="2" t="s">
        <v>6294</v>
      </c>
      <c r="L487" s="2" t="s">
        <v>6295</v>
      </c>
      <c r="M487" s="2" t="s">
        <v>6296</v>
      </c>
      <c r="N487" s="2" t="s">
        <v>56</v>
      </c>
      <c r="O487" s="2" t="s">
        <v>89</v>
      </c>
      <c r="P487" s="2" t="s">
        <v>58</v>
      </c>
      <c r="Q487" s="2"/>
      <c r="R487" s="2"/>
      <c r="S487" s="2" t="s">
        <v>6196</v>
      </c>
      <c r="T487" s="2" t="s">
        <v>6297</v>
      </c>
      <c r="U487" s="2" t="s">
        <v>6298</v>
      </c>
    </row>
    <row r="488" customFormat="false" ht="91" hidden="false" customHeight="false" outlineLevel="0" collapsed="false">
      <c r="A488" s="2" t="s">
        <v>6182</v>
      </c>
      <c r="B488" s="2" t="s">
        <v>6299</v>
      </c>
      <c r="C488" s="2" t="s">
        <v>277</v>
      </c>
      <c r="D488" s="2" t="s">
        <v>6300</v>
      </c>
      <c r="E488" s="2" t="s">
        <v>6301</v>
      </c>
      <c r="F488" s="2" t="s">
        <v>347</v>
      </c>
      <c r="G488" s="2" t="s">
        <v>6302</v>
      </c>
      <c r="H488" s="2" t="s">
        <v>6303</v>
      </c>
      <c r="I488" s="2" t="s">
        <v>6304</v>
      </c>
      <c r="J488" s="2" t="s">
        <v>225</v>
      </c>
      <c r="K488" s="2" t="s">
        <v>6305</v>
      </c>
      <c r="L488" s="2" t="s">
        <v>6306</v>
      </c>
      <c r="M488" s="2" t="s">
        <v>6307</v>
      </c>
      <c r="N488" s="2" t="s">
        <v>144</v>
      </c>
      <c r="O488" s="2" t="s">
        <v>57</v>
      </c>
      <c r="P488" s="2" t="s">
        <v>6308</v>
      </c>
      <c r="Q488" s="2" t="s">
        <v>6309</v>
      </c>
      <c r="R488" s="2" t="s">
        <v>6310</v>
      </c>
      <c r="S488" s="2" t="s">
        <v>6196</v>
      </c>
      <c r="T488" s="2" t="s">
        <v>288</v>
      </c>
      <c r="U488" s="2" t="s">
        <v>6311</v>
      </c>
    </row>
    <row r="489" customFormat="false" ht="191.75" hidden="false" customHeight="false" outlineLevel="0" collapsed="false">
      <c r="A489" s="2" t="s">
        <v>6182</v>
      </c>
      <c r="B489" s="2" t="s">
        <v>6312</v>
      </c>
      <c r="C489" s="2" t="s">
        <v>6313</v>
      </c>
      <c r="D489" s="2" t="s">
        <v>6314</v>
      </c>
      <c r="E489" s="2" t="s">
        <v>6315</v>
      </c>
      <c r="F489" s="2" t="s">
        <v>81</v>
      </c>
      <c r="G489" s="2" t="s">
        <v>6316</v>
      </c>
      <c r="H489" s="2" t="s">
        <v>6317</v>
      </c>
      <c r="I489" s="2" t="s">
        <v>6318</v>
      </c>
      <c r="J489" s="2" t="s">
        <v>89</v>
      </c>
      <c r="K489" s="2" t="s">
        <v>6319</v>
      </c>
      <c r="L489" s="2" t="s">
        <v>6320</v>
      </c>
      <c r="M489" s="2" t="s">
        <v>6321</v>
      </c>
      <c r="N489" s="2" t="s">
        <v>72</v>
      </c>
      <c r="O489" s="2" t="s">
        <v>89</v>
      </c>
      <c r="P489" s="2" t="s">
        <v>6322</v>
      </c>
      <c r="Q489" s="2"/>
      <c r="R489" s="2"/>
      <c r="S489" s="2" t="s">
        <v>6196</v>
      </c>
      <c r="T489" s="2" t="s">
        <v>6323</v>
      </c>
      <c r="U489" s="2" t="s">
        <v>6324</v>
      </c>
    </row>
    <row r="490" customFormat="false" ht="102.2" hidden="false" customHeight="false" outlineLevel="0" collapsed="false">
      <c r="A490" s="2" t="s">
        <v>6182</v>
      </c>
      <c r="B490" s="2" t="s">
        <v>6325</v>
      </c>
      <c r="C490" s="2" t="s">
        <v>6326</v>
      </c>
      <c r="D490" s="2" t="s">
        <v>6314</v>
      </c>
      <c r="E490" s="2" t="s">
        <v>6327</v>
      </c>
      <c r="F490" s="2" t="s">
        <v>81</v>
      </c>
      <c r="G490" s="2" t="s">
        <v>6328</v>
      </c>
      <c r="H490" s="2" t="s">
        <v>6329</v>
      </c>
      <c r="I490" s="2" t="s">
        <v>6330</v>
      </c>
      <c r="J490" s="2" t="s">
        <v>89</v>
      </c>
      <c r="K490" s="2" t="s">
        <v>89</v>
      </c>
      <c r="L490" s="2" t="s">
        <v>6331</v>
      </c>
      <c r="M490" s="2" t="s">
        <v>6332</v>
      </c>
      <c r="N490" s="2" t="s">
        <v>72</v>
      </c>
      <c r="O490" s="2" t="s">
        <v>89</v>
      </c>
      <c r="P490" s="2" t="s">
        <v>58</v>
      </c>
      <c r="Q490" s="2"/>
      <c r="R490" s="2"/>
      <c r="S490" s="2" t="s">
        <v>6212</v>
      </c>
      <c r="T490" s="2" t="s">
        <v>6333</v>
      </c>
      <c r="U490" s="2" t="s">
        <v>6334</v>
      </c>
    </row>
    <row r="491" customFormat="false" ht="68.65" hidden="false" customHeight="false" outlineLevel="0" collapsed="false">
      <c r="A491" s="2" t="s">
        <v>6182</v>
      </c>
      <c r="B491" s="2" t="s">
        <v>6335</v>
      </c>
      <c r="C491" s="2" t="s">
        <v>6336</v>
      </c>
      <c r="D491" s="2" t="s">
        <v>6337</v>
      </c>
      <c r="E491" s="2" t="s">
        <v>6338</v>
      </c>
      <c r="F491" s="2" t="s">
        <v>81</v>
      </c>
      <c r="G491" s="2" t="s">
        <v>6339</v>
      </c>
      <c r="H491" s="2" t="s">
        <v>6340</v>
      </c>
      <c r="I491" s="2" t="s">
        <v>6341</v>
      </c>
      <c r="J491" s="2" t="s">
        <v>6342</v>
      </c>
      <c r="K491" s="2" t="s">
        <v>6343</v>
      </c>
      <c r="L491" s="2" t="s">
        <v>6344</v>
      </c>
      <c r="M491" s="2" t="s">
        <v>6345</v>
      </c>
      <c r="N491" s="2" t="s">
        <v>56</v>
      </c>
      <c r="O491" s="2" t="s">
        <v>89</v>
      </c>
      <c r="P491" s="2" t="s">
        <v>58</v>
      </c>
      <c r="Q491" s="2"/>
      <c r="R491" s="2"/>
      <c r="S491" s="2" t="s">
        <v>6196</v>
      </c>
      <c r="T491" s="2" t="s">
        <v>6346</v>
      </c>
      <c r="U491" s="2" t="s">
        <v>6347</v>
      </c>
    </row>
    <row r="492" customFormat="false" ht="35.05" hidden="false" customHeight="false" outlineLevel="0" collapsed="false">
      <c r="A492" s="2" t="s">
        <v>6182</v>
      </c>
      <c r="B492" s="2" t="s">
        <v>6348</v>
      </c>
      <c r="C492" s="2" t="s">
        <v>6349</v>
      </c>
      <c r="D492" s="2" t="s">
        <v>6350</v>
      </c>
      <c r="E492" s="2" t="s">
        <v>6351</v>
      </c>
      <c r="F492" s="2" t="s">
        <v>139</v>
      </c>
      <c r="G492" s="2" t="s">
        <v>6352</v>
      </c>
      <c r="H492" s="2" t="s">
        <v>6353</v>
      </c>
      <c r="I492" s="2" t="s">
        <v>6292</v>
      </c>
      <c r="J492" s="2" t="s">
        <v>89</v>
      </c>
      <c r="K492" s="2" t="s">
        <v>89</v>
      </c>
      <c r="L492" s="2" t="s">
        <v>6354</v>
      </c>
      <c r="M492" s="2" t="s">
        <v>6355</v>
      </c>
      <c r="N492" s="2" t="s">
        <v>56</v>
      </c>
      <c r="O492" s="2" t="s">
        <v>89</v>
      </c>
      <c r="P492" s="2" t="s">
        <v>58</v>
      </c>
      <c r="Q492" s="2"/>
      <c r="R492" s="2"/>
      <c r="S492" s="2" t="s">
        <v>6212</v>
      </c>
      <c r="T492" s="2" t="s">
        <v>6356</v>
      </c>
      <c r="U492" s="2" t="s">
        <v>6357</v>
      </c>
    </row>
    <row r="493" customFormat="false" ht="46.25" hidden="false" customHeight="false" outlineLevel="0" collapsed="false">
      <c r="A493" s="2" t="s">
        <v>6182</v>
      </c>
      <c r="B493" s="2" t="s">
        <v>6358</v>
      </c>
      <c r="C493" s="2" t="s">
        <v>6359</v>
      </c>
      <c r="D493" s="2" t="s">
        <v>6360</v>
      </c>
      <c r="E493" s="2" t="s">
        <v>6361</v>
      </c>
      <c r="F493" s="2" t="s">
        <v>66</v>
      </c>
      <c r="G493" s="2" t="s">
        <v>6362</v>
      </c>
      <c r="H493" s="2" t="s">
        <v>6363</v>
      </c>
      <c r="I493" s="2" t="s">
        <v>6364</v>
      </c>
      <c r="J493" s="2" t="s">
        <v>1080</v>
      </c>
      <c r="K493" s="2" t="s">
        <v>6365</v>
      </c>
      <c r="L493" s="2" t="s">
        <v>6366</v>
      </c>
      <c r="M493" s="2" t="s">
        <v>6367</v>
      </c>
      <c r="N493" s="2" t="s">
        <v>72</v>
      </c>
      <c r="O493" s="2" t="s">
        <v>6368</v>
      </c>
      <c r="P493" s="2" t="s">
        <v>58</v>
      </c>
      <c r="Q493" s="2"/>
      <c r="R493" s="2"/>
      <c r="S493" s="2" t="s">
        <v>6212</v>
      </c>
      <c r="T493" s="2" t="s">
        <v>6369</v>
      </c>
      <c r="U493" s="2" t="s">
        <v>6370</v>
      </c>
    </row>
    <row r="494" customFormat="false" ht="46.25" hidden="false" customHeight="false" outlineLevel="0" collapsed="false">
      <c r="A494" s="2" t="s">
        <v>6182</v>
      </c>
      <c r="B494" s="2" t="s">
        <v>6358</v>
      </c>
      <c r="C494" s="2" t="s">
        <v>6371</v>
      </c>
      <c r="D494" s="2" t="s">
        <v>6372</v>
      </c>
      <c r="E494" s="2" t="s">
        <v>6373</v>
      </c>
      <c r="F494" s="2" t="s">
        <v>81</v>
      </c>
      <c r="G494" s="2" t="s">
        <v>6374</v>
      </c>
      <c r="H494" s="2" t="s">
        <v>58</v>
      </c>
      <c r="I494" s="2" t="s">
        <v>6375</v>
      </c>
      <c r="J494" s="2" t="s">
        <v>6376</v>
      </c>
      <c r="K494" s="2" t="s">
        <v>6377</v>
      </c>
      <c r="L494" s="2" t="s">
        <v>6378</v>
      </c>
      <c r="M494" s="2" t="s">
        <v>6379</v>
      </c>
      <c r="N494" s="2" t="s">
        <v>144</v>
      </c>
      <c r="O494" s="2" t="s">
        <v>89</v>
      </c>
      <c r="P494" s="2" t="s">
        <v>58</v>
      </c>
      <c r="Q494" s="2"/>
      <c r="R494" s="2"/>
      <c r="S494" s="2" t="s">
        <v>6212</v>
      </c>
      <c r="T494" s="2" t="s">
        <v>6380</v>
      </c>
      <c r="U494" s="2" t="s">
        <v>6381</v>
      </c>
    </row>
    <row r="495" customFormat="false" ht="46.25" hidden="false" customHeight="false" outlineLevel="0" collapsed="false">
      <c r="A495" s="2" t="s">
        <v>6182</v>
      </c>
      <c r="B495" s="2" t="s">
        <v>304</v>
      </c>
      <c r="C495" s="2" t="s">
        <v>6382</v>
      </c>
      <c r="D495" s="2" t="s">
        <v>6383</v>
      </c>
      <c r="E495" s="2" t="s">
        <v>6384</v>
      </c>
      <c r="F495" s="2" t="s">
        <v>81</v>
      </c>
      <c r="G495" s="2" t="s">
        <v>6385</v>
      </c>
      <c r="H495" s="2" t="s">
        <v>58</v>
      </c>
      <c r="I495" s="2" t="s">
        <v>6386</v>
      </c>
      <c r="J495" s="2" t="s">
        <v>89</v>
      </c>
      <c r="K495" s="2" t="s">
        <v>6387</v>
      </c>
      <c r="L495" s="2" t="s">
        <v>6388</v>
      </c>
      <c r="M495" s="2" t="s">
        <v>6389</v>
      </c>
      <c r="N495" s="2" t="s">
        <v>42</v>
      </c>
      <c r="O495" s="2" t="s">
        <v>89</v>
      </c>
      <c r="P495" s="2" t="s">
        <v>58</v>
      </c>
      <c r="Q495" s="2"/>
      <c r="R495" s="2"/>
      <c r="S495" s="2" t="s">
        <v>6212</v>
      </c>
      <c r="T495" s="2" t="s">
        <v>6390</v>
      </c>
      <c r="U495" s="2" t="s">
        <v>6391</v>
      </c>
    </row>
    <row r="496" customFormat="false" ht="68.65" hidden="false" customHeight="false" outlineLevel="0" collapsed="false">
      <c r="A496" s="2" t="s">
        <v>6182</v>
      </c>
      <c r="B496" s="2" t="s">
        <v>6392</v>
      </c>
      <c r="C496" s="2" t="s">
        <v>6393</v>
      </c>
      <c r="D496" s="2" t="s">
        <v>6394</v>
      </c>
      <c r="E496" s="2" t="s">
        <v>6395</v>
      </c>
      <c r="F496" s="2" t="s">
        <v>139</v>
      </c>
      <c r="G496" s="2" t="s">
        <v>6352</v>
      </c>
      <c r="H496" s="2" t="s">
        <v>6396</v>
      </c>
      <c r="I496" s="2" t="s">
        <v>6397</v>
      </c>
      <c r="J496" s="2" t="s">
        <v>89</v>
      </c>
      <c r="K496" s="2" t="s">
        <v>89</v>
      </c>
      <c r="L496" s="2" t="s">
        <v>6398</v>
      </c>
      <c r="M496" s="2" t="s">
        <v>6399</v>
      </c>
      <c r="N496" s="2" t="s">
        <v>72</v>
      </c>
      <c r="O496" s="2" t="s">
        <v>89</v>
      </c>
      <c r="P496" s="2" t="s">
        <v>58</v>
      </c>
      <c r="Q496" s="2"/>
      <c r="R496" s="2"/>
      <c r="S496" s="2" t="s">
        <v>6400</v>
      </c>
      <c r="T496" s="2" t="s">
        <v>6401</v>
      </c>
      <c r="U496" s="2" t="s">
        <v>6402</v>
      </c>
    </row>
    <row r="497" customFormat="false" ht="46.25" hidden="false" customHeight="false" outlineLevel="0" collapsed="false">
      <c r="A497" s="2" t="s">
        <v>6182</v>
      </c>
      <c r="B497" s="2" t="s">
        <v>6403</v>
      </c>
      <c r="C497" s="2" t="s">
        <v>6404</v>
      </c>
      <c r="D497" s="2" t="s">
        <v>6405</v>
      </c>
      <c r="E497" s="2" t="s">
        <v>6406</v>
      </c>
      <c r="F497" s="2" t="s">
        <v>81</v>
      </c>
      <c r="G497" s="2" t="s">
        <v>6407</v>
      </c>
      <c r="H497" s="2" t="s">
        <v>58</v>
      </c>
      <c r="I497" s="2" t="s">
        <v>6408</v>
      </c>
      <c r="J497" s="2" t="s">
        <v>57</v>
      </c>
      <c r="K497" s="2" t="s">
        <v>6409</v>
      </c>
      <c r="L497" s="2" t="s">
        <v>6410</v>
      </c>
      <c r="M497" s="2" t="s">
        <v>6411</v>
      </c>
      <c r="N497" s="2" t="s">
        <v>72</v>
      </c>
      <c r="O497" s="2" t="s">
        <v>89</v>
      </c>
      <c r="P497" s="2" t="s">
        <v>58</v>
      </c>
      <c r="Q497" s="2"/>
      <c r="R497" s="2"/>
      <c r="S497" s="2" t="s">
        <v>6196</v>
      </c>
      <c r="T497" s="2" t="s">
        <v>6412</v>
      </c>
      <c r="U497" s="2" t="s">
        <v>6413</v>
      </c>
    </row>
    <row r="498" customFormat="false" ht="46.25" hidden="false" customHeight="false" outlineLevel="0" collapsed="false">
      <c r="A498" s="2" t="s">
        <v>6182</v>
      </c>
      <c r="B498" s="2" t="s">
        <v>6414</v>
      </c>
      <c r="C498" s="2" t="s">
        <v>6415</v>
      </c>
      <c r="D498" s="2" t="s">
        <v>6416</v>
      </c>
      <c r="E498" s="2" t="s">
        <v>6417</v>
      </c>
      <c r="F498" s="2" t="s">
        <v>81</v>
      </c>
      <c r="G498" s="2" t="s">
        <v>1726</v>
      </c>
      <c r="H498" s="2" t="s">
        <v>6418</v>
      </c>
      <c r="I498" s="2" t="s">
        <v>6419</v>
      </c>
      <c r="J498" s="2" t="s">
        <v>6420</v>
      </c>
      <c r="K498" s="2" t="s">
        <v>6415</v>
      </c>
      <c r="L498" s="2" t="s">
        <v>6295</v>
      </c>
      <c r="M498" s="2" t="s">
        <v>6421</v>
      </c>
      <c r="N498" s="2" t="s">
        <v>72</v>
      </c>
      <c r="O498" s="2" t="s">
        <v>89</v>
      </c>
      <c r="P498" s="2" t="s">
        <v>58</v>
      </c>
      <c r="Q498" s="2"/>
      <c r="R498" s="2"/>
      <c r="S498" s="2" t="s">
        <v>6212</v>
      </c>
      <c r="T498" s="2" t="s">
        <v>6422</v>
      </c>
      <c r="U498" s="2" t="s">
        <v>6423</v>
      </c>
    </row>
    <row r="499" customFormat="false" ht="46.25" hidden="false" customHeight="false" outlineLevel="0" collapsed="false">
      <c r="A499" s="2" t="s">
        <v>6182</v>
      </c>
      <c r="B499" s="2" t="s">
        <v>6424</v>
      </c>
      <c r="C499" s="2" t="s">
        <v>6424</v>
      </c>
      <c r="D499" s="2" t="s">
        <v>6425</v>
      </c>
      <c r="E499" s="2" t="s">
        <v>6426</v>
      </c>
      <c r="F499" s="2" t="s">
        <v>66</v>
      </c>
      <c r="G499" s="2" t="s">
        <v>6427</v>
      </c>
      <c r="H499" s="2" t="s">
        <v>58</v>
      </c>
      <c r="I499" s="2" t="s">
        <v>6428</v>
      </c>
      <c r="J499" s="2" t="s">
        <v>57</v>
      </c>
      <c r="K499" s="2" t="s">
        <v>6429</v>
      </c>
      <c r="L499" s="2" t="s">
        <v>6430</v>
      </c>
      <c r="M499" s="2" t="s">
        <v>6431</v>
      </c>
      <c r="N499" s="2" t="s">
        <v>72</v>
      </c>
      <c r="O499" s="2" t="s">
        <v>89</v>
      </c>
      <c r="P499" s="2" t="s">
        <v>58</v>
      </c>
      <c r="Q499" s="2"/>
      <c r="R499" s="2"/>
      <c r="S499" s="2" t="s">
        <v>6196</v>
      </c>
      <c r="T499" s="2" t="s">
        <v>6432</v>
      </c>
      <c r="U499" s="2" t="s">
        <v>6433</v>
      </c>
    </row>
    <row r="500" customFormat="false" ht="35.05" hidden="false" customHeight="false" outlineLevel="0" collapsed="false">
      <c r="A500" s="2" t="s">
        <v>6182</v>
      </c>
      <c r="B500" s="2" t="s">
        <v>6424</v>
      </c>
      <c r="C500" s="2" t="s">
        <v>6434</v>
      </c>
      <c r="D500" s="2" t="s">
        <v>6425</v>
      </c>
      <c r="E500" s="2" t="s">
        <v>6435</v>
      </c>
      <c r="F500" s="2" t="s">
        <v>66</v>
      </c>
      <c r="G500" s="2" t="s">
        <v>6436</v>
      </c>
      <c r="H500" s="2" t="s">
        <v>57</v>
      </c>
      <c r="I500" s="2" t="s">
        <v>6437</v>
      </c>
      <c r="J500" s="2" t="s">
        <v>57</v>
      </c>
      <c r="K500" s="2" t="s">
        <v>6438</v>
      </c>
      <c r="L500" s="2" t="s">
        <v>6439</v>
      </c>
      <c r="M500" s="2" t="s">
        <v>6440</v>
      </c>
      <c r="N500" s="2" t="s">
        <v>72</v>
      </c>
      <c r="O500" s="2" t="s">
        <v>89</v>
      </c>
      <c r="P500" s="2" t="s">
        <v>58</v>
      </c>
      <c r="Q500" s="2"/>
      <c r="R500" s="2"/>
      <c r="S500" s="2" t="s">
        <v>6196</v>
      </c>
      <c r="T500" s="2" t="s">
        <v>6441</v>
      </c>
      <c r="U500" s="2" t="s">
        <v>6442</v>
      </c>
    </row>
    <row r="501" customFormat="false" ht="46.25" hidden="false" customHeight="false" outlineLevel="0" collapsed="false">
      <c r="A501" s="2" t="s">
        <v>6182</v>
      </c>
      <c r="B501" s="2" t="s">
        <v>6443</v>
      </c>
      <c r="C501" s="2" t="s">
        <v>6444</v>
      </c>
      <c r="D501" s="2" t="s">
        <v>6416</v>
      </c>
      <c r="E501" s="2" t="s">
        <v>6445</v>
      </c>
      <c r="F501" s="2" t="s">
        <v>81</v>
      </c>
      <c r="G501" s="2" t="s">
        <v>6446</v>
      </c>
      <c r="H501" s="2" t="s">
        <v>6447</v>
      </c>
      <c r="I501" s="2" t="s">
        <v>6448</v>
      </c>
      <c r="J501" s="2" t="s">
        <v>6449</v>
      </c>
      <c r="K501" s="2" t="s">
        <v>6450</v>
      </c>
      <c r="L501" s="2" t="s">
        <v>6451</v>
      </c>
      <c r="M501" s="2" t="s">
        <v>6452</v>
      </c>
      <c r="N501" s="2" t="s">
        <v>72</v>
      </c>
      <c r="O501" s="2" t="s">
        <v>89</v>
      </c>
      <c r="P501" s="2" t="s">
        <v>6453</v>
      </c>
      <c r="Q501" s="2"/>
      <c r="R501" s="2"/>
      <c r="S501" s="2" t="s">
        <v>6196</v>
      </c>
      <c r="T501" s="2" t="s">
        <v>6454</v>
      </c>
      <c r="U501" s="2" t="s">
        <v>6455</v>
      </c>
    </row>
    <row r="502" customFormat="false" ht="35.05" hidden="false" customHeight="false" outlineLevel="0" collapsed="false">
      <c r="A502" s="2" t="s">
        <v>6182</v>
      </c>
      <c r="B502" s="2" t="s">
        <v>6456</v>
      </c>
      <c r="C502" s="2" t="s">
        <v>6457</v>
      </c>
      <c r="D502" s="2" t="s">
        <v>6458</v>
      </c>
      <c r="E502" s="2" t="s">
        <v>6459</v>
      </c>
      <c r="F502" s="2" t="s">
        <v>139</v>
      </c>
      <c r="G502" s="2" t="s">
        <v>6460</v>
      </c>
      <c r="H502" s="2" t="s">
        <v>6461</v>
      </c>
      <c r="I502" s="2" t="s">
        <v>6462</v>
      </c>
      <c r="J502" s="2" t="s">
        <v>89</v>
      </c>
      <c r="K502" s="2" t="s">
        <v>89</v>
      </c>
      <c r="L502" s="2" t="s">
        <v>6463</v>
      </c>
      <c r="M502" s="2" t="s">
        <v>6464</v>
      </c>
      <c r="N502" s="2" t="s">
        <v>72</v>
      </c>
      <c r="O502" s="2" t="s">
        <v>89</v>
      </c>
      <c r="P502" s="2" t="s">
        <v>58</v>
      </c>
      <c r="Q502" s="2" t="s">
        <v>6465</v>
      </c>
      <c r="R502" s="2"/>
      <c r="S502" s="2" t="s">
        <v>6196</v>
      </c>
      <c r="T502" s="2" t="s">
        <v>6466</v>
      </c>
      <c r="U502" s="2" t="s">
        <v>6467</v>
      </c>
    </row>
    <row r="503" customFormat="false" ht="35.05" hidden="false" customHeight="false" outlineLevel="0" collapsed="false">
      <c r="A503" s="2" t="s">
        <v>6182</v>
      </c>
      <c r="B503" s="2" t="s">
        <v>6468</v>
      </c>
      <c r="C503" s="2" t="s">
        <v>6469</v>
      </c>
      <c r="D503" s="2" t="s">
        <v>6470</v>
      </c>
      <c r="E503" s="2" t="s">
        <v>6471</v>
      </c>
      <c r="F503" s="2" t="s">
        <v>34</v>
      </c>
      <c r="G503" s="2" t="s">
        <v>6472</v>
      </c>
      <c r="H503" s="2" t="s">
        <v>6473</v>
      </c>
      <c r="I503" s="2" t="s">
        <v>6474</v>
      </c>
      <c r="J503" s="2" t="s">
        <v>6475</v>
      </c>
      <c r="K503" s="2" t="s">
        <v>6476</v>
      </c>
      <c r="L503" s="2" t="s">
        <v>6477</v>
      </c>
      <c r="M503" s="2" t="s">
        <v>6478</v>
      </c>
      <c r="N503" s="2" t="s">
        <v>56</v>
      </c>
      <c r="O503" s="2" t="s">
        <v>57</v>
      </c>
      <c r="P503" s="2" t="s">
        <v>58</v>
      </c>
      <c r="Q503" s="2" t="s">
        <v>6479</v>
      </c>
      <c r="R503" s="2" t="s">
        <v>57</v>
      </c>
      <c r="S503" s="2" t="s">
        <v>6196</v>
      </c>
      <c r="T503" s="2" t="s">
        <v>6480</v>
      </c>
      <c r="U503" s="2" t="s">
        <v>6481</v>
      </c>
    </row>
    <row r="504" customFormat="false" ht="68.65" hidden="false" customHeight="false" outlineLevel="0" collapsed="false">
      <c r="A504" s="2" t="s">
        <v>6182</v>
      </c>
      <c r="B504" s="2" t="s">
        <v>6482</v>
      </c>
      <c r="C504" s="2" t="s">
        <v>6483</v>
      </c>
      <c r="D504" s="2" t="s">
        <v>6484</v>
      </c>
      <c r="E504" s="2" t="s">
        <v>6485</v>
      </c>
      <c r="F504" s="2" t="s">
        <v>81</v>
      </c>
      <c r="G504" s="2" t="s">
        <v>6486</v>
      </c>
      <c r="H504" s="2" t="s">
        <v>6487</v>
      </c>
      <c r="I504" s="2" t="s">
        <v>6488</v>
      </c>
      <c r="J504" s="2" t="s">
        <v>6489</v>
      </c>
      <c r="K504" s="2" t="s">
        <v>6490</v>
      </c>
      <c r="L504" s="2" t="s">
        <v>424</v>
      </c>
      <c r="M504" s="2" t="s">
        <v>6491</v>
      </c>
      <c r="N504" s="2" t="s">
        <v>72</v>
      </c>
      <c r="O504" s="2" t="s">
        <v>89</v>
      </c>
      <c r="P504" s="2" t="s">
        <v>58</v>
      </c>
      <c r="Q504" s="2"/>
      <c r="R504" s="2"/>
      <c r="S504" s="2" t="s">
        <v>6196</v>
      </c>
      <c r="T504" s="2" t="s">
        <v>6492</v>
      </c>
      <c r="U504" s="2" t="s">
        <v>6493</v>
      </c>
    </row>
    <row r="505" customFormat="false" ht="57.45" hidden="false" customHeight="false" outlineLevel="0" collapsed="false">
      <c r="A505" s="2" t="s">
        <v>6182</v>
      </c>
      <c r="B505" s="2" t="s">
        <v>6494</v>
      </c>
      <c r="C505" s="2" t="s">
        <v>6494</v>
      </c>
      <c r="D505" s="2" t="s">
        <v>6484</v>
      </c>
      <c r="E505" s="2" t="s">
        <v>6495</v>
      </c>
      <c r="F505" s="2" t="s">
        <v>81</v>
      </c>
      <c r="G505" s="2" t="s">
        <v>6339</v>
      </c>
      <c r="H505" s="2" t="s">
        <v>58</v>
      </c>
      <c r="I505" s="2" t="s">
        <v>6496</v>
      </c>
      <c r="J505" s="2" t="s">
        <v>57</v>
      </c>
      <c r="K505" s="2" t="s">
        <v>6497</v>
      </c>
      <c r="L505" s="2" t="s">
        <v>183</v>
      </c>
      <c r="M505" s="2" t="s">
        <v>6498</v>
      </c>
      <c r="N505" s="2" t="s">
        <v>72</v>
      </c>
      <c r="O505" s="2" t="s">
        <v>89</v>
      </c>
      <c r="P505" s="2" t="s">
        <v>58</v>
      </c>
      <c r="Q505" s="2"/>
      <c r="R505" s="2"/>
      <c r="S505" s="2" t="s">
        <v>6196</v>
      </c>
      <c r="T505" s="2" t="s">
        <v>6499</v>
      </c>
      <c r="U505" s="2" t="s">
        <v>6500</v>
      </c>
    </row>
    <row r="506" customFormat="false" ht="46.25" hidden="false" customHeight="false" outlineLevel="0" collapsed="false">
      <c r="A506" s="2" t="s">
        <v>6182</v>
      </c>
      <c r="B506" s="2" t="s">
        <v>6501</v>
      </c>
      <c r="C506" s="2" t="s">
        <v>6502</v>
      </c>
      <c r="D506" s="2" t="s">
        <v>6484</v>
      </c>
      <c r="E506" s="2" t="s">
        <v>6503</v>
      </c>
      <c r="F506" s="2" t="s">
        <v>139</v>
      </c>
      <c r="G506" s="2" t="s">
        <v>6504</v>
      </c>
      <c r="H506" s="2" t="s">
        <v>6505</v>
      </c>
      <c r="I506" s="2" t="s">
        <v>6462</v>
      </c>
      <c r="J506" s="2" t="s">
        <v>89</v>
      </c>
      <c r="K506" s="2" t="s">
        <v>89</v>
      </c>
      <c r="L506" s="2" t="s">
        <v>183</v>
      </c>
      <c r="M506" s="2" t="s">
        <v>6506</v>
      </c>
      <c r="N506" s="2" t="s">
        <v>56</v>
      </c>
      <c r="O506" s="2" t="s">
        <v>89</v>
      </c>
      <c r="P506" s="2" t="s">
        <v>58</v>
      </c>
      <c r="Q506" s="2"/>
      <c r="R506" s="2"/>
      <c r="S506" s="2" t="s">
        <v>6196</v>
      </c>
      <c r="T506" s="2" t="s">
        <v>6507</v>
      </c>
      <c r="U506" s="2" t="s">
        <v>6508</v>
      </c>
    </row>
    <row r="507" customFormat="false" ht="46.25" hidden="false" customHeight="false" outlineLevel="0" collapsed="false">
      <c r="A507" s="2" t="s">
        <v>6182</v>
      </c>
      <c r="B507" s="2" t="s">
        <v>6509</v>
      </c>
      <c r="C507" s="2" t="s">
        <v>6509</v>
      </c>
      <c r="D507" s="2" t="s">
        <v>6484</v>
      </c>
      <c r="E507" s="2" t="s">
        <v>6510</v>
      </c>
      <c r="F507" s="2" t="s">
        <v>81</v>
      </c>
      <c r="G507" s="2" t="s">
        <v>6511</v>
      </c>
      <c r="H507" s="2" t="s">
        <v>6512</v>
      </c>
      <c r="I507" s="2" t="s">
        <v>6513</v>
      </c>
      <c r="J507" s="2" t="s">
        <v>58</v>
      </c>
      <c r="K507" s="2" t="s">
        <v>6514</v>
      </c>
      <c r="L507" s="2" t="s">
        <v>6515</v>
      </c>
      <c r="M507" s="2" t="s">
        <v>6516</v>
      </c>
      <c r="N507" s="2" t="s">
        <v>72</v>
      </c>
      <c r="O507" s="2" t="s">
        <v>89</v>
      </c>
      <c r="P507" s="2" t="s">
        <v>58</v>
      </c>
      <c r="Q507" s="2"/>
      <c r="R507" s="2"/>
      <c r="S507" s="2" t="s">
        <v>6196</v>
      </c>
      <c r="T507" s="2" t="s">
        <v>6517</v>
      </c>
      <c r="U507" s="2" t="s">
        <v>6518</v>
      </c>
    </row>
    <row r="508" customFormat="false" ht="46.25" hidden="false" customHeight="false" outlineLevel="0" collapsed="false">
      <c r="A508" s="2" t="s">
        <v>6182</v>
      </c>
      <c r="B508" s="2" t="s">
        <v>6519</v>
      </c>
      <c r="C508" s="2" t="s">
        <v>6520</v>
      </c>
      <c r="D508" s="2" t="s">
        <v>6484</v>
      </c>
      <c r="E508" s="2" t="s">
        <v>6521</v>
      </c>
      <c r="F508" s="2" t="s">
        <v>81</v>
      </c>
      <c r="G508" s="2" t="s">
        <v>6522</v>
      </c>
      <c r="H508" s="2" t="s">
        <v>6523</v>
      </c>
      <c r="I508" s="2" t="s">
        <v>6524</v>
      </c>
      <c r="J508" s="2" t="s">
        <v>89</v>
      </c>
      <c r="K508" s="2" t="s">
        <v>89</v>
      </c>
      <c r="L508" s="2" t="s">
        <v>6525</v>
      </c>
      <c r="M508" s="2" t="s">
        <v>6526</v>
      </c>
      <c r="N508" s="2" t="s">
        <v>72</v>
      </c>
      <c r="O508" s="2" t="s">
        <v>89</v>
      </c>
      <c r="P508" s="2" t="s">
        <v>58</v>
      </c>
      <c r="Q508" s="2"/>
      <c r="R508" s="2"/>
      <c r="S508" s="2" t="s">
        <v>6196</v>
      </c>
      <c r="T508" s="2" t="s">
        <v>6527</v>
      </c>
      <c r="U508" s="2" t="s">
        <v>6528</v>
      </c>
    </row>
    <row r="509" customFormat="false" ht="57.45" hidden="false" customHeight="false" outlineLevel="0" collapsed="false">
      <c r="A509" s="2" t="s">
        <v>6182</v>
      </c>
      <c r="B509" s="2" t="s">
        <v>6529</v>
      </c>
      <c r="C509" s="2" t="s">
        <v>6530</v>
      </c>
      <c r="D509" s="2" t="s">
        <v>6531</v>
      </c>
      <c r="E509" s="2" t="s">
        <v>6532</v>
      </c>
      <c r="F509" s="2" t="s">
        <v>347</v>
      </c>
      <c r="G509" s="2" t="s">
        <v>6533</v>
      </c>
      <c r="H509" s="2" t="s">
        <v>6534</v>
      </c>
      <c r="I509" s="2" t="s">
        <v>6535</v>
      </c>
      <c r="J509" s="2" t="s">
        <v>6536</v>
      </c>
      <c r="K509" s="2" t="s">
        <v>6537</v>
      </c>
      <c r="L509" s="2" t="s">
        <v>6538</v>
      </c>
      <c r="M509" s="2" t="s">
        <v>6539</v>
      </c>
      <c r="N509" s="2" t="s">
        <v>144</v>
      </c>
      <c r="O509" s="2" t="s">
        <v>57</v>
      </c>
      <c r="P509" s="2" t="s">
        <v>58</v>
      </c>
      <c r="Q509" s="2"/>
      <c r="R509" s="2"/>
      <c r="S509" s="2" t="s">
        <v>6212</v>
      </c>
      <c r="T509" s="2" t="s">
        <v>6540</v>
      </c>
      <c r="U509" s="2" t="s">
        <v>6541</v>
      </c>
    </row>
    <row r="510" customFormat="false" ht="46.25" hidden="false" customHeight="false" outlineLevel="0" collapsed="false">
      <c r="A510" s="2" t="s">
        <v>6182</v>
      </c>
      <c r="B510" s="2" t="s">
        <v>6529</v>
      </c>
      <c r="C510" s="2" t="s">
        <v>6542</v>
      </c>
      <c r="D510" s="2" t="s">
        <v>6543</v>
      </c>
      <c r="E510" s="2" t="s">
        <v>6544</v>
      </c>
      <c r="F510" s="2" t="s">
        <v>81</v>
      </c>
      <c r="G510" s="2" t="s">
        <v>6545</v>
      </c>
      <c r="H510" s="2" t="s">
        <v>58</v>
      </c>
      <c r="I510" s="2" t="s">
        <v>6546</v>
      </c>
      <c r="J510" s="2" t="s">
        <v>6547</v>
      </c>
      <c r="K510" s="2" t="s">
        <v>6548</v>
      </c>
      <c r="L510" s="2" t="s">
        <v>6549</v>
      </c>
      <c r="M510" s="2" t="s">
        <v>6550</v>
      </c>
      <c r="N510" s="2" t="s">
        <v>144</v>
      </c>
      <c r="O510" s="2" t="s">
        <v>89</v>
      </c>
      <c r="P510" s="2" t="s">
        <v>58</v>
      </c>
      <c r="Q510" s="2"/>
      <c r="R510" s="2"/>
      <c r="S510" s="2" t="s">
        <v>6196</v>
      </c>
      <c r="T510" s="2" t="s">
        <v>6551</v>
      </c>
      <c r="U510" s="2" t="s">
        <v>6552</v>
      </c>
    </row>
    <row r="511" customFormat="false" ht="35.05" hidden="false" customHeight="false" outlineLevel="0" collapsed="false">
      <c r="A511" s="2" t="s">
        <v>6182</v>
      </c>
      <c r="B511" s="2" t="s">
        <v>6529</v>
      </c>
      <c r="C511" s="2" t="s">
        <v>6553</v>
      </c>
      <c r="D511" s="2" t="s">
        <v>6543</v>
      </c>
      <c r="E511" s="2" t="s">
        <v>6554</v>
      </c>
      <c r="F511" s="2" t="s">
        <v>193</v>
      </c>
      <c r="G511" s="2" t="s">
        <v>6555</v>
      </c>
      <c r="H511" s="2" t="s">
        <v>6556</v>
      </c>
      <c r="I511" s="2" t="s">
        <v>2907</v>
      </c>
      <c r="J511" s="2" t="s">
        <v>6557</v>
      </c>
      <c r="K511" s="2" t="s">
        <v>6529</v>
      </c>
      <c r="L511" s="2" t="s">
        <v>6558</v>
      </c>
      <c r="M511" s="2" t="s">
        <v>6559</v>
      </c>
      <c r="N511" s="2" t="s">
        <v>89</v>
      </c>
      <c r="O511" s="2" t="s">
        <v>89</v>
      </c>
      <c r="P511" s="2" t="s">
        <v>6560</v>
      </c>
      <c r="Q511" s="2"/>
      <c r="R511" s="2"/>
      <c r="S511" s="2" t="s">
        <v>6561</v>
      </c>
      <c r="T511" s="2" t="s">
        <v>6562</v>
      </c>
      <c r="U511" s="2" t="s">
        <v>6563</v>
      </c>
    </row>
    <row r="512" customFormat="false" ht="35.05" hidden="false" customHeight="false" outlineLevel="0" collapsed="false">
      <c r="A512" s="2" t="s">
        <v>6182</v>
      </c>
      <c r="B512" s="2" t="s">
        <v>6564</v>
      </c>
      <c r="C512" s="2" t="s">
        <v>6565</v>
      </c>
      <c r="D512" s="2" t="s">
        <v>6566</v>
      </c>
      <c r="E512" s="2" t="s">
        <v>6567</v>
      </c>
      <c r="F512" s="2" t="s">
        <v>193</v>
      </c>
      <c r="G512" s="2" t="s">
        <v>6555</v>
      </c>
      <c r="H512" s="2" t="s">
        <v>6568</v>
      </c>
      <c r="I512" s="2" t="s">
        <v>6569</v>
      </c>
      <c r="J512" s="2" t="s">
        <v>6570</v>
      </c>
      <c r="K512" s="2" t="s">
        <v>6571</v>
      </c>
      <c r="L512" s="2" t="s">
        <v>6572</v>
      </c>
      <c r="M512" s="2" t="s">
        <v>6573</v>
      </c>
      <c r="N512" s="2" t="s">
        <v>56</v>
      </c>
      <c r="O512" s="2" t="s">
        <v>57</v>
      </c>
      <c r="P512" s="2" t="s">
        <v>6560</v>
      </c>
      <c r="Q512" s="2"/>
      <c r="R512" s="2"/>
      <c r="S512" s="2" t="s">
        <v>6574</v>
      </c>
      <c r="T512" s="2" t="s">
        <v>6575</v>
      </c>
      <c r="U512" s="2" t="s">
        <v>6576</v>
      </c>
    </row>
    <row r="513" customFormat="false" ht="35.05" hidden="false" customHeight="false" outlineLevel="0" collapsed="false">
      <c r="A513" s="2" t="s">
        <v>6182</v>
      </c>
      <c r="B513" s="2" t="s">
        <v>6577</v>
      </c>
      <c r="C513" s="2" t="s">
        <v>6578</v>
      </c>
      <c r="D513" s="2" t="s">
        <v>6543</v>
      </c>
      <c r="E513" s="2" t="s">
        <v>6579</v>
      </c>
      <c r="F513" s="2" t="s">
        <v>193</v>
      </c>
      <c r="G513" s="2" t="s">
        <v>81</v>
      </c>
      <c r="H513" s="2" t="s">
        <v>6580</v>
      </c>
      <c r="I513" s="2" t="s">
        <v>6581</v>
      </c>
      <c r="J513" s="2" t="s">
        <v>6582</v>
      </c>
      <c r="K513" s="2" t="s">
        <v>6583</v>
      </c>
      <c r="L513" s="2" t="s">
        <v>6584</v>
      </c>
      <c r="M513" s="2" t="s">
        <v>5492</v>
      </c>
      <c r="N513" s="2" t="s">
        <v>89</v>
      </c>
      <c r="O513" s="2" t="s">
        <v>89</v>
      </c>
      <c r="P513" s="2" t="s">
        <v>6585</v>
      </c>
      <c r="Q513" s="2"/>
      <c r="R513" s="2"/>
      <c r="S513" s="2" t="s">
        <v>6196</v>
      </c>
      <c r="T513" s="2" t="s">
        <v>6586</v>
      </c>
      <c r="U513" s="2" t="s">
        <v>6587</v>
      </c>
    </row>
    <row r="514" customFormat="false" ht="35.05" hidden="false" customHeight="false" outlineLevel="0" collapsed="false">
      <c r="A514" s="2" t="s">
        <v>6182</v>
      </c>
      <c r="B514" s="2" t="s">
        <v>6529</v>
      </c>
      <c r="C514" s="2" t="s">
        <v>6588</v>
      </c>
      <c r="D514" s="2" t="s">
        <v>6589</v>
      </c>
      <c r="E514" s="2" t="s">
        <v>6590</v>
      </c>
      <c r="F514" s="2" t="s">
        <v>193</v>
      </c>
      <c r="G514" s="2" t="s">
        <v>6591</v>
      </c>
      <c r="H514" s="2" t="s">
        <v>6592</v>
      </c>
      <c r="I514" s="2" t="s">
        <v>6593</v>
      </c>
      <c r="J514" s="2" t="s">
        <v>6594</v>
      </c>
      <c r="K514" s="2" t="s">
        <v>6595</v>
      </c>
      <c r="L514" s="2" t="s">
        <v>6596</v>
      </c>
      <c r="M514" s="2" t="s">
        <v>6597</v>
      </c>
      <c r="N514" s="2" t="s">
        <v>89</v>
      </c>
      <c r="O514" s="2" t="s">
        <v>89</v>
      </c>
      <c r="P514" s="2" t="s">
        <v>6598</v>
      </c>
      <c r="Q514" s="2"/>
      <c r="R514" s="2"/>
      <c r="S514" s="2" t="s">
        <v>6196</v>
      </c>
      <c r="T514" s="2" t="s">
        <v>6599</v>
      </c>
      <c r="U514" s="2" t="s">
        <v>6600</v>
      </c>
    </row>
    <row r="515" customFormat="false" ht="46.25" hidden="false" customHeight="false" outlineLevel="0" collapsed="false">
      <c r="A515" s="2" t="s">
        <v>6182</v>
      </c>
      <c r="B515" s="2" t="s">
        <v>6601</v>
      </c>
      <c r="C515" s="2" t="s">
        <v>6602</v>
      </c>
      <c r="D515" s="2" t="s">
        <v>6603</v>
      </c>
      <c r="E515" s="2" t="s">
        <v>6604</v>
      </c>
      <c r="F515" s="2" t="s">
        <v>34</v>
      </c>
      <c r="G515" s="2" t="s">
        <v>6605</v>
      </c>
      <c r="H515" s="2" t="s">
        <v>6580</v>
      </c>
      <c r="I515" s="2" t="s">
        <v>6606</v>
      </c>
      <c r="J515" s="2" t="s">
        <v>6607</v>
      </c>
      <c r="K515" s="2" t="s">
        <v>6608</v>
      </c>
      <c r="L515" s="2" t="s">
        <v>6609</v>
      </c>
      <c r="M515" s="2" t="s">
        <v>6610</v>
      </c>
      <c r="N515" s="2" t="s">
        <v>56</v>
      </c>
      <c r="O515" s="2" t="s">
        <v>6611</v>
      </c>
      <c r="P515" s="2" t="s">
        <v>58</v>
      </c>
      <c r="Q515" s="2"/>
      <c r="R515" s="2"/>
      <c r="S515" s="2" t="s">
        <v>6196</v>
      </c>
      <c r="T515" s="2" t="s">
        <v>6612</v>
      </c>
      <c r="U515" s="2" t="s">
        <v>6613</v>
      </c>
    </row>
    <row r="516" customFormat="false" ht="57.45" hidden="false" customHeight="false" outlineLevel="0" collapsed="false">
      <c r="A516" s="2" t="s">
        <v>6182</v>
      </c>
      <c r="B516" s="2" t="s">
        <v>6614</v>
      </c>
      <c r="C516" s="2" t="s">
        <v>6615</v>
      </c>
      <c r="D516" s="2" t="s">
        <v>6616</v>
      </c>
      <c r="E516" s="2" t="s">
        <v>6617</v>
      </c>
      <c r="F516" s="2" t="s">
        <v>81</v>
      </c>
      <c r="G516" s="2" t="s">
        <v>6339</v>
      </c>
      <c r="H516" s="2" t="s">
        <v>6618</v>
      </c>
      <c r="I516" s="2" t="s">
        <v>6619</v>
      </c>
      <c r="J516" s="2" t="s">
        <v>6620</v>
      </c>
      <c r="K516" s="2" t="s">
        <v>6621</v>
      </c>
      <c r="L516" s="2" t="s">
        <v>6622</v>
      </c>
      <c r="M516" s="2" t="s">
        <v>6623</v>
      </c>
      <c r="N516" s="2" t="s">
        <v>42</v>
      </c>
      <c r="O516" s="2" t="s">
        <v>89</v>
      </c>
      <c r="P516" s="2" t="s">
        <v>58</v>
      </c>
      <c r="Q516" s="2"/>
      <c r="R516" s="2"/>
      <c r="S516" s="2" t="s">
        <v>6196</v>
      </c>
      <c r="T516" s="2" t="s">
        <v>6624</v>
      </c>
      <c r="U516" s="2" t="s">
        <v>6625</v>
      </c>
    </row>
    <row r="517" customFormat="false" ht="23.85" hidden="false" customHeight="false" outlineLevel="0" collapsed="false">
      <c r="A517" s="2" t="s">
        <v>6182</v>
      </c>
      <c r="B517" s="2" t="s">
        <v>6626</v>
      </c>
      <c r="C517" s="2" t="s">
        <v>6627</v>
      </c>
      <c r="D517" s="2" t="s">
        <v>6628</v>
      </c>
      <c r="E517" s="2" t="s">
        <v>6629</v>
      </c>
      <c r="F517" s="2" t="s">
        <v>34</v>
      </c>
      <c r="G517" s="2" t="s">
        <v>6630</v>
      </c>
      <c r="H517" s="2" t="s">
        <v>6631</v>
      </c>
      <c r="I517" s="2" t="s">
        <v>6632</v>
      </c>
      <c r="J517" s="2" t="s">
        <v>6633</v>
      </c>
      <c r="K517" s="2" t="s">
        <v>6634</v>
      </c>
      <c r="L517" s="2" t="s">
        <v>6635</v>
      </c>
      <c r="M517" s="2" t="s">
        <v>6636</v>
      </c>
      <c r="N517" s="2" t="s">
        <v>56</v>
      </c>
      <c r="O517" s="2" t="s">
        <v>57</v>
      </c>
      <c r="P517" s="2" t="s">
        <v>58</v>
      </c>
      <c r="Q517" s="2"/>
      <c r="R517" s="2"/>
      <c r="S517" s="2" t="s">
        <v>6212</v>
      </c>
      <c r="T517" s="2" t="s">
        <v>6637</v>
      </c>
      <c r="U517" s="2" t="s">
        <v>6638</v>
      </c>
    </row>
    <row r="518" customFormat="false" ht="35.05" hidden="false" customHeight="false" outlineLevel="0" collapsed="false">
      <c r="A518" s="2" t="s">
        <v>6182</v>
      </c>
      <c r="B518" s="2" t="s">
        <v>6639</v>
      </c>
      <c r="C518" s="2" t="s">
        <v>6640</v>
      </c>
      <c r="D518" s="2" t="s">
        <v>6628</v>
      </c>
      <c r="E518" s="2" t="s">
        <v>6641</v>
      </c>
      <c r="F518" s="2" t="s">
        <v>139</v>
      </c>
      <c r="G518" s="2" t="s">
        <v>6642</v>
      </c>
      <c r="H518" s="2" t="s">
        <v>57</v>
      </c>
      <c r="I518" s="2" t="s">
        <v>6643</v>
      </c>
      <c r="J518" s="2" t="s">
        <v>89</v>
      </c>
      <c r="K518" s="2" t="s">
        <v>6639</v>
      </c>
      <c r="L518" s="2" t="s">
        <v>424</v>
      </c>
      <c r="M518" s="2" t="s">
        <v>6644</v>
      </c>
      <c r="N518" s="2" t="s">
        <v>42</v>
      </c>
      <c r="O518" s="2" t="s">
        <v>89</v>
      </c>
      <c r="P518" s="2" t="s">
        <v>58</v>
      </c>
      <c r="Q518" s="2"/>
      <c r="R518" s="2"/>
      <c r="S518" s="2" t="s">
        <v>6212</v>
      </c>
      <c r="T518" s="2" t="s">
        <v>6645</v>
      </c>
      <c r="U518" s="2" t="s">
        <v>6646</v>
      </c>
    </row>
    <row r="519" customFormat="false" ht="35.05" hidden="false" customHeight="false" outlineLevel="0" collapsed="false">
      <c r="A519" s="2" t="s">
        <v>6182</v>
      </c>
      <c r="B519" s="2" t="s">
        <v>6647</v>
      </c>
      <c r="C519" s="2" t="s">
        <v>6648</v>
      </c>
      <c r="D519" s="2" t="s">
        <v>6649</v>
      </c>
      <c r="E519" s="2" t="s">
        <v>6650</v>
      </c>
      <c r="F519" s="2" t="s">
        <v>139</v>
      </c>
      <c r="G519" s="2" t="s">
        <v>6651</v>
      </c>
      <c r="H519" s="2" t="s">
        <v>6652</v>
      </c>
      <c r="I519" s="2" t="s">
        <v>6462</v>
      </c>
      <c r="J519" s="2" t="s">
        <v>89</v>
      </c>
      <c r="K519" s="2" t="s">
        <v>6653</v>
      </c>
      <c r="L519" s="2" t="s">
        <v>424</v>
      </c>
      <c r="M519" s="2" t="s">
        <v>6654</v>
      </c>
      <c r="N519" s="2" t="s">
        <v>144</v>
      </c>
      <c r="O519" s="2" t="s">
        <v>89</v>
      </c>
      <c r="P519" s="2" t="s">
        <v>58</v>
      </c>
      <c r="Q519" s="2"/>
      <c r="R519" s="2"/>
      <c r="S519" s="2" t="s">
        <v>6196</v>
      </c>
      <c r="T519" s="2" t="s">
        <v>6655</v>
      </c>
      <c r="U519" s="2" t="s">
        <v>6656</v>
      </c>
    </row>
    <row r="520" customFormat="false" ht="35.05" hidden="false" customHeight="false" outlineLevel="0" collapsed="false">
      <c r="A520" s="2" t="s">
        <v>6182</v>
      </c>
      <c r="B520" s="2" t="s">
        <v>6657</v>
      </c>
      <c r="C520" s="2" t="s">
        <v>6658</v>
      </c>
      <c r="D520" s="2" t="s">
        <v>6659</v>
      </c>
      <c r="E520" s="2" t="s">
        <v>6660</v>
      </c>
      <c r="F520" s="2" t="s">
        <v>347</v>
      </c>
      <c r="G520" s="2" t="s">
        <v>6661</v>
      </c>
      <c r="H520" s="2" t="s">
        <v>1247</v>
      </c>
      <c r="I520" s="2" t="s">
        <v>1248</v>
      </c>
      <c r="J520" s="2" t="s">
        <v>3256</v>
      </c>
      <c r="K520" s="2" t="s">
        <v>6662</v>
      </c>
      <c r="L520" s="2" t="s">
        <v>6663</v>
      </c>
      <c r="M520" s="2" t="s">
        <v>6664</v>
      </c>
      <c r="N520" s="2" t="s">
        <v>144</v>
      </c>
      <c r="O520" s="2" t="s">
        <v>6665</v>
      </c>
      <c r="P520" s="2" t="s">
        <v>6666</v>
      </c>
      <c r="Q520" s="2"/>
      <c r="R520" s="2"/>
      <c r="S520" s="2" t="s">
        <v>6212</v>
      </c>
      <c r="T520" s="2" t="s">
        <v>3263</v>
      </c>
      <c r="U520" s="2" t="s">
        <v>3264</v>
      </c>
    </row>
    <row r="521" customFormat="false" ht="23.85" hidden="false" customHeight="false" outlineLevel="0" collapsed="false">
      <c r="A521" s="2" t="s">
        <v>6182</v>
      </c>
      <c r="B521" s="2" t="s">
        <v>6299</v>
      </c>
      <c r="C521" s="2" t="s">
        <v>6667</v>
      </c>
      <c r="D521" s="2" t="s">
        <v>6668</v>
      </c>
      <c r="E521" s="2" t="s">
        <v>6669</v>
      </c>
      <c r="F521" s="2" t="s">
        <v>1188</v>
      </c>
      <c r="G521" s="2" t="s">
        <v>6670</v>
      </c>
      <c r="H521" s="2" t="s">
        <v>57</v>
      </c>
      <c r="I521" s="2" t="s">
        <v>6671</v>
      </c>
      <c r="J521" s="2" t="s">
        <v>57</v>
      </c>
      <c r="K521" s="2" t="s">
        <v>666</v>
      </c>
      <c r="L521" s="2" t="s">
        <v>6672</v>
      </c>
      <c r="M521" s="2" t="s">
        <v>6673</v>
      </c>
      <c r="N521" s="2" t="s">
        <v>144</v>
      </c>
      <c r="O521" s="2" t="s">
        <v>57</v>
      </c>
      <c r="P521" s="2" t="s">
        <v>57</v>
      </c>
      <c r="Q521" s="2"/>
      <c r="R521" s="2"/>
      <c r="S521" s="2" t="s">
        <v>6674</v>
      </c>
      <c r="T521" s="2" t="s">
        <v>1196</v>
      </c>
      <c r="U521" s="2" t="s">
        <v>6675</v>
      </c>
    </row>
    <row r="522" customFormat="false" ht="91" hidden="false" customHeight="false" outlineLevel="0" collapsed="false">
      <c r="A522" s="2" t="s">
        <v>6676</v>
      </c>
      <c r="B522" s="2" t="s">
        <v>6677</v>
      </c>
      <c r="C522" s="2" t="s">
        <v>6677</v>
      </c>
      <c r="D522" s="2" t="s">
        <v>6678</v>
      </c>
      <c r="E522" s="2" t="s">
        <v>6679</v>
      </c>
      <c r="F522" s="2" t="s">
        <v>34</v>
      </c>
      <c r="G522" s="2" t="s">
        <v>6680</v>
      </c>
      <c r="H522" s="2" t="s">
        <v>6681</v>
      </c>
      <c r="I522" s="2" t="s">
        <v>6682</v>
      </c>
      <c r="J522" s="2" t="s">
        <v>4518</v>
      </c>
      <c r="K522" s="2" t="s">
        <v>6683</v>
      </c>
      <c r="L522" s="2" t="s">
        <v>6684</v>
      </c>
      <c r="M522" s="2" t="s">
        <v>6685</v>
      </c>
      <c r="N522" s="2" t="s">
        <v>42</v>
      </c>
      <c r="O522" s="2" t="s">
        <v>6686</v>
      </c>
      <c r="P522" s="2" t="s">
        <v>6687</v>
      </c>
      <c r="Q522" s="2"/>
      <c r="R522" s="2"/>
      <c r="S522" s="2" t="s">
        <v>6688</v>
      </c>
      <c r="T522" s="2" t="s">
        <v>6689</v>
      </c>
      <c r="U522" s="2" t="s">
        <v>6690</v>
      </c>
    </row>
    <row r="523" customFormat="false" ht="68.65" hidden="false" customHeight="false" outlineLevel="0" collapsed="false">
      <c r="A523" s="2" t="s">
        <v>6676</v>
      </c>
      <c r="B523" s="2" t="s">
        <v>6677</v>
      </c>
      <c r="C523" s="2" t="s">
        <v>6691</v>
      </c>
      <c r="D523" s="2" t="s">
        <v>6692</v>
      </c>
      <c r="E523" s="2" t="s">
        <v>6693</v>
      </c>
      <c r="F523" s="2" t="s">
        <v>81</v>
      </c>
      <c r="G523" s="2" t="s">
        <v>6694</v>
      </c>
      <c r="H523" s="2" t="s">
        <v>6695</v>
      </c>
      <c r="I523" s="2" t="s">
        <v>6696</v>
      </c>
      <c r="J523" s="2" t="s">
        <v>6697</v>
      </c>
      <c r="K523" s="2" t="s">
        <v>6698</v>
      </c>
      <c r="L523" s="2" t="s">
        <v>6699</v>
      </c>
      <c r="M523" s="2" t="s">
        <v>6700</v>
      </c>
      <c r="N523" s="2" t="s">
        <v>144</v>
      </c>
      <c r="O523" s="2" t="s">
        <v>6686</v>
      </c>
      <c r="P523" s="2" t="s">
        <v>6701</v>
      </c>
      <c r="Q523" s="2"/>
      <c r="R523" s="2"/>
      <c r="S523" s="2" t="s">
        <v>6702</v>
      </c>
      <c r="T523" s="2" t="s">
        <v>6703</v>
      </c>
      <c r="U523" s="2" t="s">
        <v>6704</v>
      </c>
    </row>
    <row r="524" customFormat="false" ht="91" hidden="false" customHeight="false" outlineLevel="0" collapsed="false">
      <c r="A524" s="2" t="s">
        <v>6676</v>
      </c>
      <c r="B524" s="2" t="s">
        <v>6677</v>
      </c>
      <c r="C524" s="2" t="s">
        <v>6705</v>
      </c>
      <c r="D524" s="2" t="s">
        <v>6706</v>
      </c>
      <c r="E524" s="2" t="s">
        <v>6707</v>
      </c>
      <c r="F524" s="2" t="s">
        <v>34</v>
      </c>
      <c r="G524" s="2" t="s">
        <v>6708</v>
      </c>
      <c r="H524" s="2" t="s">
        <v>6709</v>
      </c>
      <c r="I524" s="2" t="s">
        <v>6710</v>
      </c>
      <c r="J524" s="2" t="s">
        <v>4518</v>
      </c>
      <c r="K524" s="2" t="s">
        <v>6711</v>
      </c>
      <c r="L524" s="2" t="s">
        <v>6712</v>
      </c>
      <c r="M524" s="2" t="s">
        <v>6713</v>
      </c>
      <c r="N524" s="2" t="s">
        <v>144</v>
      </c>
      <c r="O524" s="2" t="s">
        <v>6686</v>
      </c>
      <c r="P524" s="2" t="s">
        <v>6714</v>
      </c>
      <c r="Q524" s="2"/>
      <c r="R524" s="2"/>
      <c r="S524" s="2" t="s">
        <v>6715</v>
      </c>
      <c r="T524" s="2" t="s">
        <v>6716</v>
      </c>
      <c r="U524" s="2" t="s">
        <v>6717</v>
      </c>
    </row>
    <row r="525" customFormat="false" ht="57.45" hidden="false" customHeight="false" outlineLevel="0" collapsed="false">
      <c r="A525" s="2" t="s">
        <v>6676</v>
      </c>
      <c r="B525" s="2" t="s">
        <v>6718</v>
      </c>
      <c r="C525" s="2" t="s">
        <v>6719</v>
      </c>
      <c r="D525" s="2" t="s">
        <v>6720</v>
      </c>
      <c r="E525" s="2" t="s">
        <v>6721</v>
      </c>
      <c r="F525" s="2" t="s">
        <v>347</v>
      </c>
      <c r="G525" s="2" t="s">
        <v>6722</v>
      </c>
      <c r="H525" s="2" t="s">
        <v>6723</v>
      </c>
      <c r="I525" s="2" t="s">
        <v>6724</v>
      </c>
      <c r="J525" s="2" t="s">
        <v>225</v>
      </c>
      <c r="K525" s="2" t="s">
        <v>6725</v>
      </c>
      <c r="L525" s="2" t="s">
        <v>6726</v>
      </c>
      <c r="M525" s="2" t="s">
        <v>6727</v>
      </c>
      <c r="N525" s="2" t="s">
        <v>144</v>
      </c>
      <c r="O525" s="2" t="s">
        <v>6686</v>
      </c>
      <c r="P525" s="2" t="s">
        <v>6728</v>
      </c>
      <c r="Q525" s="2" t="s">
        <v>6729</v>
      </c>
      <c r="R525" s="2"/>
      <c r="S525" s="2" t="s">
        <v>6730</v>
      </c>
      <c r="T525" s="2" t="s">
        <v>6731</v>
      </c>
      <c r="U525" s="2" t="s">
        <v>6732</v>
      </c>
    </row>
    <row r="526" customFormat="false" ht="225.35" hidden="false" customHeight="false" outlineLevel="0" collapsed="false">
      <c r="A526" s="2" t="s">
        <v>6676</v>
      </c>
      <c r="B526" s="2" t="s">
        <v>6733</v>
      </c>
      <c r="C526" s="2" t="s">
        <v>6734</v>
      </c>
      <c r="D526" s="2" t="s">
        <v>6735</v>
      </c>
      <c r="E526" s="2" t="s">
        <v>6736</v>
      </c>
      <c r="F526" s="2" t="s">
        <v>34</v>
      </c>
      <c r="G526" s="2" t="s">
        <v>6737</v>
      </c>
      <c r="H526" s="2" t="s">
        <v>6738</v>
      </c>
      <c r="I526" s="2" t="s">
        <v>6739</v>
      </c>
      <c r="J526" s="2" t="s">
        <v>197</v>
      </c>
      <c r="K526" s="2" t="s">
        <v>6740</v>
      </c>
      <c r="L526" s="2" t="s">
        <v>6741</v>
      </c>
      <c r="M526" s="2" t="s">
        <v>6742</v>
      </c>
      <c r="N526" s="2" t="s">
        <v>144</v>
      </c>
      <c r="O526" s="2" t="s">
        <v>6686</v>
      </c>
      <c r="P526" s="2" t="s">
        <v>6743</v>
      </c>
      <c r="Q526" s="2" t="s">
        <v>6744</v>
      </c>
      <c r="R526" s="2"/>
      <c r="S526" s="2" t="s">
        <v>6745</v>
      </c>
      <c r="T526" s="2" t="s">
        <v>6746</v>
      </c>
      <c r="U526" s="2" t="s">
        <v>6747</v>
      </c>
    </row>
    <row r="527" customFormat="false" ht="124.6" hidden="false" customHeight="false" outlineLevel="0" collapsed="false">
      <c r="A527" s="2" t="s">
        <v>6676</v>
      </c>
      <c r="B527" s="2" t="s">
        <v>6748</v>
      </c>
      <c r="C527" s="2" t="s">
        <v>6749</v>
      </c>
      <c r="D527" s="2" t="s">
        <v>6750</v>
      </c>
      <c r="E527" s="2" t="s">
        <v>6751</v>
      </c>
      <c r="F527" s="2" t="s">
        <v>34</v>
      </c>
      <c r="G527" s="2" t="s">
        <v>6752</v>
      </c>
      <c r="H527" s="2" t="s">
        <v>6753</v>
      </c>
      <c r="I527" s="2" t="s">
        <v>6754</v>
      </c>
      <c r="J527" s="2" t="s">
        <v>156</v>
      </c>
      <c r="K527" s="2" t="s">
        <v>6755</v>
      </c>
      <c r="L527" s="2" t="s">
        <v>6756</v>
      </c>
      <c r="M527" s="2" t="s">
        <v>6757</v>
      </c>
      <c r="N527" s="2" t="s">
        <v>56</v>
      </c>
      <c r="O527" s="2" t="s">
        <v>6686</v>
      </c>
      <c r="P527" s="2" t="s">
        <v>6758</v>
      </c>
      <c r="Q527" s="2"/>
      <c r="R527" s="2"/>
      <c r="S527" s="2" t="s">
        <v>6759</v>
      </c>
      <c r="T527" s="2" t="s">
        <v>6760</v>
      </c>
      <c r="U527" s="2" t="s">
        <v>6761</v>
      </c>
    </row>
    <row r="528" customFormat="false" ht="102.2" hidden="false" customHeight="false" outlineLevel="0" collapsed="false">
      <c r="A528" s="2" t="s">
        <v>6676</v>
      </c>
      <c r="B528" s="2" t="s">
        <v>6762</v>
      </c>
      <c r="C528" s="2" t="s">
        <v>6763</v>
      </c>
      <c r="D528" s="2" t="s">
        <v>6764</v>
      </c>
      <c r="E528" s="2" t="s">
        <v>6765</v>
      </c>
      <c r="F528" s="2" t="s">
        <v>34</v>
      </c>
      <c r="G528" s="2" t="s">
        <v>3385</v>
      </c>
      <c r="H528" s="2" t="s">
        <v>58</v>
      </c>
      <c r="I528" s="2" t="s">
        <v>4349</v>
      </c>
      <c r="J528" s="2" t="s">
        <v>1066</v>
      </c>
      <c r="K528" s="2" t="s">
        <v>6766</v>
      </c>
      <c r="L528" s="2" t="s">
        <v>6767</v>
      </c>
      <c r="M528" s="2" t="s">
        <v>6768</v>
      </c>
      <c r="N528" s="2" t="s">
        <v>144</v>
      </c>
      <c r="O528" s="2" t="s">
        <v>6686</v>
      </c>
      <c r="P528" s="2" t="s">
        <v>58</v>
      </c>
      <c r="Q528" s="2"/>
      <c r="R528" s="2"/>
      <c r="S528" s="2" t="s">
        <v>6769</v>
      </c>
      <c r="T528" s="2" t="s">
        <v>6770</v>
      </c>
      <c r="U528" s="2" t="s">
        <v>6771</v>
      </c>
    </row>
    <row r="529" customFormat="false" ht="158.2" hidden="false" customHeight="false" outlineLevel="0" collapsed="false">
      <c r="A529" s="2" t="s">
        <v>6676</v>
      </c>
      <c r="B529" s="2" t="s">
        <v>6772</v>
      </c>
      <c r="C529" s="2" t="s">
        <v>6773</v>
      </c>
      <c r="D529" s="2" t="s">
        <v>6774</v>
      </c>
      <c r="E529" s="2" t="s">
        <v>6775</v>
      </c>
      <c r="F529" s="2" t="s">
        <v>34</v>
      </c>
      <c r="G529" s="2" t="s">
        <v>6776</v>
      </c>
      <c r="H529" s="2" t="s">
        <v>6777</v>
      </c>
      <c r="I529" s="2" t="s">
        <v>6778</v>
      </c>
      <c r="J529" s="2" t="s">
        <v>197</v>
      </c>
      <c r="K529" s="2" t="s">
        <v>6779</v>
      </c>
      <c r="L529" s="2" t="s">
        <v>6780</v>
      </c>
      <c r="M529" s="2" t="s">
        <v>6781</v>
      </c>
      <c r="N529" s="2" t="s">
        <v>144</v>
      </c>
      <c r="O529" s="2" t="s">
        <v>6686</v>
      </c>
      <c r="P529" s="2" t="s">
        <v>6782</v>
      </c>
      <c r="Q529" s="2"/>
      <c r="R529" s="2"/>
      <c r="S529" s="2" t="s">
        <v>6783</v>
      </c>
      <c r="T529" s="2" t="s">
        <v>6784</v>
      </c>
      <c r="U529" s="2" t="s">
        <v>6785</v>
      </c>
    </row>
    <row r="530" customFormat="false" ht="68.65" hidden="false" customHeight="false" outlineLevel="0" collapsed="false">
      <c r="A530" s="2" t="s">
        <v>6676</v>
      </c>
      <c r="B530" s="2" t="s">
        <v>2379</v>
      </c>
      <c r="C530" s="2" t="s">
        <v>6786</v>
      </c>
      <c r="D530" s="2" t="s">
        <v>6787</v>
      </c>
      <c r="E530" s="2" t="s">
        <v>6788</v>
      </c>
      <c r="F530" s="2" t="s">
        <v>34</v>
      </c>
      <c r="G530" s="2" t="s">
        <v>6789</v>
      </c>
      <c r="H530" s="2" t="s">
        <v>2383</v>
      </c>
      <c r="I530" s="2" t="s">
        <v>1236</v>
      </c>
      <c r="J530" s="2" t="s">
        <v>2384</v>
      </c>
      <c r="K530" s="2" t="s">
        <v>6790</v>
      </c>
      <c r="L530" s="2" t="s">
        <v>6791</v>
      </c>
      <c r="M530" s="2" t="s">
        <v>6792</v>
      </c>
      <c r="N530" s="2" t="s">
        <v>144</v>
      </c>
      <c r="O530" s="2" t="s">
        <v>6686</v>
      </c>
      <c r="P530" s="2" t="s">
        <v>6793</v>
      </c>
      <c r="Q530" s="2" t="s">
        <v>6794</v>
      </c>
      <c r="R530" s="2"/>
      <c r="S530" s="2" t="s">
        <v>6795</v>
      </c>
      <c r="T530" s="2" t="s">
        <v>2391</v>
      </c>
      <c r="U530" s="2" t="s">
        <v>2392</v>
      </c>
    </row>
    <row r="531" customFormat="false" ht="79.85" hidden="false" customHeight="false" outlineLevel="0" collapsed="false">
      <c r="A531" s="2" t="s">
        <v>6676</v>
      </c>
      <c r="B531" s="2" t="s">
        <v>2379</v>
      </c>
      <c r="C531" s="2" t="s">
        <v>2421</v>
      </c>
      <c r="D531" s="2" t="s">
        <v>6796</v>
      </c>
      <c r="E531" s="2" t="s">
        <v>6797</v>
      </c>
      <c r="F531" s="2" t="s">
        <v>34</v>
      </c>
      <c r="G531" s="2" t="s">
        <v>6798</v>
      </c>
      <c r="H531" s="2" t="s">
        <v>6799</v>
      </c>
      <c r="I531" s="2" t="s">
        <v>6800</v>
      </c>
      <c r="J531" s="2" t="s">
        <v>6801</v>
      </c>
      <c r="K531" s="2" t="s">
        <v>6802</v>
      </c>
      <c r="L531" s="2" t="s">
        <v>6803</v>
      </c>
      <c r="M531" s="2" t="s">
        <v>6804</v>
      </c>
      <c r="N531" s="2" t="s">
        <v>56</v>
      </c>
      <c r="O531" s="2" t="s">
        <v>6805</v>
      </c>
      <c r="P531" s="2" t="s">
        <v>6806</v>
      </c>
      <c r="Q531" s="2"/>
      <c r="R531" s="2"/>
      <c r="S531" s="2" t="s">
        <v>6807</v>
      </c>
      <c r="T531" s="2" t="s">
        <v>2432</v>
      </c>
      <c r="U531" s="2" t="s">
        <v>2433</v>
      </c>
    </row>
    <row r="532" customFormat="false" ht="79.85" hidden="false" customHeight="false" outlineLevel="0" collapsed="false">
      <c r="A532" s="2" t="s">
        <v>6676</v>
      </c>
      <c r="B532" s="2" t="s">
        <v>2379</v>
      </c>
      <c r="C532" s="2" t="s">
        <v>6808</v>
      </c>
      <c r="D532" s="2" t="s">
        <v>6809</v>
      </c>
      <c r="E532" s="2" t="s">
        <v>6810</v>
      </c>
      <c r="F532" s="2" t="s">
        <v>280</v>
      </c>
      <c r="G532" s="2" t="s">
        <v>6811</v>
      </c>
      <c r="H532" s="2" t="s">
        <v>6812</v>
      </c>
      <c r="I532" s="2" t="s">
        <v>183</v>
      </c>
      <c r="J532" s="2" t="s">
        <v>1601</v>
      </c>
      <c r="K532" s="2" t="s">
        <v>6813</v>
      </c>
      <c r="L532" s="2" t="s">
        <v>6814</v>
      </c>
      <c r="M532" s="2" t="s">
        <v>6815</v>
      </c>
      <c r="N532" s="2" t="s">
        <v>89</v>
      </c>
      <c r="O532" s="2" t="s">
        <v>6686</v>
      </c>
      <c r="P532" s="2" t="s">
        <v>6816</v>
      </c>
      <c r="Q532" s="2"/>
      <c r="R532" s="2"/>
      <c r="S532" s="2" t="s">
        <v>6817</v>
      </c>
      <c r="T532" s="2" t="s">
        <v>6818</v>
      </c>
      <c r="U532" s="2" t="s">
        <v>6819</v>
      </c>
    </row>
    <row r="533" customFormat="false" ht="91" hidden="false" customHeight="false" outlineLevel="0" collapsed="false">
      <c r="A533" s="2" t="s">
        <v>6676</v>
      </c>
      <c r="B533" s="2" t="s">
        <v>2379</v>
      </c>
      <c r="C533" s="2" t="s">
        <v>6820</v>
      </c>
      <c r="D533" s="2" t="s">
        <v>6821</v>
      </c>
      <c r="E533" s="2" t="s">
        <v>6822</v>
      </c>
      <c r="F533" s="2" t="s">
        <v>34</v>
      </c>
      <c r="G533" s="2" t="s">
        <v>6823</v>
      </c>
      <c r="H533" s="2" t="s">
        <v>6824</v>
      </c>
      <c r="I533" s="2" t="s">
        <v>6825</v>
      </c>
      <c r="J533" s="2" t="s">
        <v>197</v>
      </c>
      <c r="K533" s="2" t="s">
        <v>6826</v>
      </c>
      <c r="L533" s="2" t="s">
        <v>6827</v>
      </c>
      <c r="M533" s="2" t="s">
        <v>6828</v>
      </c>
      <c r="N533" s="2" t="s">
        <v>144</v>
      </c>
      <c r="O533" s="2" t="s">
        <v>6686</v>
      </c>
      <c r="P533" s="2" t="s">
        <v>6829</v>
      </c>
      <c r="Q533" s="2"/>
      <c r="R533" s="2"/>
      <c r="S533" s="2" t="s">
        <v>6830</v>
      </c>
      <c r="T533" s="2" t="s">
        <v>2598</v>
      </c>
      <c r="U533" s="2" t="s">
        <v>6831</v>
      </c>
    </row>
    <row r="534" customFormat="false" ht="68.65" hidden="false" customHeight="false" outlineLevel="0" collapsed="false">
      <c r="A534" s="2" t="s">
        <v>6676</v>
      </c>
      <c r="B534" s="2" t="s">
        <v>2379</v>
      </c>
      <c r="C534" s="2" t="s">
        <v>6832</v>
      </c>
      <c r="D534" s="2" t="s">
        <v>6833</v>
      </c>
      <c r="E534" s="2" t="s">
        <v>6834</v>
      </c>
      <c r="F534" s="2" t="s">
        <v>34</v>
      </c>
      <c r="G534" s="2" t="s">
        <v>6835</v>
      </c>
      <c r="H534" s="2" t="s">
        <v>1600</v>
      </c>
      <c r="I534" s="2" t="s">
        <v>6836</v>
      </c>
      <c r="J534" s="2" t="s">
        <v>58</v>
      </c>
      <c r="K534" s="2" t="s">
        <v>6832</v>
      </c>
      <c r="L534" s="2" t="s">
        <v>6837</v>
      </c>
      <c r="M534" s="2" t="s">
        <v>6838</v>
      </c>
      <c r="N534" s="2" t="s">
        <v>144</v>
      </c>
      <c r="O534" s="2" t="s">
        <v>6686</v>
      </c>
      <c r="P534" s="2" t="s">
        <v>6839</v>
      </c>
      <c r="Q534" s="2"/>
      <c r="R534" s="2"/>
      <c r="S534" s="2" t="s">
        <v>6840</v>
      </c>
      <c r="T534" s="2" t="s">
        <v>6841</v>
      </c>
      <c r="U534" s="2" t="s">
        <v>6842</v>
      </c>
    </row>
    <row r="535" customFormat="false" ht="79.85" hidden="false" customHeight="false" outlineLevel="0" collapsed="false">
      <c r="A535" s="2" t="s">
        <v>6676</v>
      </c>
      <c r="B535" s="2" t="s">
        <v>2365</v>
      </c>
      <c r="C535" s="2" t="s">
        <v>6843</v>
      </c>
      <c r="D535" s="2" t="s">
        <v>4335</v>
      </c>
      <c r="E535" s="2" t="s">
        <v>6844</v>
      </c>
      <c r="F535" s="2" t="s">
        <v>34</v>
      </c>
      <c r="G535" s="2" t="s">
        <v>6845</v>
      </c>
      <c r="H535" s="2" t="s">
        <v>2356</v>
      </c>
      <c r="I535" s="2" t="s">
        <v>1248</v>
      </c>
      <c r="J535" s="2" t="s">
        <v>1545</v>
      </c>
      <c r="K535" s="2" t="s">
        <v>6846</v>
      </c>
      <c r="L535" s="2" t="s">
        <v>6847</v>
      </c>
      <c r="M535" s="2" t="s">
        <v>6848</v>
      </c>
      <c r="N535" s="2" t="s">
        <v>144</v>
      </c>
      <c r="O535" s="2" t="s">
        <v>6849</v>
      </c>
      <c r="P535" s="2" t="s">
        <v>6850</v>
      </c>
      <c r="Q535" s="2"/>
      <c r="R535" s="2"/>
      <c r="S535" s="2" t="s">
        <v>6851</v>
      </c>
      <c r="T535" s="2" t="s">
        <v>6852</v>
      </c>
      <c r="U535" s="2" t="s">
        <v>2364</v>
      </c>
    </row>
    <row r="536" customFormat="false" ht="124.6" hidden="false" customHeight="false" outlineLevel="0" collapsed="false">
      <c r="A536" s="2" t="s">
        <v>6676</v>
      </c>
      <c r="B536" s="2" t="s">
        <v>2447</v>
      </c>
      <c r="C536" s="2" t="s">
        <v>2461</v>
      </c>
      <c r="D536" s="2" t="s">
        <v>6853</v>
      </c>
      <c r="E536" s="2" t="s">
        <v>6854</v>
      </c>
      <c r="F536" s="2" t="s">
        <v>34</v>
      </c>
      <c r="G536" s="2" t="s">
        <v>6855</v>
      </c>
      <c r="H536" s="2" t="s">
        <v>6856</v>
      </c>
      <c r="I536" s="2" t="s">
        <v>183</v>
      </c>
      <c r="J536" s="2" t="s">
        <v>1936</v>
      </c>
      <c r="K536" s="2" t="s">
        <v>6857</v>
      </c>
      <c r="L536" s="2" t="s">
        <v>6858</v>
      </c>
      <c r="M536" s="2" t="s">
        <v>6859</v>
      </c>
      <c r="N536" s="2" t="s">
        <v>144</v>
      </c>
      <c r="O536" s="2" t="s">
        <v>6686</v>
      </c>
      <c r="P536" s="2" t="s">
        <v>58</v>
      </c>
      <c r="Q536" s="2"/>
      <c r="R536" s="2"/>
      <c r="S536" s="2" t="s">
        <v>6860</v>
      </c>
      <c r="T536" s="2" t="s">
        <v>6861</v>
      </c>
      <c r="U536" s="2" t="s">
        <v>2471</v>
      </c>
    </row>
    <row r="537" customFormat="false" ht="57.45" hidden="false" customHeight="false" outlineLevel="0" collapsed="false">
      <c r="A537" s="2" t="s">
        <v>6676</v>
      </c>
      <c r="B537" s="2" t="s">
        <v>2365</v>
      </c>
      <c r="C537" s="2" t="s">
        <v>6862</v>
      </c>
      <c r="D537" s="2" t="s">
        <v>6863</v>
      </c>
      <c r="E537" s="2" t="s">
        <v>6864</v>
      </c>
      <c r="F537" s="2" t="s">
        <v>34</v>
      </c>
      <c r="G537" s="2" t="s">
        <v>6865</v>
      </c>
      <c r="H537" s="2" t="s">
        <v>1600</v>
      </c>
      <c r="I537" s="2" t="s">
        <v>6866</v>
      </c>
      <c r="J537" s="2" t="s">
        <v>2438</v>
      </c>
      <c r="K537" s="2" t="s">
        <v>6867</v>
      </c>
      <c r="L537" s="2" t="s">
        <v>2440</v>
      </c>
      <c r="M537" s="2" t="s">
        <v>6868</v>
      </c>
      <c r="N537" s="2" t="s">
        <v>56</v>
      </c>
      <c r="O537" s="2" t="s">
        <v>6686</v>
      </c>
      <c r="P537" s="2" t="s">
        <v>6869</v>
      </c>
      <c r="Q537" s="2" t="s">
        <v>6870</v>
      </c>
      <c r="R537" s="2"/>
      <c r="S537" s="2" t="s">
        <v>6871</v>
      </c>
      <c r="T537" s="2" t="s">
        <v>2445</v>
      </c>
      <c r="U537" s="2" t="s">
        <v>2446</v>
      </c>
    </row>
    <row r="538" customFormat="false" ht="57.45" hidden="false" customHeight="false" outlineLevel="0" collapsed="false">
      <c r="A538" s="2" t="s">
        <v>6676</v>
      </c>
      <c r="B538" s="2" t="s">
        <v>6872</v>
      </c>
      <c r="C538" s="2" t="s">
        <v>6873</v>
      </c>
      <c r="D538" s="2" t="s">
        <v>6874</v>
      </c>
      <c r="E538" s="2" t="s">
        <v>6875</v>
      </c>
      <c r="F538" s="2" t="s">
        <v>34</v>
      </c>
      <c r="G538" s="2" t="s">
        <v>6876</v>
      </c>
      <c r="H538" s="2" t="s">
        <v>6877</v>
      </c>
      <c r="I538" s="2" t="s">
        <v>1236</v>
      </c>
      <c r="J538" s="2" t="s">
        <v>197</v>
      </c>
      <c r="K538" s="2" t="s">
        <v>2499</v>
      </c>
      <c r="L538" s="2" t="s">
        <v>6878</v>
      </c>
      <c r="M538" s="2" t="s">
        <v>6879</v>
      </c>
      <c r="N538" s="2" t="s">
        <v>144</v>
      </c>
      <c r="O538" s="2" t="s">
        <v>6686</v>
      </c>
      <c r="P538" s="2" t="s">
        <v>6880</v>
      </c>
      <c r="Q538" s="2"/>
      <c r="R538" s="2"/>
      <c r="S538" s="2" t="s">
        <v>6881</v>
      </c>
      <c r="T538" s="2" t="s">
        <v>2503</v>
      </c>
      <c r="U538" s="2" t="s">
        <v>6882</v>
      </c>
    </row>
    <row r="539" customFormat="false" ht="79.85" hidden="false" customHeight="false" outlineLevel="0" collapsed="false">
      <c r="A539" s="2" t="s">
        <v>6676</v>
      </c>
      <c r="B539" s="2" t="s">
        <v>6883</v>
      </c>
      <c r="C539" s="2" t="s">
        <v>6884</v>
      </c>
      <c r="D539" s="2" t="s">
        <v>6885</v>
      </c>
      <c r="E539" s="2" t="s">
        <v>6886</v>
      </c>
      <c r="F539" s="2" t="s">
        <v>34</v>
      </c>
      <c r="G539" s="2" t="s">
        <v>6887</v>
      </c>
      <c r="H539" s="2" t="s">
        <v>6888</v>
      </c>
      <c r="I539" s="2" t="s">
        <v>6889</v>
      </c>
      <c r="J539" s="2" t="s">
        <v>460</v>
      </c>
      <c r="K539" s="2" t="s">
        <v>6890</v>
      </c>
      <c r="L539" s="2" t="s">
        <v>6891</v>
      </c>
      <c r="M539" s="2" t="s">
        <v>6892</v>
      </c>
      <c r="N539" s="2" t="s">
        <v>56</v>
      </c>
      <c r="O539" s="2" t="s">
        <v>6686</v>
      </c>
      <c r="P539" s="2" t="s">
        <v>6893</v>
      </c>
      <c r="Q539" s="2" t="s">
        <v>6894</v>
      </c>
      <c r="R539" s="2"/>
      <c r="S539" s="2" t="s">
        <v>6895</v>
      </c>
      <c r="T539" s="2" t="s">
        <v>6896</v>
      </c>
      <c r="U539" s="2" t="s">
        <v>6897</v>
      </c>
    </row>
    <row r="540" customFormat="false" ht="46.25" hidden="false" customHeight="false" outlineLevel="0" collapsed="false">
      <c r="A540" s="2" t="s">
        <v>6676</v>
      </c>
      <c r="B540" s="2" t="s">
        <v>6898</v>
      </c>
      <c r="C540" s="2" t="s">
        <v>6899</v>
      </c>
      <c r="D540" s="2" t="s">
        <v>6900</v>
      </c>
      <c r="E540" s="2" t="s">
        <v>6901</v>
      </c>
      <c r="F540" s="2" t="s">
        <v>34</v>
      </c>
      <c r="G540" s="2" t="s">
        <v>6902</v>
      </c>
      <c r="H540" s="2" t="s">
        <v>6824</v>
      </c>
      <c r="I540" s="2" t="s">
        <v>183</v>
      </c>
      <c r="J540" s="2" t="s">
        <v>225</v>
      </c>
      <c r="K540" s="2" t="s">
        <v>6903</v>
      </c>
      <c r="L540" s="2" t="s">
        <v>6904</v>
      </c>
      <c r="M540" s="2" t="s">
        <v>6905</v>
      </c>
      <c r="N540" s="2" t="s">
        <v>144</v>
      </c>
      <c r="O540" s="2" t="s">
        <v>6686</v>
      </c>
      <c r="P540" s="2" t="s">
        <v>6906</v>
      </c>
      <c r="Q540" s="2" t="s">
        <v>6907</v>
      </c>
      <c r="R540" s="2"/>
      <c r="S540" s="2" t="s">
        <v>6908</v>
      </c>
      <c r="T540" s="2" t="s">
        <v>6909</v>
      </c>
      <c r="U540" s="2" t="s">
        <v>6910</v>
      </c>
    </row>
    <row r="541" customFormat="false" ht="68.65" hidden="false" customHeight="false" outlineLevel="0" collapsed="false">
      <c r="A541" s="2" t="s">
        <v>6676</v>
      </c>
      <c r="B541" s="2" t="s">
        <v>6911</v>
      </c>
      <c r="C541" s="2" t="s">
        <v>6912</v>
      </c>
      <c r="D541" s="2" t="s">
        <v>6913</v>
      </c>
      <c r="E541" s="2" t="s">
        <v>6914</v>
      </c>
      <c r="F541" s="2" t="s">
        <v>280</v>
      </c>
      <c r="G541" s="2" t="s">
        <v>6915</v>
      </c>
      <c r="H541" s="2" t="s">
        <v>58</v>
      </c>
      <c r="I541" s="2" t="s">
        <v>183</v>
      </c>
      <c r="J541" s="2" t="s">
        <v>1545</v>
      </c>
      <c r="K541" s="2" t="s">
        <v>6916</v>
      </c>
      <c r="L541" s="2" t="s">
        <v>6917</v>
      </c>
      <c r="M541" s="2" t="s">
        <v>6918</v>
      </c>
      <c r="N541" s="2" t="s">
        <v>144</v>
      </c>
      <c r="O541" s="2" t="s">
        <v>6686</v>
      </c>
      <c r="P541" s="2" t="s">
        <v>6919</v>
      </c>
      <c r="Q541" s="2" t="s">
        <v>6920</v>
      </c>
      <c r="R541" s="2"/>
      <c r="S541" s="2" t="s">
        <v>6921</v>
      </c>
      <c r="T541" s="2" t="s">
        <v>6922</v>
      </c>
      <c r="U541" s="2" t="s">
        <v>6923</v>
      </c>
    </row>
    <row r="542" customFormat="false" ht="124.6" hidden="false" customHeight="false" outlineLevel="0" collapsed="false">
      <c r="A542" s="2" t="s">
        <v>6676</v>
      </c>
      <c r="B542" s="2" t="s">
        <v>6898</v>
      </c>
      <c r="C542" s="2" t="s">
        <v>6924</v>
      </c>
      <c r="D542" s="2" t="s">
        <v>6925</v>
      </c>
      <c r="E542" s="2" t="s">
        <v>6926</v>
      </c>
      <c r="F542" s="2" t="s">
        <v>34</v>
      </c>
      <c r="G542" s="2" t="s">
        <v>6927</v>
      </c>
      <c r="H542" s="2" t="s">
        <v>6928</v>
      </c>
      <c r="I542" s="2" t="s">
        <v>1248</v>
      </c>
      <c r="J542" s="2" t="s">
        <v>225</v>
      </c>
      <c r="K542" s="2" t="s">
        <v>6929</v>
      </c>
      <c r="L542" s="2" t="s">
        <v>6930</v>
      </c>
      <c r="M542" s="2" t="s">
        <v>6931</v>
      </c>
      <c r="N542" s="2" t="s">
        <v>56</v>
      </c>
      <c r="O542" s="2" t="s">
        <v>6686</v>
      </c>
      <c r="P542" s="2" t="s">
        <v>6932</v>
      </c>
      <c r="Q542" s="2"/>
      <c r="R542" s="2"/>
      <c r="S542" s="2" t="s">
        <v>6933</v>
      </c>
      <c r="T542" s="2" t="s">
        <v>6934</v>
      </c>
      <c r="U542" s="2" t="s">
        <v>6935</v>
      </c>
    </row>
    <row r="543" customFormat="false" ht="102.2" hidden="false" customHeight="false" outlineLevel="0" collapsed="false">
      <c r="A543" s="2" t="s">
        <v>6676</v>
      </c>
      <c r="B543" s="2" t="s">
        <v>6911</v>
      </c>
      <c r="C543" s="2" t="s">
        <v>6936</v>
      </c>
      <c r="D543" s="2" t="s">
        <v>6911</v>
      </c>
      <c r="E543" s="2" t="s">
        <v>6937</v>
      </c>
      <c r="F543" s="2" t="s">
        <v>66</v>
      </c>
      <c r="G543" s="2" t="s">
        <v>6938</v>
      </c>
      <c r="H543" s="2" t="s">
        <v>57</v>
      </c>
      <c r="I543" s="2" t="s">
        <v>6939</v>
      </c>
      <c r="J543" s="2" t="s">
        <v>57</v>
      </c>
      <c r="K543" s="2" t="s">
        <v>6940</v>
      </c>
      <c r="L543" s="2" t="s">
        <v>6941</v>
      </c>
      <c r="M543" s="2" t="s">
        <v>6942</v>
      </c>
      <c r="N543" s="2" t="s">
        <v>144</v>
      </c>
      <c r="O543" s="2" t="s">
        <v>6686</v>
      </c>
      <c r="P543" s="2" t="s">
        <v>6943</v>
      </c>
      <c r="Q543" s="2"/>
      <c r="R543" s="2"/>
      <c r="S543" s="2" t="s">
        <v>6944</v>
      </c>
      <c r="T543" s="2" t="s">
        <v>6945</v>
      </c>
      <c r="U543" s="2" t="s">
        <v>6946</v>
      </c>
    </row>
    <row r="544" customFormat="false" ht="91" hidden="false" customHeight="false" outlineLevel="0" collapsed="false">
      <c r="A544" s="2" t="s">
        <v>6676</v>
      </c>
      <c r="B544" s="2" t="s">
        <v>6947</v>
      </c>
      <c r="C544" s="2" t="s">
        <v>6947</v>
      </c>
      <c r="D544" s="2" t="s">
        <v>6948</v>
      </c>
      <c r="E544" s="2" t="s">
        <v>6949</v>
      </c>
      <c r="F544" s="2" t="s">
        <v>627</v>
      </c>
      <c r="G544" s="2" t="s">
        <v>961</v>
      </c>
      <c r="H544" s="2" t="s">
        <v>629</v>
      </c>
      <c r="I544" s="2" t="s">
        <v>183</v>
      </c>
      <c r="J544" s="2" t="s">
        <v>57</v>
      </c>
      <c r="K544" s="2" t="s">
        <v>6950</v>
      </c>
      <c r="L544" s="2" t="s">
        <v>6951</v>
      </c>
      <c r="M544" s="2" t="s">
        <v>6952</v>
      </c>
      <c r="N544" s="2" t="s">
        <v>144</v>
      </c>
      <c r="O544" s="2" t="s">
        <v>6686</v>
      </c>
      <c r="P544" s="2" t="s">
        <v>6953</v>
      </c>
      <c r="Q544" s="2"/>
      <c r="R544" s="2"/>
      <c r="S544" s="2" t="s">
        <v>6954</v>
      </c>
      <c r="T544" s="2" t="s">
        <v>6955</v>
      </c>
      <c r="U544" s="2" t="s">
        <v>6956</v>
      </c>
    </row>
    <row r="545" customFormat="false" ht="91" hidden="false" customHeight="false" outlineLevel="0" collapsed="false">
      <c r="A545" s="2" t="s">
        <v>6676</v>
      </c>
      <c r="B545" s="2" t="s">
        <v>6947</v>
      </c>
      <c r="C545" s="2" t="s">
        <v>6957</v>
      </c>
      <c r="D545" s="2" t="s">
        <v>6958</v>
      </c>
      <c r="E545" s="2" t="s">
        <v>6959</v>
      </c>
      <c r="F545" s="2" t="s">
        <v>66</v>
      </c>
      <c r="G545" s="2" t="s">
        <v>6960</v>
      </c>
      <c r="H545" s="2" t="s">
        <v>57</v>
      </c>
      <c r="I545" s="2" t="s">
        <v>6961</v>
      </c>
      <c r="J545" s="2" t="s">
        <v>3256</v>
      </c>
      <c r="K545" s="2" t="s">
        <v>6962</v>
      </c>
      <c r="L545" s="2" t="s">
        <v>6963</v>
      </c>
      <c r="M545" s="2" t="s">
        <v>6964</v>
      </c>
      <c r="N545" s="2" t="s">
        <v>56</v>
      </c>
      <c r="O545" s="2" t="s">
        <v>6686</v>
      </c>
      <c r="P545" s="2" t="s">
        <v>6965</v>
      </c>
      <c r="Q545" s="2"/>
      <c r="R545" s="2"/>
      <c r="S545" s="2" t="s">
        <v>6966</v>
      </c>
      <c r="T545" s="2" t="s">
        <v>6967</v>
      </c>
      <c r="U545" s="2" t="s">
        <v>6968</v>
      </c>
    </row>
    <row r="546" customFormat="false" ht="79.85" hidden="false" customHeight="false" outlineLevel="0" collapsed="false">
      <c r="A546" s="2" t="s">
        <v>6676</v>
      </c>
      <c r="B546" s="2" t="s">
        <v>6947</v>
      </c>
      <c r="C546" s="2" t="s">
        <v>6969</v>
      </c>
      <c r="D546" s="2" t="s">
        <v>6970</v>
      </c>
      <c r="E546" s="2" t="s">
        <v>6971</v>
      </c>
      <c r="F546" s="2" t="s">
        <v>193</v>
      </c>
      <c r="G546" s="2" t="s">
        <v>6972</v>
      </c>
      <c r="H546" s="2" t="s">
        <v>2921</v>
      </c>
      <c r="I546" s="2" t="s">
        <v>183</v>
      </c>
      <c r="J546" s="2" t="s">
        <v>6973</v>
      </c>
      <c r="K546" s="2" t="s">
        <v>6974</v>
      </c>
      <c r="L546" s="2" t="s">
        <v>6975</v>
      </c>
      <c r="M546" s="2" t="s">
        <v>6976</v>
      </c>
      <c r="N546" s="2" t="s">
        <v>89</v>
      </c>
      <c r="O546" s="2" t="s">
        <v>6686</v>
      </c>
      <c r="P546" s="2" t="s">
        <v>6977</v>
      </c>
      <c r="Q546" s="2"/>
      <c r="R546" s="2"/>
      <c r="S546" s="2" t="s">
        <v>6978</v>
      </c>
      <c r="T546" s="2" t="s">
        <v>6979</v>
      </c>
      <c r="U546" s="2" t="s">
        <v>6980</v>
      </c>
    </row>
    <row r="547" customFormat="false" ht="113.4" hidden="false" customHeight="false" outlineLevel="0" collapsed="false">
      <c r="A547" s="2" t="s">
        <v>6676</v>
      </c>
      <c r="B547" s="2" t="s">
        <v>6981</v>
      </c>
      <c r="C547" s="2" t="s">
        <v>6982</v>
      </c>
      <c r="D547" s="2" t="s">
        <v>6983</v>
      </c>
      <c r="E547" s="2" t="s">
        <v>6984</v>
      </c>
      <c r="F547" s="2" t="s">
        <v>34</v>
      </c>
      <c r="G547" s="2" t="s">
        <v>6985</v>
      </c>
      <c r="H547" s="2" t="s">
        <v>6986</v>
      </c>
      <c r="I547" s="2" t="s">
        <v>1248</v>
      </c>
      <c r="J547" s="2" t="s">
        <v>3734</v>
      </c>
      <c r="K547" s="2" t="s">
        <v>6987</v>
      </c>
      <c r="L547" s="2" t="s">
        <v>6988</v>
      </c>
      <c r="M547" s="2" t="s">
        <v>6989</v>
      </c>
      <c r="N547" s="2" t="s">
        <v>144</v>
      </c>
      <c r="O547" s="2" t="s">
        <v>6686</v>
      </c>
      <c r="P547" s="2" t="s">
        <v>58</v>
      </c>
      <c r="Q547" s="2"/>
      <c r="R547" s="2"/>
      <c r="S547" s="2" t="s">
        <v>6990</v>
      </c>
      <c r="T547" s="2" t="s">
        <v>6991</v>
      </c>
      <c r="U547" s="2" t="s">
        <v>6992</v>
      </c>
    </row>
    <row r="548" customFormat="false" ht="79.85" hidden="false" customHeight="false" outlineLevel="0" collapsed="false">
      <c r="A548" s="2" t="s">
        <v>6676</v>
      </c>
      <c r="B548" s="2" t="s">
        <v>3762</v>
      </c>
      <c r="C548" s="2" t="s">
        <v>6993</v>
      </c>
      <c r="D548" s="2" t="s">
        <v>6994</v>
      </c>
      <c r="E548" s="2" t="s">
        <v>3777</v>
      </c>
      <c r="F548" s="2" t="s">
        <v>34</v>
      </c>
      <c r="G548" s="2" t="s">
        <v>6995</v>
      </c>
      <c r="H548" s="2" t="s">
        <v>6996</v>
      </c>
      <c r="I548" s="2" t="s">
        <v>3780</v>
      </c>
      <c r="J548" s="2" t="s">
        <v>3781</v>
      </c>
      <c r="K548" s="2" t="s">
        <v>6997</v>
      </c>
      <c r="L548" s="2" t="s">
        <v>6998</v>
      </c>
      <c r="M548" s="2" t="s">
        <v>6999</v>
      </c>
      <c r="N548" s="2" t="s">
        <v>144</v>
      </c>
      <c r="O548" s="2" t="s">
        <v>6686</v>
      </c>
      <c r="P548" s="2" t="s">
        <v>7000</v>
      </c>
      <c r="Q548" s="2" t="s">
        <v>7001</v>
      </c>
      <c r="R548" s="2"/>
      <c r="S548" s="2" t="s">
        <v>7002</v>
      </c>
      <c r="T548" s="2" t="s">
        <v>7003</v>
      </c>
      <c r="U548" s="2" t="s">
        <v>3789</v>
      </c>
    </row>
    <row r="549" customFormat="false" ht="158.2" hidden="false" customHeight="false" outlineLevel="0" collapsed="false">
      <c r="A549" s="2" t="s">
        <v>6676</v>
      </c>
      <c r="B549" s="2" t="s">
        <v>3762</v>
      </c>
      <c r="C549" s="2" t="s">
        <v>7004</v>
      </c>
      <c r="D549" s="2" t="s">
        <v>7005</v>
      </c>
      <c r="E549" s="2" t="s">
        <v>7006</v>
      </c>
      <c r="F549" s="2" t="s">
        <v>34</v>
      </c>
      <c r="G549" s="2" t="s">
        <v>321</v>
      </c>
      <c r="H549" s="2" t="s">
        <v>7007</v>
      </c>
      <c r="I549" s="2" t="s">
        <v>183</v>
      </c>
      <c r="J549" s="2" t="s">
        <v>197</v>
      </c>
      <c r="K549" s="2" t="s">
        <v>7008</v>
      </c>
      <c r="L549" s="2" t="s">
        <v>7009</v>
      </c>
      <c r="M549" s="2" t="s">
        <v>7010</v>
      </c>
      <c r="N549" s="2" t="s">
        <v>89</v>
      </c>
      <c r="O549" s="2" t="s">
        <v>6686</v>
      </c>
      <c r="P549" s="2" t="s">
        <v>7011</v>
      </c>
      <c r="Q549" s="2"/>
      <c r="R549" s="2"/>
      <c r="S549" s="2" t="s">
        <v>7012</v>
      </c>
      <c r="T549" s="2" t="s">
        <v>7013</v>
      </c>
      <c r="U549" s="2" t="s">
        <v>7014</v>
      </c>
    </row>
    <row r="550" customFormat="false" ht="79.85" hidden="false" customHeight="false" outlineLevel="0" collapsed="false">
      <c r="A550" s="2" t="s">
        <v>6676</v>
      </c>
      <c r="B550" s="2" t="s">
        <v>3762</v>
      </c>
      <c r="C550" s="2" t="s">
        <v>7015</v>
      </c>
      <c r="D550" s="2" t="s">
        <v>7016</v>
      </c>
      <c r="E550" s="2" t="s">
        <v>7017</v>
      </c>
      <c r="F550" s="2" t="s">
        <v>193</v>
      </c>
      <c r="G550" s="2" t="s">
        <v>321</v>
      </c>
      <c r="H550" s="2" t="s">
        <v>2732</v>
      </c>
      <c r="I550" s="2" t="s">
        <v>7018</v>
      </c>
      <c r="J550" s="2" t="s">
        <v>588</v>
      </c>
      <c r="K550" s="2" t="s">
        <v>7019</v>
      </c>
      <c r="L550" s="2" t="s">
        <v>7020</v>
      </c>
      <c r="M550" s="2" t="s">
        <v>7021</v>
      </c>
      <c r="N550" s="2" t="s">
        <v>89</v>
      </c>
      <c r="O550" s="2" t="s">
        <v>6686</v>
      </c>
      <c r="P550" s="2" t="s">
        <v>7022</v>
      </c>
      <c r="Q550" s="2"/>
      <c r="R550" s="2"/>
      <c r="S550" s="2" t="s">
        <v>7023</v>
      </c>
      <c r="T550" s="2" t="s">
        <v>3810</v>
      </c>
      <c r="U550" s="2" t="s">
        <v>3811</v>
      </c>
    </row>
    <row r="551" customFormat="false" ht="68.65" hidden="false" customHeight="false" outlineLevel="0" collapsed="false">
      <c r="A551" s="2" t="s">
        <v>6676</v>
      </c>
      <c r="B551" s="2" t="s">
        <v>7024</v>
      </c>
      <c r="C551" s="2" t="s">
        <v>7025</v>
      </c>
      <c r="D551" s="2" t="s">
        <v>7026</v>
      </c>
      <c r="E551" s="2" t="s">
        <v>7027</v>
      </c>
      <c r="F551" s="2" t="s">
        <v>81</v>
      </c>
      <c r="G551" s="2" t="s">
        <v>7028</v>
      </c>
      <c r="H551" s="2" t="s">
        <v>7029</v>
      </c>
      <c r="I551" s="2" t="s">
        <v>7030</v>
      </c>
      <c r="J551" s="2" t="s">
        <v>7031</v>
      </c>
      <c r="K551" s="2" t="s">
        <v>7032</v>
      </c>
      <c r="L551" s="2" t="s">
        <v>7033</v>
      </c>
      <c r="M551" s="2" t="s">
        <v>7034</v>
      </c>
      <c r="N551" s="2" t="s">
        <v>144</v>
      </c>
      <c r="O551" s="2" t="s">
        <v>6686</v>
      </c>
      <c r="P551" s="2" t="s">
        <v>7035</v>
      </c>
      <c r="Q551" s="2"/>
      <c r="R551" s="2"/>
      <c r="S551" s="2" t="s">
        <v>7036</v>
      </c>
      <c r="T551" s="2" t="s">
        <v>1747</v>
      </c>
      <c r="U551" s="2" t="s">
        <v>1748</v>
      </c>
    </row>
    <row r="552" customFormat="false" ht="46.25" hidden="false" customHeight="false" outlineLevel="0" collapsed="false">
      <c r="A552" s="2" t="s">
        <v>6676</v>
      </c>
      <c r="B552" s="2" t="s">
        <v>7037</v>
      </c>
      <c r="C552" s="2" t="s">
        <v>7037</v>
      </c>
      <c r="D552" s="2" t="s">
        <v>7038</v>
      </c>
      <c r="E552" s="2" t="s">
        <v>7039</v>
      </c>
      <c r="F552" s="2" t="s">
        <v>81</v>
      </c>
      <c r="G552" s="2" t="s">
        <v>7040</v>
      </c>
      <c r="H552" s="2" t="s">
        <v>7041</v>
      </c>
      <c r="I552" s="2" t="s">
        <v>7042</v>
      </c>
      <c r="J552" s="2" t="s">
        <v>7043</v>
      </c>
      <c r="K552" s="2" t="s">
        <v>7044</v>
      </c>
      <c r="L552" s="2" t="s">
        <v>6295</v>
      </c>
      <c r="M552" s="2" t="s">
        <v>7045</v>
      </c>
      <c r="N552" s="2" t="s">
        <v>144</v>
      </c>
      <c r="O552" s="2" t="s">
        <v>6686</v>
      </c>
      <c r="P552" s="2" t="s">
        <v>7046</v>
      </c>
      <c r="Q552" s="2"/>
      <c r="R552" s="2"/>
      <c r="S552" s="2" t="s">
        <v>7047</v>
      </c>
      <c r="T552" s="2" t="s">
        <v>7048</v>
      </c>
      <c r="U552" s="2" t="s">
        <v>7049</v>
      </c>
    </row>
    <row r="553" customFormat="false" ht="124.6" hidden="false" customHeight="false" outlineLevel="0" collapsed="false">
      <c r="A553" s="2" t="s">
        <v>6676</v>
      </c>
      <c r="B553" s="2" t="s">
        <v>7050</v>
      </c>
      <c r="C553" s="2" t="s">
        <v>7051</v>
      </c>
      <c r="D553" s="2" t="s">
        <v>7052</v>
      </c>
      <c r="E553" s="2" t="s">
        <v>7053</v>
      </c>
      <c r="F553" s="2" t="s">
        <v>347</v>
      </c>
      <c r="G553" s="2" t="s">
        <v>7054</v>
      </c>
      <c r="H553" s="2" t="s">
        <v>7055</v>
      </c>
      <c r="I553" s="2" t="s">
        <v>7056</v>
      </c>
      <c r="J553" s="2" t="s">
        <v>197</v>
      </c>
      <c r="K553" s="2" t="s">
        <v>7057</v>
      </c>
      <c r="L553" s="2" t="s">
        <v>7058</v>
      </c>
      <c r="M553" s="2" t="s">
        <v>7059</v>
      </c>
      <c r="N553" s="2" t="s">
        <v>144</v>
      </c>
      <c r="O553" s="2" t="s">
        <v>6686</v>
      </c>
      <c r="P553" s="2" t="s">
        <v>7060</v>
      </c>
      <c r="Q553" s="2"/>
      <c r="R553" s="2"/>
      <c r="S553" s="2" t="s">
        <v>7061</v>
      </c>
      <c r="T553" s="2" t="s">
        <v>7062</v>
      </c>
      <c r="U553" s="2" t="s">
        <v>7063</v>
      </c>
    </row>
    <row r="554" customFormat="false" ht="46.25" hidden="false" customHeight="false" outlineLevel="0" collapsed="false">
      <c r="A554" s="2" t="s">
        <v>6676</v>
      </c>
      <c r="B554" s="2" t="s">
        <v>7064</v>
      </c>
      <c r="C554" s="2" t="s">
        <v>7064</v>
      </c>
      <c r="D554" s="2" t="s">
        <v>7026</v>
      </c>
      <c r="E554" s="2" t="s">
        <v>7065</v>
      </c>
      <c r="F554" s="2" t="s">
        <v>81</v>
      </c>
      <c r="G554" s="2" t="s">
        <v>7028</v>
      </c>
      <c r="H554" s="2" t="s">
        <v>7066</v>
      </c>
      <c r="I554" s="2" t="s">
        <v>7067</v>
      </c>
      <c r="J554" s="2" t="s">
        <v>7068</v>
      </c>
      <c r="K554" s="2" t="s">
        <v>7069</v>
      </c>
      <c r="L554" s="2" t="s">
        <v>7070</v>
      </c>
      <c r="M554" s="2" t="s">
        <v>7071</v>
      </c>
      <c r="N554" s="2" t="s">
        <v>144</v>
      </c>
      <c r="O554" s="2" t="s">
        <v>6686</v>
      </c>
      <c r="P554" s="2" t="s">
        <v>7072</v>
      </c>
      <c r="Q554" s="2"/>
      <c r="R554" s="2"/>
      <c r="S554" s="2" t="s">
        <v>7073</v>
      </c>
      <c r="T554" s="2" t="s">
        <v>7074</v>
      </c>
      <c r="U554" s="2" t="s">
        <v>7075</v>
      </c>
    </row>
    <row r="555" customFormat="false" ht="79.85" hidden="false" customHeight="false" outlineLevel="0" collapsed="false">
      <c r="A555" s="2" t="s">
        <v>6676</v>
      </c>
      <c r="B555" s="2" t="s">
        <v>7076</v>
      </c>
      <c r="C555" s="2" t="s">
        <v>7077</v>
      </c>
      <c r="D555" s="2" t="s">
        <v>7078</v>
      </c>
      <c r="E555" s="2" t="s">
        <v>7079</v>
      </c>
      <c r="F555" s="2" t="s">
        <v>34</v>
      </c>
      <c r="G555" s="2" t="s">
        <v>7080</v>
      </c>
      <c r="H555" s="2" t="s">
        <v>7081</v>
      </c>
      <c r="I555" s="2" t="s">
        <v>7082</v>
      </c>
      <c r="J555" s="2" t="s">
        <v>38</v>
      </c>
      <c r="K555" s="2" t="s">
        <v>7083</v>
      </c>
      <c r="L555" s="2" t="s">
        <v>7084</v>
      </c>
      <c r="M555" s="2" t="s">
        <v>7085</v>
      </c>
      <c r="N555" s="2" t="s">
        <v>72</v>
      </c>
      <c r="O555" s="2" t="s">
        <v>6686</v>
      </c>
      <c r="P555" s="2" t="s">
        <v>7086</v>
      </c>
      <c r="Q555" s="2"/>
      <c r="R555" s="2"/>
      <c r="S555" s="2" t="s">
        <v>7087</v>
      </c>
      <c r="T555" s="2" t="s">
        <v>7088</v>
      </c>
      <c r="U555" s="2" t="s">
        <v>7089</v>
      </c>
    </row>
    <row r="556" customFormat="false" ht="91" hidden="false" customHeight="false" outlineLevel="0" collapsed="false">
      <c r="A556" s="2" t="s">
        <v>6676</v>
      </c>
      <c r="B556" s="2" t="s">
        <v>7090</v>
      </c>
      <c r="C556" s="2" t="s">
        <v>7091</v>
      </c>
      <c r="D556" s="2" t="s">
        <v>7092</v>
      </c>
      <c r="E556" s="2" t="s">
        <v>7093</v>
      </c>
      <c r="F556" s="2" t="s">
        <v>34</v>
      </c>
      <c r="G556" s="2" t="s">
        <v>7094</v>
      </c>
      <c r="H556" s="2" t="s">
        <v>7095</v>
      </c>
      <c r="I556" s="2" t="s">
        <v>7096</v>
      </c>
      <c r="J556" s="2" t="s">
        <v>7097</v>
      </c>
      <c r="K556" s="2" t="s">
        <v>7098</v>
      </c>
      <c r="L556" s="2" t="s">
        <v>7099</v>
      </c>
      <c r="M556" s="2" t="s">
        <v>7100</v>
      </c>
      <c r="N556" s="2" t="s">
        <v>42</v>
      </c>
      <c r="O556" s="2" t="s">
        <v>6686</v>
      </c>
      <c r="P556" s="2" t="s">
        <v>7101</v>
      </c>
      <c r="Q556" s="2"/>
      <c r="R556" s="2"/>
      <c r="S556" s="2" t="s">
        <v>7102</v>
      </c>
      <c r="T556" s="2" t="s">
        <v>7103</v>
      </c>
      <c r="U556" s="2" t="s">
        <v>7104</v>
      </c>
    </row>
    <row r="557" customFormat="false" ht="46.25" hidden="false" customHeight="false" outlineLevel="0" collapsed="false">
      <c r="A557" s="2" t="s">
        <v>6676</v>
      </c>
      <c r="B557" s="2" t="s">
        <v>7105</v>
      </c>
      <c r="C557" s="2" t="s">
        <v>7106</v>
      </c>
      <c r="D557" s="2" t="s">
        <v>7107</v>
      </c>
      <c r="E557" s="2" t="s">
        <v>7108</v>
      </c>
      <c r="F557" s="2" t="s">
        <v>66</v>
      </c>
      <c r="G557" s="2" t="s">
        <v>7109</v>
      </c>
      <c r="H557" s="2" t="s">
        <v>57</v>
      </c>
      <c r="I557" s="2" t="s">
        <v>359</v>
      </c>
      <c r="J557" s="2" t="s">
        <v>4173</v>
      </c>
      <c r="K557" s="2" t="s">
        <v>7110</v>
      </c>
      <c r="L557" s="2" t="s">
        <v>7111</v>
      </c>
      <c r="M557" s="2" t="s">
        <v>7112</v>
      </c>
      <c r="N557" s="2" t="s">
        <v>144</v>
      </c>
      <c r="O557" s="2" t="s">
        <v>6686</v>
      </c>
      <c r="P557" s="2" t="s">
        <v>7113</v>
      </c>
      <c r="Q557" s="2"/>
      <c r="R557" s="2"/>
      <c r="S557" s="2" t="s">
        <v>7114</v>
      </c>
      <c r="T557" s="2" t="s">
        <v>7115</v>
      </c>
      <c r="U557" s="2" t="s">
        <v>7116</v>
      </c>
    </row>
    <row r="558" customFormat="false" ht="102.2" hidden="false" customHeight="false" outlineLevel="0" collapsed="false">
      <c r="A558" s="2" t="s">
        <v>6676</v>
      </c>
      <c r="B558" s="2" t="s">
        <v>7117</v>
      </c>
      <c r="C558" s="2" t="s">
        <v>7117</v>
      </c>
      <c r="D558" s="2" t="s">
        <v>7118</v>
      </c>
      <c r="E558" s="2" t="s">
        <v>7119</v>
      </c>
      <c r="F558" s="2" t="s">
        <v>66</v>
      </c>
      <c r="G558" s="2" t="s">
        <v>7120</v>
      </c>
      <c r="H558" s="2" t="s">
        <v>7121</v>
      </c>
      <c r="I558" s="2" t="s">
        <v>372</v>
      </c>
      <c r="J558" s="2" t="s">
        <v>7122</v>
      </c>
      <c r="K558" s="2" t="s">
        <v>7123</v>
      </c>
      <c r="L558" s="2" t="s">
        <v>7124</v>
      </c>
      <c r="M558" s="2" t="s">
        <v>7125</v>
      </c>
      <c r="N558" s="2" t="s">
        <v>144</v>
      </c>
      <c r="O558" s="2" t="s">
        <v>6686</v>
      </c>
      <c r="P558" s="2" t="s">
        <v>7126</v>
      </c>
      <c r="Q558" s="2"/>
      <c r="R558" s="2"/>
      <c r="S558" s="2" t="s">
        <v>7127</v>
      </c>
      <c r="T558" s="2" t="s">
        <v>7128</v>
      </c>
      <c r="U558" s="2" t="s">
        <v>7129</v>
      </c>
    </row>
    <row r="559" customFormat="false" ht="46.25" hidden="false" customHeight="false" outlineLevel="0" collapsed="false">
      <c r="A559" s="2" t="s">
        <v>6676</v>
      </c>
      <c r="B559" s="2" t="s">
        <v>7130</v>
      </c>
      <c r="C559" s="2" t="s">
        <v>7130</v>
      </c>
      <c r="D559" s="2" t="s">
        <v>7131</v>
      </c>
      <c r="E559" s="2" t="s">
        <v>7132</v>
      </c>
      <c r="F559" s="2" t="s">
        <v>81</v>
      </c>
      <c r="G559" s="2" t="s">
        <v>307</v>
      </c>
      <c r="H559" s="2" t="s">
        <v>7133</v>
      </c>
      <c r="I559" s="2" t="s">
        <v>7134</v>
      </c>
      <c r="J559" s="2" t="s">
        <v>307</v>
      </c>
      <c r="K559" s="2" t="s">
        <v>7135</v>
      </c>
      <c r="L559" s="2" t="s">
        <v>7136</v>
      </c>
      <c r="M559" s="2" t="s">
        <v>7137</v>
      </c>
      <c r="N559" s="2" t="s">
        <v>144</v>
      </c>
      <c r="O559" s="2" t="s">
        <v>6686</v>
      </c>
      <c r="P559" s="2" t="s">
        <v>57</v>
      </c>
      <c r="Q559" s="2"/>
      <c r="R559" s="2"/>
      <c r="S559" s="2" t="s">
        <v>7138</v>
      </c>
      <c r="T559" s="2" t="s">
        <v>7139</v>
      </c>
      <c r="U559" s="2" t="s">
        <v>7140</v>
      </c>
    </row>
    <row r="560" customFormat="false" ht="46.25" hidden="false" customHeight="false" outlineLevel="0" collapsed="false">
      <c r="A560" s="2" t="s">
        <v>6676</v>
      </c>
      <c r="B560" s="2" t="s">
        <v>7141</v>
      </c>
      <c r="C560" s="2" t="s">
        <v>7142</v>
      </c>
      <c r="D560" s="2" t="s">
        <v>7143</v>
      </c>
      <c r="E560" s="2" t="s">
        <v>7144</v>
      </c>
      <c r="F560" s="2" t="s">
        <v>347</v>
      </c>
      <c r="G560" s="2" t="s">
        <v>7145</v>
      </c>
      <c r="H560" s="2" t="s">
        <v>7146</v>
      </c>
      <c r="I560" s="2" t="s">
        <v>7147</v>
      </c>
      <c r="J560" s="2" t="s">
        <v>2293</v>
      </c>
      <c r="K560" s="2" t="s">
        <v>7148</v>
      </c>
      <c r="L560" s="2" t="s">
        <v>7149</v>
      </c>
      <c r="M560" s="2" t="s">
        <v>7150</v>
      </c>
      <c r="N560" s="2" t="s">
        <v>144</v>
      </c>
      <c r="O560" s="2" t="s">
        <v>6686</v>
      </c>
      <c r="P560" s="2" t="s">
        <v>7151</v>
      </c>
      <c r="Q560" s="2"/>
      <c r="R560" s="2"/>
      <c r="S560" s="2" t="s">
        <v>7152</v>
      </c>
      <c r="T560" s="2" t="s">
        <v>7153</v>
      </c>
      <c r="U560" s="2" t="s">
        <v>7154</v>
      </c>
    </row>
    <row r="561" customFormat="false" ht="79.85" hidden="false" customHeight="false" outlineLevel="0" collapsed="false">
      <c r="A561" s="2" t="s">
        <v>6676</v>
      </c>
      <c r="B561" s="2" t="s">
        <v>7155</v>
      </c>
      <c r="C561" s="2" t="s">
        <v>7156</v>
      </c>
      <c r="D561" s="2" t="s">
        <v>4151</v>
      </c>
      <c r="E561" s="2" t="s">
        <v>7157</v>
      </c>
      <c r="F561" s="2" t="s">
        <v>34</v>
      </c>
      <c r="G561" s="2" t="s">
        <v>7158</v>
      </c>
      <c r="H561" s="2" t="s">
        <v>7159</v>
      </c>
      <c r="I561" s="2" t="s">
        <v>7160</v>
      </c>
      <c r="J561" s="2" t="s">
        <v>1385</v>
      </c>
      <c r="K561" s="2" t="s">
        <v>7161</v>
      </c>
      <c r="L561" s="2" t="s">
        <v>7162</v>
      </c>
      <c r="M561" s="2" t="s">
        <v>7163</v>
      </c>
      <c r="N561" s="2" t="s">
        <v>144</v>
      </c>
      <c r="O561" s="2" t="s">
        <v>6686</v>
      </c>
      <c r="P561" s="2" t="s">
        <v>7164</v>
      </c>
      <c r="Q561" s="2"/>
      <c r="R561" s="2"/>
      <c r="S561" s="2" t="s">
        <v>7165</v>
      </c>
      <c r="T561" s="2" t="s">
        <v>7166</v>
      </c>
      <c r="U561" s="2" t="s">
        <v>7167</v>
      </c>
    </row>
    <row r="562" customFormat="false" ht="46.25" hidden="false" customHeight="false" outlineLevel="0" collapsed="false">
      <c r="A562" s="2" t="s">
        <v>6676</v>
      </c>
      <c r="B562" s="2" t="s">
        <v>2576</v>
      </c>
      <c r="C562" s="2" t="s">
        <v>7168</v>
      </c>
      <c r="D562" s="2" t="s">
        <v>2239</v>
      </c>
      <c r="E562" s="2" t="s">
        <v>2228</v>
      </c>
      <c r="F562" s="2" t="s">
        <v>280</v>
      </c>
      <c r="G562" s="2" t="s">
        <v>5908</v>
      </c>
      <c r="H562" s="2" t="s">
        <v>600</v>
      </c>
      <c r="I562" s="2" t="s">
        <v>7169</v>
      </c>
      <c r="J562" s="2" t="s">
        <v>7170</v>
      </c>
      <c r="K562" s="2" t="s">
        <v>7171</v>
      </c>
      <c r="L562" s="2" t="s">
        <v>7172</v>
      </c>
      <c r="M562" s="2" t="s">
        <v>7173</v>
      </c>
      <c r="N562" s="2" t="s">
        <v>144</v>
      </c>
      <c r="O562" s="2" t="s">
        <v>6686</v>
      </c>
      <c r="P562" s="2" t="s">
        <v>7174</v>
      </c>
      <c r="Q562" s="2"/>
      <c r="R562" s="2"/>
      <c r="S562" s="2" t="s">
        <v>7175</v>
      </c>
      <c r="T562" s="2" t="s">
        <v>7176</v>
      </c>
      <c r="U562" s="2" t="s">
        <v>2238</v>
      </c>
    </row>
    <row r="563" customFormat="false" ht="91" hidden="false" customHeight="false" outlineLevel="0" collapsed="false">
      <c r="A563" s="2" t="s">
        <v>6676</v>
      </c>
      <c r="B563" s="2" t="s">
        <v>2810</v>
      </c>
      <c r="C563" s="2" t="s">
        <v>7177</v>
      </c>
      <c r="D563" s="2" t="s">
        <v>2812</v>
      </c>
      <c r="E563" s="2" t="s">
        <v>7178</v>
      </c>
      <c r="F563" s="2" t="s">
        <v>66</v>
      </c>
      <c r="G563" s="2" t="s">
        <v>5897</v>
      </c>
      <c r="H563" s="2" t="s">
        <v>57</v>
      </c>
      <c r="I563" s="2" t="s">
        <v>2788</v>
      </c>
      <c r="J563" s="2" t="s">
        <v>1993</v>
      </c>
      <c r="K563" s="2" t="s">
        <v>2810</v>
      </c>
      <c r="L563" s="2" t="s">
        <v>7179</v>
      </c>
      <c r="M563" s="2" t="s">
        <v>7180</v>
      </c>
      <c r="N563" s="2" t="s">
        <v>144</v>
      </c>
      <c r="O563" s="2" t="s">
        <v>6686</v>
      </c>
      <c r="P563" s="2" t="s">
        <v>7181</v>
      </c>
      <c r="Q563" s="2"/>
      <c r="R563" s="2"/>
      <c r="S563" s="2" t="s">
        <v>7182</v>
      </c>
      <c r="T563" s="2" t="s">
        <v>7183</v>
      </c>
      <c r="U563" s="2" t="s">
        <v>7184</v>
      </c>
    </row>
    <row r="564" customFormat="false" ht="79.85" hidden="false" customHeight="false" outlineLevel="0" collapsed="false">
      <c r="A564" s="2" t="s">
        <v>6676</v>
      </c>
      <c r="B564" s="2" t="s">
        <v>2365</v>
      </c>
      <c r="C564" s="2" t="s">
        <v>7185</v>
      </c>
      <c r="D564" s="2" t="s">
        <v>7186</v>
      </c>
      <c r="E564" s="2" t="s">
        <v>7187</v>
      </c>
      <c r="F564" s="2" t="s">
        <v>193</v>
      </c>
      <c r="G564" s="2" t="s">
        <v>5897</v>
      </c>
      <c r="H564" s="2" t="s">
        <v>1600</v>
      </c>
      <c r="I564" s="2" t="s">
        <v>7188</v>
      </c>
      <c r="J564" s="2" t="s">
        <v>349</v>
      </c>
      <c r="K564" s="2" t="s">
        <v>7189</v>
      </c>
      <c r="L564" s="2" t="s">
        <v>4933</v>
      </c>
      <c r="M564" s="2" t="s">
        <v>7190</v>
      </c>
      <c r="N564" s="2" t="s">
        <v>89</v>
      </c>
      <c r="O564" s="2" t="s">
        <v>6686</v>
      </c>
      <c r="P564" s="2" t="s">
        <v>7191</v>
      </c>
      <c r="Q564" s="2"/>
      <c r="R564" s="2"/>
      <c r="S564" s="2" t="s">
        <v>7192</v>
      </c>
      <c r="T564" s="2" t="s">
        <v>7193</v>
      </c>
      <c r="U564" s="2" t="s">
        <v>7194</v>
      </c>
    </row>
    <row r="565" customFormat="false" ht="79.85" hidden="false" customHeight="false" outlineLevel="0" collapsed="false">
      <c r="A565" s="2" t="s">
        <v>6676</v>
      </c>
      <c r="B565" s="2" t="s">
        <v>7064</v>
      </c>
      <c r="C565" s="2" t="s">
        <v>7195</v>
      </c>
      <c r="D565" s="2" t="s">
        <v>7196</v>
      </c>
      <c r="E565" s="2" t="s">
        <v>7197</v>
      </c>
      <c r="F565" s="2" t="s">
        <v>193</v>
      </c>
      <c r="G565" s="2" t="s">
        <v>7198</v>
      </c>
      <c r="H565" s="2" t="s">
        <v>6143</v>
      </c>
      <c r="I565" s="2" t="s">
        <v>7199</v>
      </c>
      <c r="J565" s="2" t="s">
        <v>38</v>
      </c>
      <c r="K565" s="2" t="s">
        <v>7200</v>
      </c>
      <c r="L565" s="2" t="s">
        <v>7201</v>
      </c>
      <c r="M565" s="2" t="s">
        <v>7202</v>
      </c>
      <c r="N565" s="2" t="s">
        <v>89</v>
      </c>
      <c r="O565" s="2" t="s">
        <v>6686</v>
      </c>
      <c r="P565" s="2" t="s">
        <v>7203</v>
      </c>
      <c r="Q565" s="2"/>
      <c r="R565" s="2"/>
      <c r="S565" s="2" t="s">
        <v>7204</v>
      </c>
      <c r="T565" s="2" t="s">
        <v>7205</v>
      </c>
      <c r="U565" s="2" t="s">
        <v>7206</v>
      </c>
    </row>
    <row r="566" customFormat="false" ht="46.25" hidden="false" customHeight="false" outlineLevel="0" collapsed="false">
      <c r="A566" s="2" t="s">
        <v>7207</v>
      </c>
      <c r="B566" s="2" t="s">
        <v>7208</v>
      </c>
      <c r="C566" s="2" t="s">
        <v>7209</v>
      </c>
      <c r="D566" s="2" t="s">
        <v>7210</v>
      </c>
      <c r="E566" s="2" t="s">
        <v>7211</v>
      </c>
      <c r="F566" s="2" t="s">
        <v>34</v>
      </c>
      <c r="G566" s="2" t="s">
        <v>1768</v>
      </c>
      <c r="H566" s="2" t="s">
        <v>322</v>
      </c>
      <c r="I566" s="2" t="s">
        <v>1517</v>
      </c>
      <c r="J566" s="2" t="s">
        <v>38</v>
      </c>
      <c r="K566" s="2" t="s">
        <v>7212</v>
      </c>
      <c r="L566" s="2" t="s">
        <v>7213</v>
      </c>
      <c r="M566" s="2" t="s">
        <v>7214</v>
      </c>
      <c r="N566" s="2" t="s">
        <v>144</v>
      </c>
      <c r="O566" s="2" t="s">
        <v>7215</v>
      </c>
      <c r="P566" s="2" t="s">
        <v>6194</v>
      </c>
      <c r="Q566" s="2"/>
      <c r="R566" s="2"/>
      <c r="S566" s="2" t="s">
        <v>7216</v>
      </c>
      <c r="T566" s="2" t="s">
        <v>7217</v>
      </c>
      <c r="U566" s="2" t="s">
        <v>7218</v>
      </c>
    </row>
    <row r="567" customFormat="false" ht="46.25" hidden="false" customHeight="false" outlineLevel="0" collapsed="false">
      <c r="A567" s="2" t="s">
        <v>7207</v>
      </c>
      <c r="B567" s="2" t="s">
        <v>344</v>
      </c>
      <c r="C567" s="2" t="s">
        <v>7219</v>
      </c>
      <c r="D567" s="2" t="s">
        <v>7220</v>
      </c>
      <c r="E567" s="2" t="s">
        <v>7221</v>
      </c>
      <c r="F567" s="2" t="s">
        <v>347</v>
      </c>
      <c r="G567" s="2" t="s">
        <v>7222</v>
      </c>
      <c r="H567" s="2" t="s">
        <v>58</v>
      </c>
      <c r="I567" s="2" t="s">
        <v>183</v>
      </c>
      <c r="J567" s="2" t="s">
        <v>349</v>
      </c>
      <c r="K567" s="2" t="s">
        <v>7223</v>
      </c>
      <c r="L567" s="2" t="s">
        <v>351</v>
      </c>
      <c r="M567" s="2" t="s">
        <v>7224</v>
      </c>
      <c r="N567" s="2" t="s">
        <v>144</v>
      </c>
      <c r="O567" s="2" t="s">
        <v>58</v>
      </c>
      <c r="P567" s="2" t="s">
        <v>6194</v>
      </c>
      <c r="Q567" s="2" t="s">
        <v>7225</v>
      </c>
      <c r="R567" s="2"/>
      <c r="S567" s="2" t="s">
        <v>7226</v>
      </c>
      <c r="T567" s="2" t="s">
        <v>7227</v>
      </c>
      <c r="U567" s="2" t="s">
        <v>7228</v>
      </c>
    </row>
    <row r="568" customFormat="false" ht="46.25" hidden="false" customHeight="false" outlineLevel="0" collapsed="false">
      <c r="A568" s="2" t="s">
        <v>7207</v>
      </c>
      <c r="B568" s="2" t="s">
        <v>344</v>
      </c>
      <c r="C568" s="2" t="s">
        <v>7229</v>
      </c>
      <c r="D568" s="2" t="s">
        <v>7230</v>
      </c>
      <c r="E568" s="2" t="s">
        <v>7231</v>
      </c>
      <c r="F568" s="2" t="s">
        <v>66</v>
      </c>
      <c r="G568" s="2" t="s">
        <v>7232</v>
      </c>
      <c r="H568" s="2" t="s">
        <v>58</v>
      </c>
      <c r="I568" s="2" t="s">
        <v>7233</v>
      </c>
      <c r="J568" s="2" t="s">
        <v>7234</v>
      </c>
      <c r="K568" s="2" t="s">
        <v>7235</v>
      </c>
      <c r="L568" s="2" t="s">
        <v>7236</v>
      </c>
      <c r="M568" s="2" t="s">
        <v>7237</v>
      </c>
      <c r="N568" s="2" t="s">
        <v>144</v>
      </c>
      <c r="O568" s="2" t="s">
        <v>57</v>
      </c>
      <c r="P568" s="2" t="s">
        <v>6194</v>
      </c>
      <c r="Q568" s="2"/>
      <c r="R568" s="2"/>
      <c r="S568" s="2" t="s">
        <v>7238</v>
      </c>
      <c r="T568" s="2" t="s">
        <v>7239</v>
      </c>
      <c r="U568" s="2" t="s">
        <v>7240</v>
      </c>
    </row>
    <row r="569" customFormat="false" ht="79.85" hidden="false" customHeight="false" outlineLevel="0" collapsed="false">
      <c r="A569" s="2" t="s">
        <v>7207</v>
      </c>
      <c r="B569" s="2" t="s">
        <v>7208</v>
      </c>
      <c r="C569" s="2" t="s">
        <v>7241</v>
      </c>
      <c r="D569" s="2" t="s">
        <v>7242</v>
      </c>
      <c r="E569" s="2" t="s">
        <v>7243</v>
      </c>
      <c r="F569" s="2" t="s">
        <v>34</v>
      </c>
      <c r="G569" s="2" t="s">
        <v>7244</v>
      </c>
      <c r="H569" s="2" t="s">
        <v>7245</v>
      </c>
      <c r="I569" s="2" t="s">
        <v>7246</v>
      </c>
      <c r="J569" s="2" t="s">
        <v>460</v>
      </c>
      <c r="K569" s="2" t="s">
        <v>7247</v>
      </c>
      <c r="L569" s="2" t="s">
        <v>7248</v>
      </c>
      <c r="M569" s="2" t="s">
        <v>7249</v>
      </c>
      <c r="N569" s="2" t="s">
        <v>56</v>
      </c>
      <c r="O569" s="2" t="s">
        <v>7250</v>
      </c>
      <c r="P569" s="2" t="s">
        <v>6194</v>
      </c>
      <c r="Q569" s="2"/>
      <c r="R569" s="2"/>
      <c r="S569" s="2" t="s">
        <v>7251</v>
      </c>
      <c r="T569" s="2" t="s">
        <v>7252</v>
      </c>
      <c r="U569" s="2" t="s">
        <v>7253</v>
      </c>
    </row>
    <row r="570" customFormat="false" ht="46.25" hidden="false" customHeight="false" outlineLevel="0" collapsed="false">
      <c r="A570" s="2" t="s">
        <v>7207</v>
      </c>
      <c r="B570" s="2" t="s">
        <v>7208</v>
      </c>
      <c r="C570" s="2" t="s">
        <v>7254</v>
      </c>
      <c r="D570" s="2" t="s">
        <v>7255</v>
      </c>
      <c r="E570" s="2" t="s">
        <v>7256</v>
      </c>
      <c r="F570" s="2" t="s">
        <v>139</v>
      </c>
      <c r="G570" s="2" t="s">
        <v>7257</v>
      </c>
      <c r="H570" s="2" t="s">
        <v>2679</v>
      </c>
      <c r="I570" s="2" t="s">
        <v>1236</v>
      </c>
      <c r="J570" s="2" t="s">
        <v>460</v>
      </c>
      <c r="K570" s="2" t="s">
        <v>7258</v>
      </c>
      <c r="L570" s="2" t="s">
        <v>7259</v>
      </c>
      <c r="M570" s="2" t="s">
        <v>7260</v>
      </c>
      <c r="N570" s="2" t="s">
        <v>56</v>
      </c>
      <c r="O570" s="2" t="s">
        <v>7261</v>
      </c>
      <c r="P570" s="2" t="s">
        <v>6194</v>
      </c>
      <c r="Q570" s="2"/>
      <c r="R570" s="2"/>
      <c r="S570" s="2" t="s">
        <v>7262</v>
      </c>
      <c r="T570" s="2" t="s">
        <v>7263</v>
      </c>
      <c r="U570" s="2" t="s">
        <v>7264</v>
      </c>
    </row>
    <row r="571" customFormat="false" ht="68.65" hidden="false" customHeight="false" outlineLevel="0" collapsed="false">
      <c r="A571" s="2" t="s">
        <v>7207</v>
      </c>
      <c r="B571" s="2" t="s">
        <v>7265</v>
      </c>
      <c r="C571" s="2" t="s">
        <v>7266</v>
      </c>
      <c r="D571" s="2" t="s">
        <v>7267</v>
      </c>
      <c r="E571" s="2" t="s">
        <v>7268</v>
      </c>
      <c r="F571" s="2" t="s">
        <v>81</v>
      </c>
      <c r="G571" s="2" t="s">
        <v>7269</v>
      </c>
      <c r="H571" s="2" t="s">
        <v>7270</v>
      </c>
      <c r="I571" s="2" t="s">
        <v>7271</v>
      </c>
      <c r="J571" s="2" t="s">
        <v>7272</v>
      </c>
      <c r="K571" s="2" t="s">
        <v>7273</v>
      </c>
      <c r="L571" s="2" t="s">
        <v>412</v>
      </c>
      <c r="M571" s="2" t="s">
        <v>7274</v>
      </c>
      <c r="N571" s="2" t="s">
        <v>56</v>
      </c>
      <c r="O571" s="2" t="s">
        <v>89</v>
      </c>
      <c r="P571" s="2" t="s">
        <v>7275</v>
      </c>
      <c r="Q571" s="2"/>
      <c r="R571" s="2"/>
      <c r="S571" s="2" t="s">
        <v>7276</v>
      </c>
      <c r="T571" s="2" t="s">
        <v>7277</v>
      </c>
      <c r="U571" s="2" t="s">
        <v>7278</v>
      </c>
    </row>
    <row r="572" customFormat="false" ht="57.45" hidden="false" customHeight="false" outlineLevel="0" collapsed="false">
      <c r="A572" s="2" t="s">
        <v>7207</v>
      </c>
      <c r="B572" s="2" t="s">
        <v>7279</v>
      </c>
      <c r="C572" s="2" t="s">
        <v>7280</v>
      </c>
      <c r="D572" s="2" t="s">
        <v>7281</v>
      </c>
      <c r="E572" s="2" t="s">
        <v>7282</v>
      </c>
      <c r="F572" s="2" t="s">
        <v>81</v>
      </c>
      <c r="G572" s="2" t="s">
        <v>7283</v>
      </c>
      <c r="H572" s="2" t="s">
        <v>7284</v>
      </c>
      <c r="I572" s="2" t="s">
        <v>7285</v>
      </c>
      <c r="J572" s="2" t="s">
        <v>7286</v>
      </c>
      <c r="K572" s="2" t="s">
        <v>7287</v>
      </c>
      <c r="L572" s="2" t="s">
        <v>7288</v>
      </c>
      <c r="M572" s="2" t="s">
        <v>7289</v>
      </c>
      <c r="N572" s="2" t="s">
        <v>144</v>
      </c>
      <c r="O572" s="2" t="s">
        <v>89</v>
      </c>
      <c r="P572" s="2" t="s">
        <v>6194</v>
      </c>
      <c r="Q572" s="2"/>
      <c r="R572" s="2"/>
      <c r="S572" s="2" t="s">
        <v>7290</v>
      </c>
      <c r="T572" s="2" t="s">
        <v>7291</v>
      </c>
      <c r="U572" s="2" t="s">
        <v>7292</v>
      </c>
    </row>
    <row r="573" customFormat="false" ht="57.45" hidden="false" customHeight="false" outlineLevel="0" collapsed="false">
      <c r="A573" s="2" t="s">
        <v>7207</v>
      </c>
      <c r="B573" s="2" t="s">
        <v>7293</v>
      </c>
      <c r="C573" s="2" t="s">
        <v>7293</v>
      </c>
      <c r="D573" s="2" t="s">
        <v>7294</v>
      </c>
      <c r="E573" s="2" t="s">
        <v>7295</v>
      </c>
      <c r="F573" s="2" t="s">
        <v>66</v>
      </c>
      <c r="G573" s="2" t="s">
        <v>7296</v>
      </c>
      <c r="H573" s="2" t="s">
        <v>58</v>
      </c>
      <c r="I573" s="2" t="s">
        <v>7297</v>
      </c>
      <c r="J573" s="2" t="s">
        <v>57</v>
      </c>
      <c r="K573" s="2" t="s">
        <v>7298</v>
      </c>
      <c r="L573" s="2" t="s">
        <v>7299</v>
      </c>
      <c r="M573" s="2" t="s">
        <v>7300</v>
      </c>
      <c r="N573" s="2" t="s">
        <v>144</v>
      </c>
      <c r="O573" s="2" t="s">
        <v>58</v>
      </c>
      <c r="P573" s="2" t="s">
        <v>7301</v>
      </c>
      <c r="Q573" s="2"/>
      <c r="R573" s="2"/>
      <c r="S573" s="2" t="s">
        <v>7302</v>
      </c>
      <c r="T573" s="2" t="s">
        <v>7303</v>
      </c>
      <c r="U573" s="2" t="s">
        <v>7304</v>
      </c>
    </row>
    <row r="574" customFormat="false" ht="35.05" hidden="false" customHeight="false" outlineLevel="0" collapsed="false">
      <c r="A574" s="2" t="s">
        <v>7207</v>
      </c>
      <c r="B574" s="2" t="s">
        <v>7305</v>
      </c>
      <c r="C574" s="2" t="s">
        <v>7306</v>
      </c>
      <c r="D574" s="2" t="s">
        <v>7307</v>
      </c>
      <c r="E574" s="2" t="s">
        <v>7308</v>
      </c>
      <c r="F574" s="2" t="s">
        <v>193</v>
      </c>
      <c r="G574" s="2" t="s">
        <v>7309</v>
      </c>
      <c r="H574" s="2" t="s">
        <v>7310</v>
      </c>
      <c r="I574" s="2" t="s">
        <v>183</v>
      </c>
      <c r="J574" s="2" t="s">
        <v>7311</v>
      </c>
      <c r="K574" s="2" t="s">
        <v>57</v>
      </c>
      <c r="L574" s="2" t="s">
        <v>7312</v>
      </c>
      <c r="M574" s="2" t="s">
        <v>7313</v>
      </c>
      <c r="N574" s="2" t="s">
        <v>89</v>
      </c>
      <c r="O574" s="2" t="s">
        <v>57</v>
      </c>
      <c r="P574" s="2" t="s">
        <v>7314</v>
      </c>
      <c r="Q574" s="2"/>
      <c r="R574" s="2"/>
      <c r="S574" s="2" t="s">
        <v>7315</v>
      </c>
      <c r="T574" s="2" t="s">
        <v>7316</v>
      </c>
      <c r="U574" s="2" t="s">
        <v>7317</v>
      </c>
    </row>
    <row r="575" customFormat="false" ht="35.05" hidden="false" customHeight="false" outlineLevel="0" collapsed="false">
      <c r="A575" s="2" t="s">
        <v>7207</v>
      </c>
      <c r="B575" s="2" t="s">
        <v>7318</v>
      </c>
      <c r="C575" s="2" t="s">
        <v>7318</v>
      </c>
      <c r="D575" s="2" t="s">
        <v>7319</v>
      </c>
      <c r="E575" s="2" t="s">
        <v>7320</v>
      </c>
      <c r="F575" s="2" t="s">
        <v>193</v>
      </c>
      <c r="G575" s="2" t="s">
        <v>7321</v>
      </c>
      <c r="H575" s="2" t="s">
        <v>485</v>
      </c>
      <c r="I575" s="2" t="s">
        <v>486</v>
      </c>
      <c r="J575" s="2" t="s">
        <v>5184</v>
      </c>
      <c r="K575" s="2" t="s">
        <v>7322</v>
      </c>
      <c r="L575" s="2" t="s">
        <v>489</v>
      </c>
      <c r="M575" s="2" t="s">
        <v>7313</v>
      </c>
      <c r="N575" s="2" t="s">
        <v>89</v>
      </c>
      <c r="O575" s="2" t="s">
        <v>57</v>
      </c>
      <c r="P575" s="2" t="s">
        <v>7323</v>
      </c>
      <c r="Q575" s="2"/>
      <c r="R575" s="2" t="s">
        <v>7324</v>
      </c>
      <c r="S575" s="2" t="s">
        <v>7325</v>
      </c>
      <c r="T575" s="2" t="s">
        <v>493</v>
      </c>
      <c r="U575" s="2" t="s">
        <v>494</v>
      </c>
    </row>
    <row r="576" customFormat="false" ht="46.25" hidden="false" customHeight="false" outlineLevel="0" collapsed="false">
      <c r="A576" s="2" t="s">
        <v>7207</v>
      </c>
      <c r="B576" s="2" t="s">
        <v>7326</v>
      </c>
      <c r="C576" s="2" t="s">
        <v>7327</v>
      </c>
      <c r="D576" s="2" t="s">
        <v>7328</v>
      </c>
      <c r="E576" s="2" t="s">
        <v>7329</v>
      </c>
      <c r="F576" s="2" t="s">
        <v>193</v>
      </c>
      <c r="G576" s="2" t="s">
        <v>7330</v>
      </c>
      <c r="H576" s="2" t="s">
        <v>1516</v>
      </c>
      <c r="I576" s="2" t="s">
        <v>183</v>
      </c>
      <c r="J576" s="2" t="s">
        <v>7331</v>
      </c>
      <c r="K576" s="2" t="s">
        <v>7332</v>
      </c>
      <c r="L576" s="2" t="s">
        <v>4214</v>
      </c>
      <c r="M576" s="2" t="s">
        <v>7333</v>
      </c>
      <c r="N576" s="2" t="s">
        <v>89</v>
      </c>
      <c r="O576" s="2" t="s">
        <v>57</v>
      </c>
      <c r="P576" s="2" t="s">
        <v>7334</v>
      </c>
      <c r="Q576" s="2"/>
      <c r="R576" s="2"/>
      <c r="S576" s="2" t="s">
        <v>7335</v>
      </c>
      <c r="T576" s="2" t="s">
        <v>7336</v>
      </c>
      <c r="U576" s="2" t="s">
        <v>7337</v>
      </c>
    </row>
    <row r="577" customFormat="false" ht="46.25" hidden="false" customHeight="false" outlineLevel="0" collapsed="false">
      <c r="A577" s="2" t="s">
        <v>7207</v>
      </c>
      <c r="B577" s="2" t="s">
        <v>2664</v>
      </c>
      <c r="C577" s="2" t="s">
        <v>2664</v>
      </c>
      <c r="D577" s="2" t="s">
        <v>7338</v>
      </c>
      <c r="E577" s="2" t="s">
        <v>7339</v>
      </c>
      <c r="F577" s="2" t="s">
        <v>34</v>
      </c>
      <c r="G577" s="2" t="s">
        <v>3840</v>
      </c>
      <c r="H577" s="2" t="s">
        <v>2679</v>
      </c>
      <c r="I577" s="2" t="s">
        <v>7340</v>
      </c>
      <c r="J577" s="2" t="s">
        <v>38</v>
      </c>
      <c r="K577" s="2" t="s">
        <v>7341</v>
      </c>
      <c r="L577" s="2" t="s">
        <v>7342</v>
      </c>
      <c r="M577" s="2" t="s">
        <v>7343</v>
      </c>
      <c r="N577" s="2" t="s">
        <v>56</v>
      </c>
      <c r="O577" s="2" t="s">
        <v>7344</v>
      </c>
      <c r="P577" s="2" t="s">
        <v>7345</v>
      </c>
      <c r="Q577" s="2" t="s">
        <v>7346</v>
      </c>
      <c r="R577" s="2" t="s">
        <v>7347</v>
      </c>
      <c r="S577" s="2" t="s">
        <v>2686</v>
      </c>
      <c r="T577" s="2" t="s">
        <v>7348</v>
      </c>
      <c r="U577" s="2" t="s">
        <v>2688</v>
      </c>
    </row>
    <row r="578" customFormat="false" ht="35.05" hidden="false" customHeight="false" outlineLevel="0" collapsed="false">
      <c r="A578" s="2" t="s">
        <v>7207</v>
      </c>
      <c r="B578" s="2" t="s">
        <v>2664</v>
      </c>
      <c r="C578" s="2" t="s">
        <v>7349</v>
      </c>
      <c r="D578" s="2" t="s">
        <v>7350</v>
      </c>
      <c r="E578" s="2" t="s">
        <v>7351</v>
      </c>
      <c r="F578" s="2" t="s">
        <v>193</v>
      </c>
      <c r="G578" s="2" t="s">
        <v>7352</v>
      </c>
      <c r="H578" s="2" t="s">
        <v>7353</v>
      </c>
      <c r="I578" s="2" t="s">
        <v>7354</v>
      </c>
      <c r="J578" s="2" t="s">
        <v>3781</v>
      </c>
      <c r="K578" s="2" t="s">
        <v>7355</v>
      </c>
      <c r="L578" s="2" t="s">
        <v>7356</v>
      </c>
      <c r="M578" s="2" t="s">
        <v>7357</v>
      </c>
      <c r="N578" s="2" t="s">
        <v>89</v>
      </c>
      <c r="O578" s="2" t="s">
        <v>57</v>
      </c>
      <c r="P578" s="2" t="s">
        <v>7358</v>
      </c>
      <c r="Q578" s="2"/>
      <c r="R578" s="2"/>
      <c r="S578" s="2" t="s">
        <v>7359</v>
      </c>
      <c r="T578" s="2" t="s">
        <v>7360</v>
      </c>
      <c r="U578" s="2" t="s">
        <v>7361</v>
      </c>
    </row>
    <row r="579" customFormat="false" ht="46.25" hidden="false" customHeight="false" outlineLevel="0" collapsed="false">
      <c r="A579" s="2" t="s">
        <v>7207</v>
      </c>
      <c r="B579" s="2" t="s">
        <v>2664</v>
      </c>
      <c r="C579" s="2" t="s">
        <v>7362</v>
      </c>
      <c r="D579" s="2" t="s">
        <v>7363</v>
      </c>
      <c r="E579" s="2" t="s">
        <v>7364</v>
      </c>
      <c r="F579" s="2" t="s">
        <v>81</v>
      </c>
      <c r="G579" s="2" t="s">
        <v>7365</v>
      </c>
      <c r="H579" s="2" t="s">
        <v>7366</v>
      </c>
      <c r="I579" s="2" t="s">
        <v>7367</v>
      </c>
      <c r="J579" s="2" t="s">
        <v>7368</v>
      </c>
      <c r="K579" s="2" t="s">
        <v>7369</v>
      </c>
      <c r="L579" s="2" t="s">
        <v>7370</v>
      </c>
      <c r="M579" s="2" t="s">
        <v>7371</v>
      </c>
      <c r="N579" s="2" t="s">
        <v>56</v>
      </c>
      <c r="O579" s="2" t="s">
        <v>89</v>
      </c>
      <c r="P579" s="2" t="s">
        <v>6194</v>
      </c>
      <c r="Q579" s="2"/>
      <c r="R579" s="2"/>
      <c r="S579" s="2" t="s">
        <v>7372</v>
      </c>
      <c r="T579" s="2" t="s">
        <v>7373</v>
      </c>
      <c r="U579" s="2" t="s">
        <v>7374</v>
      </c>
    </row>
    <row r="580" customFormat="false" ht="35.05" hidden="false" customHeight="false" outlineLevel="0" collapsed="false">
      <c r="A580" s="2" t="s">
        <v>7207</v>
      </c>
      <c r="B580" s="2" t="s">
        <v>2664</v>
      </c>
      <c r="C580" s="2" t="s">
        <v>7375</v>
      </c>
      <c r="D580" s="2" t="s">
        <v>5280</v>
      </c>
      <c r="E580" s="2" t="s">
        <v>7376</v>
      </c>
      <c r="F580" s="2" t="s">
        <v>139</v>
      </c>
      <c r="G580" s="2" t="s">
        <v>7377</v>
      </c>
      <c r="H580" s="2" t="s">
        <v>7378</v>
      </c>
      <c r="I580" s="2" t="s">
        <v>7379</v>
      </c>
      <c r="J580" s="2" t="s">
        <v>89</v>
      </c>
      <c r="K580" s="2" t="s">
        <v>89</v>
      </c>
      <c r="L580" s="2" t="s">
        <v>7380</v>
      </c>
      <c r="M580" s="2" t="s">
        <v>7381</v>
      </c>
      <c r="N580" s="2" t="s">
        <v>144</v>
      </c>
      <c r="O580" s="2" t="s">
        <v>89</v>
      </c>
      <c r="P580" s="2" t="s">
        <v>6194</v>
      </c>
      <c r="Q580" s="2"/>
      <c r="R580" s="2"/>
      <c r="S580" s="2" t="s">
        <v>7382</v>
      </c>
      <c r="T580" s="2" t="s">
        <v>7383</v>
      </c>
      <c r="U580" s="2" t="s">
        <v>7384</v>
      </c>
    </row>
    <row r="581" customFormat="false" ht="35.05" hidden="false" customHeight="false" outlineLevel="0" collapsed="false">
      <c r="A581" s="2" t="s">
        <v>7207</v>
      </c>
      <c r="B581" s="2" t="s">
        <v>7385</v>
      </c>
      <c r="C581" s="2" t="s">
        <v>7386</v>
      </c>
      <c r="D581" s="2" t="s">
        <v>7387</v>
      </c>
      <c r="E581" s="2" t="s">
        <v>7388</v>
      </c>
      <c r="F581" s="2" t="s">
        <v>34</v>
      </c>
      <c r="G581" s="2" t="s">
        <v>7389</v>
      </c>
      <c r="H581" s="2" t="s">
        <v>7390</v>
      </c>
      <c r="I581" s="2" t="s">
        <v>1248</v>
      </c>
      <c r="J581" s="2" t="s">
        <v>1080</v>
      </c>
      <c r="K581" s="2" t="s">
        <v>7391</v>
      </c>
      <c r="L581" s="2" t="s">
        <v>7392</v>
      </c>
      <c r="M581" s="2" t="s">
        <v>7393</v>
      </c>
      <c r="N581" s="2" t="s">
        <v>56</v>
      </c>
      <c r="O581" s="2" t="s">
        <v>7394</v>
      </c>
      <c r="P581" s="2" t="s">
        <v>7395</v>
      </c>
      <c r="Q581" s="2"/>
      <c r="R581" s="2"/>
      <c r="S581" s="2" t="s">
        <v>7396</v>
      </c>
      <c r="T581" s="2" t="s">
        <v>7397</v>
      </c>
      <c r="U581" s="2" t="s">
        <v>7398</v>
      </c>
    </row>
    <row r="582" customFormat="false" ht="46.25" hidden="false" customHeight="false" outlineLevel="0" collapsed="false">
      <c r="A582" s="2" t="s">
        <v>7207</v>
      </c>
      <c r="B582" s="2" t="s">
        <v>7385</v>
      </c>
      <c r="C582" s="2" t="s">
        <v>7399</v>
      </c>
      <c r="D582" s="2" t="s">
        <v>7400</v>
      </c>
      <c r="E582" s="2" t="s">
        <v>7401</v>
      </c>
      <c r="F582" s="2" t="s">
        <v>66</v>
      </c>
      <c r="G582" s="2" t="s">
        <v>7402</v>
      </c>
      <c r="H582" s="2" t="s">
        <v>875</v>
      </c>
      <c r="I582" s="2" t="s">
        <v>7403</v>
      </c>
      <c r="J582" s="2" t="s">
        <v>7404</v>
      </c>
      <c r="K582" s="2" t="s">
        <v>7405</v>
      </c>
      <c r="L582" s="2" t="s">
        <v>7406</v>
      </c>
      <c r="M582" s="2" t="s">
        <v>7407</v>
      </c>
      <c r="N582" s="2" t="s">
        <v>144</v>
      </c>
      <c r="O582" s="2" t="s">
        <v>57</v>
      </c>
      <c r="P582" s="2" t="s">
        <v>6194</v>
      </c>
      <c r="Q582" s="2"/>
      <c r="R582" s="2"/>
      <c r="S582" s="2" t="s">
        <v>7408</v>
      </c>
      <c r="T582" s="2" t="s">
        <v>7409</v>
      </c>
      <c r="U582" s="2" t="s">
        <v>7410</v>
      </c>
    </row>
    <row r="583" customFormat="false" ht="46.25" hidden="false" customHeight="false" outlineLevel="0" collapsed="false">
      <c r="A583" s="2" t="s">
        <v>7207</v>
      </c>
      <c r="B583" s="2" t="s">
        <v>7411</v>
      </c>
      <c r="C583" s="2" t="s">
        <v>7411</v>
      </c>
      <c r="D583" s="2" t="s">
        <v>7412</v>
      </c>
      <c r="E583" s="2" t="s">
        <v>7413</v>
      </c>
      <c r="F583" s="2" t="s">
        <v>34</v>
      </c>
      <c r="G583" s="2" t="s">
        <v>7414</v>
      </c>
      <c r="H583" s="2" t="s">
        <v>1600</v>
      </c>
      <c r="I583" s="2" t="s">
        <v>7415</v>
      </c>
      <c r="J583" s="2" t="s">
        <v>877</v>
      </c>
      <c r="K583" s="2" t="s">
        <v>1620</v>
      </c>
      <c r="L583" s="2" t="s">
        <v>7416</v>
      </c>
      <c r="M583" s="2" t="s">
        <v>7417</v>
      </c>
      <c r="N583" s="2" t="s">
        <v>56</v>
      </c>
      <c r="O583" s="2" t="s">
        <v>7418</v>
      </c>
      <c r="P583" s="2" t="s">
        <v>7419</v>
      </c>
      <c r="Q583" s="2"/>
      <c r="R583" s="2"/>
      <c r="S583" s="2" t="s">
        <v>7420</v>
      </c>
      <c r="T583" s="2" t="s">
        <v>7421</v>
      </c>
      <c r="U583" s="2" t="s">
        <v>7422</v>
      </c>
    </row>
    <row r="584" customFormat="false" ht="35.05" hidden="false" customHeight="false" outlineLevel="0" collapsed="false">
      <c r="A584" s="2" t="s">
        <v>7207</v>
      </c>
      <c r="B584" s="2" t="s">
        <v>7411</v>
      </c>
      <c r="C584" s="2" t="s">
        <v>7411</v>
      </c>
      <c r="D584" s="2" t="s">
        <v>7412</v>
      </c>
      <c r="E584" s="2" t="s">
        <v>7423</v>
      </c>
      <c r="F584" s="2" t="s">
        <v>34</v>
      </c>
      <c r="G584" s="2" t="s">
        <v>7424</v>
      </c>
      <c r="H584" s="2" t="s">
        <v>5198</v>
      </c>
      <c r="I584" s="2" t="s">
        <v>7425</v>
      </c>
      <c r="J584" s="2" t="s">
        <v>7426</v>
      </c>
      <c r="K584" s="2" t="s">
        <v>7427</v>
      </c>
      <c r="L584" s="2" t="s">
        <v>7428</v>
      </c>
      <c r="M584" s="2" t="s">
        <v>7429</v>
      </c>
      <c r="N584" s="2" t="s">
        <v>56</v>
      </c>
      <c r="O584" s="2" t="s">
        <v>57</v>
      </c>
      <c r="P584" s="2" t="s">
        <v>6194</v>
      </c>
      <c r="Q584" s="2"/>
      <c r="R584" s="2"/>
      <c r="S584" s="2" t="s">
        <v>7430</v>
      </c>
      <c r="T584" s="2" t="s">
        <v>7431</v>
      </c>
      <c r="U584" s="2" t="s">
        <v>7432</v>
      </c>
    </row>
    <row r="585" customFormat="false" ht="46.25" hidden="false" customHeight="false" outlineLevel="0" collapsed="false">
      <c r="A585" s="2" t="s">
        <v>7207</v>
      </c>
      <c r="B585" s="2" t="s">
        <v>7411</v>
      </c>
      <c r="C585" s="2" t="s">
        <v>7433</v>
      </c>
      <c r="D585" s="2" t="s">
        <v>7412</v>
      </c>
      <c r="E585" s="2" t="s">
        <v>7434</v>
      </c>
      <c r="F585" s="2" t="s">
        <v>66</v>
      </c>
      <c r="G585" s="2" t="s">
        <v>7435</v>
      </c>
      <c r="H585" s="2" t="s">
        <v>57</v>
      </c>
      <c r="I585" s="2" t="s">
        <v>7436</v>
      </c>
      <c r="J585" s="2" t="s">
        <v>2293</v>
      </c>
      <c r="K585" s="2" t="s">
        <v>7437</v>
      </c>
      <c r="L585" s="2" t="s">
        <v>7438</v>
      </c>
      <c r="M585" s="2" t="s">
        <v>7439</v>
      </c>
      <c r="N585" s="2" t="s">
        <v>144</v>
      </c>
      <c r="O585" s="2" t="s">
        <v>57</v>
      </c>
      <c r="P585" s="2" t="s">
        <v>7440</v>
      </c>
      <c r="Q585" s="2"/>
      <c r="R585" s="2"/>
      <c r="S585" s="2" t="s">
        <v>7441</v>
      </c>
      <c r="T585" s="2" t="s">
        <v>7442</v>
      </c>
      <c r="U585" s="2" t="s">
        <v>7443</v>
      </c>
    </row>
    <row r="586" customFormat="false" ht="35.05" hidden="false" customHeight="false" outlineLevel="0" collapsed="false">
      <c r="A586" s="2" t="s">
        <v>7207</v>
      </c>
      <c r="B586" s="2" t="s">
        <v>7444</v>
      </c>
      <c r="C586" s="2" t="s">
        <v>7444</v>
      </c>
      <c r="D586" s="2" t="s">
        <v>7445</v>
      </c>
      <c r="E586" s="2" t="s">
        <v>7446</v>
      </c>
      <c r="F586" s="2" t="s">
        <v>81</v>
      </c>
      <c r="G586" s="2" t="s">
        <v>7447</v>
      </c>
      <c r="H586" s="2" t="s">
        <v>7448</v>
      </c>
      <c r="I586" s="2" t="s">
        <v>7449</v>
      </c>
      <c r="J586" s="2" t="s">
        <v>57</v>
      </c>
      <c r="K586" s="2" t="s">
        <v>7450</v>
      </c>
      <c r="L586" s="2" t="s">
        <v>7451</v>
      </c>
      <c r="M586" s="2" t="s">
        <v>7452</v>
      </c>
      <c r="N586" s="2" t="s">
        <v>144</v>
      </c>
      <c r="O586" s="2" t="s">
        <v>89</v>
      </c>
      <c r="P586" s="2" t="s">
        <v>7453</v>
      </c>
      <c r="Q586" s="2"/>
      <c r="R586" s="2"/>
      <c r="S586" s="2" t="s">
        <v>7454</v>
      </c>
      <c r="T586" s="2" t="s">
        <v>7455</v>
      </c>
      <c r="U586" s="2" t="s">
        <v>7456</v>
      </c>
    </row>
    <row r="587" customFormat="false" ht="46.25" hidden="false" customHeight="false" outlineLevel="0" collapsed="false">
      <c r="A587" s="2" t="s">
        <v>7207</v>
      </c>
      <c r="B587" s="2" t="s">
        <v>7444</v>
      </c>
      <c r="C587" s="2" t="s">
        <v>7457</v>
      </c>
      <c r="D587" s="2" t="s">
        <v>5280</v>
      </c>
      <c r="E587" s="2" t="s">
        <v>7458</v>
      </c>
      <c r="F587" s="2" t="s">
        <v>139</v>
      </c>
      <c r="G587" s="2" t="s">
        <v>7459</v>
      </c>
      <c r="H587" s="2" t="s">
        <v>7460</v>
      </c>
      <c r="I587" s="2" t="s">
        <v>1716</v>
      </c>
      <c r="J587" s="2" t="s">
        <v>89</v>
      </c>
      <c r="K587" s="2" t="s">
        <v>89</v>
      </c>
      <c r="L587" s="2" t="s">
        <v>7461</v>
      </c>
      <c r="M587" s="2" t="s">
        <v>7462</v>
      </c>
      <c r="N587" s="2" t="s">
        <v>144</v>
      </c>
      <c r="O587" s="2" t="s">
        <v>89</v>
      </c>
      <c r="P587" s="2" t="s">
        <v>6194</v>
      </c>
      <c r="Q587" s="2"/>
      <c r="R587" s="2"/>
      <c r="S587" s="2" t="s">
        <v>7463</v>
      </c>
      <c r="T587" s="2" t="s">
        <v>7464</v>
      </c>
      <c r="U587" s="2" t="s">
        <v>7465</v>
      </c>
    </row>
    <row r="588" customFormat="false" ht="35.05" hidden="false" customHeight="false" outlineLevel="0" collapsed="false">
      <c r="A588" s="2" t="s">
        <v>7207</v>
      </c>
      <c r="B588" s="2" t="s">
        <v>7466</v>
      </c>
      <c r="C588" s="2" t="s">
        <v>7466</v>
      </c>
      <c r="D588" s="2" t="s">
        <v>7467</v>
      </c>
      <c r="E588" s="2" t="s">
        <v>7468</v>
      </c>
      <c r="F588" s="2" t="s">
        <v>66</v>
      </c>
      <c r="G588" s="2" t="s">
        <v>7469</v>
      </c>
      <c r="H588" s="2" t="s">
        <v>57</v>
      </c>
      <c r="I588" s="2" t="s">
        <v>7470</v>
      </c>
      <c r="J588" s="2" t="s">
        <v>57</v>
      </c>
      <c r="K588" s="2" t="s">
        <v>7466</v>
      </c>
      <c r="L588" s="2" t="s">
        <v>7471</v>
      </c>
      <c r="M588" s="2" t="s">
        <v>7472</v>
      </c>
      <c r="N588" s="2" t="s">
        <v>144</v>
      </c>
      <c r="O588" s="2" t="s">
        <v>57</v>
      </c>
      <c r="P588" s="2" t="s">
        <v>7473</v>
      </c>
      <c r="Q588" s="2"/>
      <c r="R588" s="2"/>
      <c r="S588" s="2" t="s">
        <v>7474</v>
      </c>
      <c r="T588" s="2" t="s">
        <v>7475</v>
      </c>
      <c r="U588" s="2" t="s">
        <v>7476</v>
      </c>
    </row>
    <row r="589" customFormat="false" ht="35.05" hidden="false" customHeight="false" outlineLevel="0" collapsed="false">
      <c r="A589" s="2" t="s">
        <v>7207</v>
      </c>
      <c r="B589" s="2" t="s">
        <v>1943</v>
      </c>
      <c r="C589" s="2" t="s">
        <v>7477</v>
      </c>
      <c r="D589" s="2" t="s">
        <v>7478</v>
      </c>
      <c r="E589" s="2" t="s">
        <v>7479</v>
      </c>
      <c r="F589" s="2" t="s">
        <v>34</v>
      </c>
      <c r="G589" s="2" t="s">
        <v>7480</v>
      </c>
      <c r="H589" s="2" t="s">
        <v>1963</v>
      </c>
      <c r="I589" s="2" t="s">
        <v>1248</v>
      </c>
      <c r="J589" s="2" t="s">
        <v>38</v>
      </c>
      <c r="K589" s="2" t="s">
        <v>7481</v>
      </c>
      <c r="L589" s="2" t="s">
        <v>7482</v>
      </c>
      <c r="M589" s="2" t="s">
        <v>7483</v>
      </c>
      <c r="N589" s="2" t="s">
        <v>72</v>
      </c>
      <c r="O589" s="2" t="s">
        <v>57</v>
      </c>
      <c r="P589" s="2" t="s">
        <v>7484</v>
      </c>
      <c r="Q589" s="2"/>
      <c r="R589" s="2"/>
      <c r="S589" s="2" t="s">
        <v>7485</v>
      </c>
      <c r="T589" s="2" t="s">
        <v>7486</v>
      </c>
      <c r="U589" s="2" t="s">
        <v>1971</v>
      </c>
    </row>
    <row r="590" customFormat="false" ht="57.45" hidden="false" customHeight="false" outlineLevel="0" collapsed="false">
      <c r="A590" s="2" t="s">
        <v>7207</v>
      </c>
      <c r="B590" s="2" t="s">
        <v>1972</v>
      </c>
      <c r="C590" s="2" t="s">
        <v>1972</v>
      </c>
      <c r="D590" s="2" t="s">
        <v>7487</v>
      </c>
      <c r="E590" s="2" t="s">
        <v>7488</v>
      </c>
      <c r="F590" s="2" t="s">
        <v>34</v>
      </c>
      <c r="G590" s="2" t="s">
        <v>7489</v>
      </c>
      <c r="H590" s="2" t="s">
        <v>7490</v>
      </c>
      <c r="I590" s="2" t="s">
        <v>37</v>
      </c>
      <c r="J590" s="2" t="s">
        <v>253</v>
      </c>
      <c r="K590" s="2" t="s">
        <v>7491</v>
      </c>
      <c r="L590" s="2" t="s">
        <v>7492</v>
      </c>
      <c r="M590" s="2" t="s">
        <v>7493</v>
      </c>
      <c r="N590" s="2" t="s">
        <v>42</v>
      </c>
      <c r="O590" s="2" t="s">
        <v>7494</v>
      </c>
      <c r="P590" s="2" t="s">
        <v>7495</v>
      </c>
      <c r="Q590" s="2"/>
      <c r="R590" s="2"/>
      <c r="S590" s="2" t="s">
        <v>1984</v>
      </c>
      <c r="T590" s="2" t="s">
        <v>7496</v>
      </c>
      <c r="U590" s="2" t="s">
        <v>1986</v>
      </c>
    </row>
    <row r="591" customFormat="false" ht="57.45" hidden="false" customHeight="false" outlineLevel="0" collapsed="false">
      <c r="A591" s="2" t="s">
        <v>7207</v>
      </c>
      <c r="B591" s="2" t="s">
        <v>7497</v>
      </c>
      <c r="C591" s="2" t="s">
        <v>7498</v>
      </c>
      <c r="D591" s="2" t="s">
        <v>7499</v>
      </c>
      <c r="E591" s="2" t="s">
        <v>7500</v>
      </c>
      <c r="F591" s="2" t="s">
        <v>34</v>
      </c>
      <c r="G591" s="2" t="s">
        <v>7501</v>
      </c>
      <c r="H591" s="2" t="s">
        <v>7502</v>
      </c>
      <c r="I591" s="2" t="s">
        <v>7503</v>
      </c>
      <c r="J591" s="2" t="s">
        <v>156</v>
      </c>
      <c r="K591" s="2" t="s">
        <v>7504</v>
      </c>
      <c r="L591" s="2" t="s">
        <v>7505</v>
      </c>
      <c r="M591" s="2" t="s">
        <v>7506</v>
      </c>
      <c r="N591" s="2" t="s">
        <v>144</v>
      </c>
      <c r="O591" s="2" t="s">
        <v>7507</v>
      </c>
      <c r="P591" s="2" t="s">
        <v>7508</v>
      </c>
      <c r="Q591" s="2"/>
      <c r="R591" s="2"/>
      <c r="S591" s="2" t="s">
        <v>7509</v>
      </c>
      <c r="T591" s="2" t="s">
        <v>7510</v>
      </c>
      <c r="U591" s="2" t="s">
        <v>7511</v>
      </c>
    </row>
    <row r="592" customFormat="false" ht="46.25" hidden="false" customHeight="false" outlineLevel="0" collapsed="false">
      <c r="A592" s="2" t="s">
        <v>7207</v>
      </c>
      <c r="B592" s="2" t="s">
        <v>7497</v>
      </c>
      <c r="C592" s="2" t="s">
        <v>7497</v>
      </c>
      <c r="D592" s="2" t="s">
        <v>7512</v>
      </c>
      <c r="E592" s="2" t="s">
        <v>7513</v>
      </c>
      <c r="F592" s="2" t="s">
        <v>34</v>
      </c>
      <c r="G592" s="2" t="s">
        <v>7514</v>
      </c>
      <c r="H592" s="2" t="s">
        <v>7515</v>
      </c>
      <c r="I592" s="2" t="s">
        <v>1248</v>
      </c>
      <c r="J592" s="2" t="s">
        <v>156</v>
      </c>
      <c r="K592" s="2" t="s">
        <v>7516</v>
      </c>
      <c r="L592" s="2" t="s">
        <v>4214</v>
      </c>
      <c r="M592" s="2" t="s">
        <v>7517</v>
      </c>
      <c r="N592" s="2" t="s">
        <v>144</v>
      </c>
      <c r="O592" s="2" t="s">
        <v>7518</v>
      </c>
      <c r="P592" s="2" t="s">
        <v>6194</v>
      </c>
      <c r="Q592" s="2"/>
      <c r="R592" s="2"/>
      <c r="S592" s="2" t="s">
        <v>7519</v>
      </c>
      <c r="T592" s="2" t="s">
        <v>7520</v>
      </c>
      <c r="U592" s="2" t="s">
        <v>7521</v>
      </c>
    </row>
    <row r="593" customFormat="false" ht="35.05" hidden="false" customHeight="false" outlineLevel="0" collapsed="false">
      <c r="A593" s="2" t="s">
        <v>7207</v>
      </c>
      <c r="B593" s="2" t="s">
        <v>7522</v>
      </c>
      <c r="C593" s="2" t="s">
        <v>7523</v>
      </c>
      <c r="D593" s="2" t="s">
        <v>7524</v>
      </c>
      <c r="E593" s="2" t="s">
        <v>7525</v>
      </c>
      <c r="F593" s="2" t="s">
        <v>66</v>
      </c>
      <c r="G593" s="2" t="s">
        <v>7526</v>
      </c>
      <c r="H593" s="2" t="s">
        <v>57</v>
      </c>
      <c r="I593" s="2" t="s">
        <v>7527</v>
      </c>
      <c r="J593" s="2" t="s">
        <v>57</v>
      </c>
      <c r="K593" s="2" t="s">
        <v>7522</v>
      </c>
      <c r="L593" s="2" t="s">
        <v>7528</v>
      </c>
      <c r="M593" s="2" t="s">
        <v>7529</v>
      </c>
      <c r="N593" s="2" t="s">
        <v>144</v>
      </c>
      <c r="O593" s="2" t="s">
        <v>57</v>
      </c>
      <c r="P593" s="2" t="s">
        <v>7530</v>
      </c>
      <c r="Q593" s="2"/>
      <c r="R593" s="2"/>
      <c r="S593" s="2" t="s">
        <v>7531</v>
      </c>
      <c r="T593" s="2" t="s">
        <v>7532</v>
      </c>
      <c r="U593" s="2" t="s">
        <v>7533</v>
      </c>
    </row>
    <row r="594" customFormat="false" ht="35.05" hidden="false" customHeight="false" outlineLevel="0" collapsed="false">
      <c r="A594" s="2" t="s">
        <v>7207</v>
      </c>
      <c r="B594" s="2" t="s">
        <v>7522</v>
      </c>
      <c r="C594" s="2" t="s">
        <v>7523</v>
      </c>
      <c r="D594" s="2" t="s">
        <v>7534</v>
      </c>
      <c r="E594" s="2" t="s">
        <v>7535</v>
      </c>
      <c r="F594" s="2" t="s">
        <v>34</v>
      </c>
      <c r="G594" s="2" t="s">
        <v>7501</v>
      </c>
      <c r="H594" s="2" t="s">
        <v>7536</v>
      </c>
      <c r="I594" s="2" t="s">
        <v>1248</v>
      </c>
      <c r="J594" s="2" t="s">
        <v>7537</v>
      </c>
      <c r="K594" s="2" t="s">
        <v>7538</v>
      </c>
      <c r="L594" s="2" t="s">
        <v>7539</v>
      </c>
      <c r="M594" s="2" t="s">
        <v>7540</v>
      </c>
      <c r="N594" s="2" t="s">
        <v>144</v>
      </c>
      <c r="O594" s="2" t="s">
        <v>7541</v>
      </c>
      <c r="P594" s="2" t="s">
        <v>7542</v>
      </c>
      <c r="Q594" s="2"/>
      <c r="R594" s="2"/>
      <c r="S594" s="2" t="s">
        <v>7543</v>
      </c>
      <c r="T594" s="2" t="s">
        <v>7544</v>
      </c>
      <c r="U594" s="2" t="s">
        <v>7545</v>
      </c>
    </row>
    <row r="595" customFormat="false" ht="23.85" hidden="false" customHeight="false" outlineLevel="0" collapsed="false">
      <c r="A595" s="2" t="s">
        <v>7207</v>
      </c>
      <c r="B595" s="2" t="s">
        <v>7546</v>
      </c>
      <c r="C595" s="2" t="s">
        <v>7547</v>
      </c>
      <c r="D595" s="2" t="s">
        <v>7548</v>
      </c>
      <c r="E595" s="2" t="s">
        <v>7549</v>
      </c>
      <c r="F595" s="2" t="s">
        <v>34</v>
      </c>
      <c r="G595" s="2" t="s">
        <v>7550</v>
      </c>
      <c r="H595" s="2" t="s">
        <v>7551</v>
      </c>
      <c r="I595" s="2" t="s">
        <v>1248</v>
      </c>
      <c r="J595" s="2" t="s">
        <v>2694</v>
      </c>
      <c r="K595" s="2" t="s">
        <v>7552</v>
      </c>
      <c r="L595" s="2" t="s">
        <v>1519</v>
      </c>
      <c r="M595" s="2" t="s">
        <v>7553</v>
      </c>
      <c r="N595" s="2" t="s">
        <v>144</v>
      </c>
      <c r="O595" s="2" t="s">
        <v>7554</v>
      </c>
      <c r="P595" s="2" t="s">
        <v>7555</v>
      </c>
      <c r="Q595" s="2"/>
      <c r="R595" s="2"/>
      <c r="S595" s="2" t="s">
        <v>7556</v>
      </c>
      <c r="T595" s="2" t="s">
        <v>7557</v>
      </c>
      <c r="U595" s="2" t="s">
        <v>7558</v>
      </c>
    </row>
    <row r="596" customFormat="false" ht="35.05" hidden="false" customHeight="false" outlineLevel="0" collapsed="false">
      <c r="A596" s="2" t="s">
        <v>7207</v>
      </c>
      <c r="B596" s="2" t="s">
        <v>7546</v>
      </c>
      <c r="C596" s="2" t="s">
        <v>7559</v>
      </c>
      <c r="D596" s="2" t="s">
        <v>7560</v>
      </c>
      <c r="E596" s="2" t="s">
        <v>7561</v>
      </c>
      <c r="F596" s="2" t="s">
        <v>34</v>
      </c>
      <c r="G596" s="2" t="s">
        <v>7562</v>
      </c>
      <c r="H596" s="2" t="s">
        <v>7563</v>
      </c>
      <c r="I596" s="2" t="s">
        <v>7564</v>
      </c>
      <c r="J596" s="2" t="s">
        <v>2694</v>
      </c>
      <c r="K596" s="2" t="s">
        <v>7565</v>
      </c>
      <c r="L596" s="2" t="s">
        <v>7566</v>
      </c>
      <c r="M596" s="2" t="s">
        <v>7567</v>
      </c>
      <c r="N596" s="2" t="s">
        <v>144</v>
      </c>
      <c r="O596" s="2" t="s">
        <v>7568</v>
      </c>
      <c r="P596" s="2" t="s">
        <v>7569</v>
      </c>
      <c r="Q596" s="2"/>
      <c r="R596" s="2"/>
      <c r="S596" s="2" t="s">
        <v>7570</v>
      </c>
      <c r="T596" s="2" t="s">
        <v>7571</v>
      </c>
      <c r="U596" s="2" t="s">
        <v>7572</v>
      </c>
    </row>
    <row r="597" customFormat="false" ht="23.85" hidden="false" customHeight="false" outlineLevel="0" collapsed="false">
      <c r="A597" s="2" t="s">
        <v>7207</v>
      </c>
      <c r="B597" s="2" t="s">
        <v>7573</v>
      </c>
      <c r="C597" s="2" t="s">
        <v>7573</v>
      </c>
      <c r="D597" s="2" t="s">
        <v>6519</v>
      </c>
      <c r="E597" s="2" t="s">
        <v>7574</v>
      </c>
      <c r="F597" s="2" t="s">
        <v>34</v>
      </c>
      <c r="G597" s="2" t="s">
        <v>1626</v>
      </c>
      <c r="H597" s="2" t="s">
        <v>1963</v>
      </c>
      <c r="I597" s="2" t="s">
        <v>1248</v>
      </c>
      <c r="J597" s="2" t="s">
        <v>3781</v>
      </c>
      <c r="K597" s="2" t="s">
        <v>7575</v>
      </c>
      <c r="L597" s="2" t="s">
        <v>4214</v>
      </c>
      <c r="M597" s="2" t="s">
        <v>7576</v>
      </c>
      <c r="N597" s="2" t="s">
        <v>42</v>
      </c>
      <c r="O597" s="2" t="s">
        <v>7577</v>
      </c>
      <c r="P597" s="2" t="s">
        <v>7578</v>
      </c>
      <c r="Q597" s="2"/>
      <c r="R597" s="2"/>
      <c r="S597" s="2" t="s">
        <v>7579</v>
      </c>
      <c r="T597" s="2" t="s">
        <v>7580</v>
      </c>
      <c r="U597" s="2" t="s">
        <v>7581</v>
      </c>
    </row>
    <row r="598" customFormat="false" ht="23.85" hidden="false" customHeight="false" outlineLevel="0" collapsed="false">
      <c r="A598" s="2" t="s">
        <v>7207</v>
      </c>
      <c r="B598" s="2" t="s">
        <v>7582</v>
      </c>
      <c r="C598" s="2" t="s">
        <v>7582</v>
      </c>
      <c r="D598" s="2" t="s">
        <v>7583</v>
      </c>
      <c r="E598" s="2" t="s">
        <v>7584</v>
      </c>
      <c r="F598" s="2" t="s">
        <v>34</v>
      </c>
      <c r="G598" s="2" t="s">
        <v>7585</v>
      </c>
      <c r="H598" s="2" t="s">
        <v>7586</v>
      </c>
      <c r="I598" s="2" t="s">
        <v>949</v>
      </c>
      <c r="J598" s="2" t="s">
        <v>225</v>
      </c>
      <c r="K598" s="2" t="s">
        <v>7587</v>
      </c>
      <c r="L598" s="2" t="s">
        <v>7588</v>
      </c>
      <c r="M598" s="2" t="s">
        <v>7589</v>
      </c>
      <c r="N598" s="2" t="s">
        <v>42</v>
      </c>
      <c r="O598" s="2" t="s">
        <v>7590</v>
      </c>
      <c r="P598" s="2" t="s">
        <v>57</v>
      </c>
      <c r="Q598" s="2"/>
      <c r="R598" s="2"/>
      <c r="S598" s="2" t="s">
        <v>7591</v>
      </c>
      <c r="T598" s="2" t="s">
        <v>7592</v>
      </c>
      <c r="U598" s="2" t="s">
        <v>7593</v>
      </c>
    </row>
    <row r="599" customFormat="false" ht="35.05" hidden="false" customHeight="false" outlineLevel="0" collapsed="false">
      <c r="A599" s="2" t="s">
        <v>7207</v>
      </c>
      <c r="B599" s="2" t="s">
        <v>7594</v>
      </c>
      <c r="C599" s="2" t="s">
        <v>7594</v>
      </c>
      <c r="D599" s="2" t="s">
        <v>7595</v>
      </c>
      <c r="E599" s="2" t="s">
        <v>7596</v>
      </c>
      <c r="F599" s="2" t="s">
        <v>139</v>
      </c>
      <c r="G599" s="2" t="s">
        <v>7597</v>
      </c>
      <c r="H599" s="2" t="s">
        <v>57</v>
      </c>
      <c r="I599" s="2" t="s">
        <v>7598</v>
      </c>
      <c r="J599" s="2" t="s">
        <v>89</v>
      </c>
      <c r="K599" s="2" t="s">
        <v>7599</v>
      </c>
      <c r="L599" s="2" t="s">
        <v>4933</v>
      </c>
      <c r="M599" s="2" t="s">
        <v>7600</v>
      </c>
      <c r="N599" s="2" t="s">
        <v>56</v>
      </c>
      <c r="O599" s="2" t="s">
        <v>57</v>
      </c>
      <c r="P599" s="2" t="s">
        <v>7601</v>
      </c>
      <c r="Q599" s="2"/>
      <c r="R599" s="2"/>
      <c r="S599" s="2" t="s">
        <v>7602</v>
      </c>
      <c r="T599" s="2" t="s">
        <v>7603</v>
      </c>
      <c r="U599" s="2" t="s">
        <v>7604</v>
      </c>
    </row>
    <row r="600" customFormat="false" ht="35.05" hidden="false" customHeight="false" outlineLevel="0" collapsed="false">
      <c r="A600" s="2" t="s">
        <v>7207</v>
      </c>
      <c r="B600" s="2" t="s">
        <v>7594</v>
      </c>
      <c r="C600" s="2" t="s">
        <v>7605</v>
      </c>
      <c r="D600" s="2" t="s">
        <v>7606</v>
      </c>
      <c r="E600" s="2" t="s">
        <v>7607</v>
      </c>
      <c r="F600" s="2" t="s">
        <v>66</v>
      </c>
      <c r="G600" s="2" t="s">
        <v>7608</v>
      </c>
      <c r="H600" s="2" t="s">
        <v>57</v>
      </c>
      <c r="I600" s="2" t="s">
        <v>7436</v>
      </c>
      <c r="J600" s="2" t="s">
        <v>7609</v>
      </c>
      <c r="K600" s="2" t="s">
        <v>57</v>
      </c>
      <c r="L600" s="2" t="s">
        <v>7610</v>
      </c>
      <c r="M600" s="2" t="s">
        <v>7611</v>
      </c>
      <c r="N600" s="2" t="s">
        <v>144</v>
      </c>
      <c r="O600" s="2" t="s">
        <v>57</v>
      </c>
      <c r="P600" s="2" t="s">
        <v>6194</v>
      </c>
      <c r="Q600" s="2"/>
      <c r="R600" s="2"/>
      <c r="S600" s="2" t="s">
        <v>7612</v>
      </c>
      <c r="T600" s="2" t="s">
        <v>7613</v>
      </c>
      <c r="U600" s="2" t="s">
        <v>7614</v>
      </c>
    </row>
    <row r="601" customFormat="false" ht="46.25" hidden="false" customHeight="false" outlineLevel="0" collapsed="false">
      <c r="A601" s="2" t="s">
        <v>7207</v>
      </c>
      <c r="B601" s="2" t="s">
        <v>7615</v>
      </c>
      <c r="C601" s="2" t="s">
        <v>7615</v>
      </c>
      <c r="D601" s="2" t="s">
        <v>7616</v>
      </c>
      <c r="E601" s="2" t="s">
        <v>7617</v>
      </c>
      <c r="F601" s="2" t="s">
        <v>193</v>
      </c>
      <c r="G601" s="2" t="s">
        <v>7618</v>
      </c>
      <c r="H601" s="2" t="s">
        <v>7619</v>
      </c>
      <c r="I601" s="2" t="s">
        <v>1248</v>
      </c>
      <c r="J601" s="2" t="s">
        <v>7620</v>
      </c>
      <c r="K601" s="2" t="s">
        <v>57</v>
      </c>
      <c r="L601" s="2" t="s">
        <v>7621</v>
      </c>
      <c r="M601" s="2" t="s">
        <v>7622</v>
      </c>
      <c r="N601" s="2" t="s">
        <v>89</v>
      </c>
      <c r="O601" s="2" t="s">
        <v>57</v>
      </c>
      <c r="P601" s="2" t="s">
        <v>7623</v>
      </c>
      <c r="Q601" s="2"/>
      <c r="R601" s="2"/>
      <c r="S601" s="2" t="s">
        <v>7624</v>
      </c>
      <c r="T601" s="2" t="s">
        <v>7625</v>
      </c>
      <c r="U601" s="2" t="s">
        <v>7626</v>
      </c>
    </row>
    <row r="602" customFormat="false" ht="23.85" hidden="false" customHeight="false" outlineLevel="0" collapsed="false">
      <c r="A602" s="2" t="s">
        <v>7207</v>
      </c>
      <c r="B602" s="2" t="s">
        <v>7615</v>
      </c>
      <c r="C602" s="2" t="s">
        <v>7627</v>
      </c>
      <c r="D602" s="2" t="s">
        <v>7628</v>
      </c>
      <c r="E602" s="2" t="s">
        <v>7629</v>
      </c>
      <c r="F602" s="2" t="s">
        <v>193</v>
      </c>
      <c r="G602" s="2" t="s">
        <v>7630</v>
      </c>
      <c r="H602" s="2" t="s">
        <v>7631</v>
      </c>
      <c r="I602" s="2" t="s">
        <v>7632</v>
      </c>
      <c r="J602" s="2" t="s">
        <v>2019</v>
      </c>
      <c r="K602" s="2" t="s">
        <v>7633</v>
      </c>
      <c r="L602" s="2" t="s">
        <v>1519</v>
      </c>
      <c r="M602" s="2" t="s">
        <v>7634</v>
      </c>
      <c r="N602" s="2" t="s">
        <v>89</v>
      </c>
      <c r="O602" s="2" t="s">
        <v>57</v>
      </c>
      <c r="P602" s="2" t="s">
        <v>7635</v>
      </c>
      <c r="Q602" s="2"/>
      <c r="R602" s="2"/>
      <c r="S602" s="2" t="s">
        <v>7636</v>
      </c>
      <c r="T602" s="2" t="s">
        <v>7637</v>
      </c>
      <c r="U602" s="2" t="s">
        <v>7638</v>
      </c>
    </row>
    <row r="603" customFormat="false" ht="23.85" hidden="false" customHeight="false" outlineLevel="0" collapsed="false">
      <c r="A603" s="2" t="s">
        <v>7207</v>
      </c>
      <c r="B603" s="2" t="s">
        <v>7639</v>
      </c>
      <c r="C603" s="2" t="s">
        <v>7640</v>
      </c>
      <c r="D603" s="2" t="s">
        <v>7641</v>
      </c>
      <c r="E603" s="2" t="s">
        <v>7642</v>
      </c>
      <c r="F603" s="2" t="s">
        <v>193</v>
      </c>
      <c r="G603" s="2" t="s">
        <v>7643</v>
      </c>
      <c r="H603" s="2" t="s">
        <v>2476</v>
      </c>
      <c r="I603" s="2" t="s">
        <v>1248</v>
      </c>
      <c r="J603" s="2" t="s">
        <v>2694</v>
      </c>
      <c r="K603" s="2" t="s">
        <v>7644</v>
      </c>
      <c r="L603" s="2" t="s">
        <v>7645</v>
      </c>
      <c r="M603" s="2" t="s">
        <v>7634</v>
      </c>
      <c r="N603" s="2" t="s">
        <v>89</v>
      </c>
      <c r="O603" s="2" t="s">
        <v>57</v>
      </c>
      <c r="P603" s="2" t="s">
        <v>7646</v>
      </c>
      <c r="Q603" s="2"/>
      <c r="R603" s="2"/>
      <c r="S603" s="2" t="s">
        <v>7647</v>
      </c>
      <c r="T603" s="2" t="s">
        <v>7648</v>
      </c>
      <c r="U603" s="2" t="s">
        <v>7649</v>
      </c>
    </row>
    <row r="604" customFormat="false" ht="23.85" hidden="false" customHeight="false" outlineLevel="0" collapsed="false">
      <c r="A604" s="2" t="s">
        <v>7207</v>
      </c>
      <c r="B604" s="2" t="s">
        <v>7639</v>
      </c>
      <c r="C604" s="2" t="s">
        <v>7639</v>
      </c>
      <c r="D604" s="2" t="s">
        <v>7641</v>
      </c>
      <c r="E604" s="2" t="s">
        <v>7650</v>
      </c>
      <c r="F604" s="2" t="s">
        <v>193</v>
      </c>
      <c r="G604" s="2" t="s">
        <v>7643</v>
      </c>
      <c r="H604" s="2" t="s">
        <v>7651</v>
      </c>
      <c r="I604" s="2" t="s">
        <v>7652</v>
      </c>
      <c r="J604" s="2" t="s">
        <v>980</v>
      </c>
      <c r="K604" s="2" t="s">
        <v>7653</v>
      </c>
      <c r="L604" s="2" t="s">
        <v>7654</v>
      </c>
      <c r="M604" s="2" t="s">
        <v>7655</v>
      </c>
      <c r="N604" s="2" t="s">
        <v>89</v>
      </c>
      <c r="O604" s="2" t="s">
        <v>7656</v>
      </c>
      <c r="P604" s="2" t="s">
        <v>7657</v>
      </c>
      <c r="Q604" s="2"/>
      <c r="R604" s="2"/>
      <c r="S604" s="2" t="s">
        <v>7658</v>
      </c>
      <c r="T604" s="2" t="s">
        <v>7659</v>
      </c>
      <c r="U604" s="2" t="s">
        <v>7660</v>
      </c>
    </row>
    <row r="605" customFormat="false" ht="23.85" hidden="false" customHeight="false" outlineLevel="0" collapsed="false">
      <c r="A605" s="2" t="s">
        <v>7207</v>
      </c>
      <c r="B605" s="2" t="s">
        <v>7661</v>
      </c>
      <c r="C605" s="2" t="s">
        <v>7662</v>
      </c>
      <c r="D605" s="2" t="s">
        <v>7663</v>
      </c>
      <c r="E605" s="2" t="s">
        <v>7664</v>
      </c>
      <c r="F605" s="2" t="s">
        <v>193</v>
      </c>
      <c r="G605" s="2" t="s">
        <v>7618</v>
      </c>
      <c r="H605" s="2" t="s">
        <v>2257</v>
      </c>
      <c r="I605" s="2" t="s">
        <v>7665</v>
      </c>
      <c r="J605" s="2" t="s">
        <v>1560</v>
      </c>
      <c r="K605" s="2" t="s">
        <v>7666</v>
      </c>
      <c r="L605" s="2" t="s">
        <v>7667</v>
      </c>
      <c r="M605" s="2" t="s">
        <v>7634</v>
      </c>
      <c r="N605" s="2" t="s">
        <v>89</v>
      </c>
      <c r="O605" s="2" t="s">
        <v>57</v>
      </c>
      <c r="P605" s="2" t="s">
        <v>7668</v>
      </c>
      <c r="Q605" s="2"/>
      <c r="R605" s="2"/>
      <c r="S605" s="2" t="s">
        <v>4205</v>
      </c>
      <c r="T605" s="2" t="s">
        <v>2265</v>
      </c>
      <c r="U605" s="2" t="s">
        <v>2266</v>
      </c>
    </row>
    <row r="606" customFormat="false" ht="23.85" hidden="false" customHeight="false" outlineLevel="0" collapsed="false">
      <c r="A606" s="2" t="s">
        <v>7207</v>
      </c>
      <c r="B606" s="2" t="s">
        <v>7669</v>
      </c>
      <c r="C606" s="2" t="s">
        <v>7670</v>
      </c>
      <c r="D606" s="2" t="s">
        <v>7671</v>
      </c>
      <c r="E606" s="2" t="s">
        <v>7672</v>
      </c>
      <c r="F606" s="2" t="s">
        <v>193</v>
      </c>
      <c r="G606" s="2" t="s">
        <v>7618</v>
      </c>
      <c r="H606" s="2" t="s">
        <v>7673</v>
      </c>
      <c r="I606" s="2" t="s">
        <v>4641</v>
      </c>
      <c r="J606" s="2" t="s">
        <v>7674</v>
      </c>
      <c r="K606" s="2" t="s">
        <v>7675</v>
      </c>
      <c r="L606" s="2" t="s">
        <v>7676</v>
      </c>
      <c r="M606" s="2" t="s">
        <v>7634</v>
      </c>
      <c r="N606" s="2" t="s">
        <v>89</v>
      </c>
      <c r="O606" s="2" t="s">
        <v>57</v>
      </c>
      <c r="P606" s="2" t="s">
        <v>7677</v>
      </c>
      <c r="Q606" s="2"/>
      <c r="R606" s="2"/>
      <c r="S606" s="2" t="s">
        <v>7678</v>
      </c>
      <c r="T606" s="2" t="s">
        <v>7679</v>
      </c>
      <c r="U606" s="2" t="s">
        <v>7680</v>
      </c>
    </row>
    <row r="607" customFormat="false" ht="23.85" hidden="false" customHeight="false" outlineLevel="0" collapsed="false">
      <c r="A607" s="2" t="s">
        <v>7207</v>
      </c>
      <c r="B607" s="2" t="s">
        <v>7681</v>
      </c>
      <c r="C607" s="2" t="s">
        <v>7681</v>
      </c>
      <c r="D607" s="2" t="s">
        <v>7682</v>
      </c>
      <c r="E607" s="2" t="s">
        <v>7683</v>
      </c>
      <c r="F607" s="2" t="s">
        <v>34</v>
      </c>
      <c r="G607" s="2" t="s">
        <v>7684</v>
      </c>
      <c r="H607" s="2" t="s">
        <v>6031</v>
      </c>
      <c r="I607" s="2" t="s">
        <v>7685</v>
      </c>
      <c r="J607" s="2" t="s">
        <v>7686</v>
      </c>
      <c r="K607" s="2" t="s">
        <v>7687</v>
      </c>
      <c r="L607" s="2" t="s">
        <v>7688</v>
      </c>
      <c r="M607" s="2" t="s">
        <v>7689</v>
      </c>
      <c r="N607" s="2" t="s">
        <v>144</v>
      </c>
      <c r="O607" s="2" t="s">
        <v>57</v>
      </c>
      <c r="P607" s="2" t="s">
        <v>6194</v>
      </c>
      <c r="Q607" s="2"/>
      <c r="R607" s="2"/>
      <c r="S607" s="2" t="s">
        <v>7690</v>
      </c>
      <c r="T607" s="2" t="s">
        <v>7691</v>
      </c>
      <c r="U607" s="2" t="s">
        <v>7692</v>
      </c>
    </row>
    <row r="608" customFormat="false" ht="23.85" hidden="false" customHeight="false" outlineLevel="0" collapsed="false">
      <c r="A608" s="2" t="s">
        <v>7207</v>
      </c>
      <c r="B608" s="2" t="s">
        <v>7681</v>
      </c>
      <c r="C608" s="2" t="s">
        <v>7681</v>
      </c>
      <c r="D608" s="2" t="s">
        <v>7682</v>
      </c>
      <c r="E608" s="2" t="s">
        <v>7693</v>
      </c>
      <c r="F608" s="2" t="s">
        <v>34</v>
      </c>
      <c r="G608" s="2" t="s">
        <v>7694</v>
      </c>
      <c r="H608" s="2" t="s">
        <v>57</v>
      </c>
      <c r="I608" s="2" t="s">
        <v>7695</v>
      </c>
      <c r="J608" s="2" t="s">
        <v>7696</v>
      </c>
      <c r="K608" s="2" t="s">
        <v>7697</v>
      </c>
      <c r="L608" s="2" t="s">
        <v>7698</v>
      </c>
      <c r="M608" s="2" t="s">
        <v>7699</v>
      </c>
      <c r="N608" s="2" t="s">
        <v>144</v>
      </c>
      <c r="O608" s="2" t="s">
        <v>57</v>
      </c>
      <c r="P608" s="2" t="s">
        <v>6194</v>
      </c>
      <c r="Q608" s="2"/>
      <c r="R608" s="2"/>
      <c r="S608" s="2" t="s">
        <v>7700</v>
      </c>
      <c r="T608" s="2" t="s">
        <v>7701</v>
      </c>
      <c r="U608" s="2" t="s">
        <v>7702</v>
      </c>
    </row>
    <row r="609" customFormat="false" ht="23.85" hidden="false" customHeight="false" outlineLevel="0" collapsed="false">
      <c r="A609" s="2" t="s">
        <v>7207</v>
      </c>
      <c r="B609" s="2" t="s">
        <v>7703</v>
      </c>
      <c r="C609" s="2" t="s">
        <v>7703</v>
      </c>
      <c r="D609" s="2" t="s">
        <v>7682</v>
      </c>
      <c r="E609" s="2" t="s">
        <v>7704</v>
      </c>
      <c r="F609" s="2" t="s">
        <v>81</v>
      </c>
      <c r="G609" s="2" t="s">
        <v>7705</v>
      </c>
      <c r="H609" s="2" t="s">
        <v>1963</v>
      </c>
      <c r="I609" s="2" t="s">
        <v>1248</v>
      </c>
      <c r="J609" s="2" t="s">
        <v>38</v>
      </c>
      <c r="K609" s="2" t="s">
        <v>7706</v>
      </c>
      <c r="L609" s="2" t="s">
        <v>7707</v>
      </c>
      <c r="M609" s="2" t="s">
        <v>7708</v>
      </c>
      <c r="N609" s="2" t="s">
        <v>144</v>
      </c>
      <c r="O609" s="2" t="s">
        <v>57</v>
      </c>
      <c r="P609" s="2" t="s">
        <v>5000</v>
      </c>
      <c r="Q609" s="2"/>
      <c r="R609" s="2"/>
      <c r="S609" s="2" t="s">
        <v>7709</v>
      </c>
      <c r="T609" s="2" t="s">
        <v>7710</v>
      </c>
      <c r="U609" s="2" t="s">
        <v>7711</v>
      </c>
    </row>
    <row r="610" customFormat="false" ht="79.85" hidden="false" customHeight="false" outlineLevel="0" collapsed="false">
      <c r="A610" s="2" t="s">
        <v>7712</v>
      </c>
      <c r="B610" s="2" t="s">
        <v>2447</v>
      </c>
      <c r="C610" s="2" t="s">
        <v>7713</v>
      </c>
      <c r="D610" s="2" t="s">
        <v>7714</v>
      </c>
      <c r="E610" s="2" t="s">
        <v>7715</v>
      </c>
      <c r="F610" s="2" t="s">
        <v>1188</v>
      </c>
      <c r="G610" s="2" t="s">
        <v>7716</v>
      </c>
      <c r="H610" s="2" t="s">
        <v>7717</v>
      </c>
      <c r="I610" s="2" t="s">
        <v>7718</v>
      </c>
      <c r="J610" s="2" t="s">
        <v>7719</v>
      </c>
      <c r="K610" s="2" t="s">
        <v>7720</v>
      </c>
      <c r="L610" s="2" t="s">
        <v>7721</v>
      </c>
      <c r="M610" s="2" t="s">
        <v>7722</v>
      </c>
      <c r="N610" s="2" t="s">
        <v>56</v>
      </c>
      <c r="O610" s="2" t="s">
        <v>7723</v>
      </c>
      <c r="P610" s="2" t="s">
        <v>57</v>
      </c>
      <c r="Q610" s="2" t="s">
        <v>7724</v>
      </c>
      <c r="R610" s="2" t="s">
        <v>7725</v>
      </c>
      <c r="S610" s="2" t="s">
        <v>7726</v>
      </c>
      <c r="T610" s="2" t="s">
        <v>1196</v>
      </c>
      <c r="U610" s="2" t="s">
        <v>7727</v>
      </c>
    </row>
    <row r="611" customFormat="false" ht="46.25" hidden="false" customHeight="false" outlineLevel="0" collapsed="false">
      <c r="A611" s="2" t="s">
        <v>7712</v>
      </c>
      <c r="B611" s="2" t="s">
        <v>2447</v>
      </c>
      <c r="C611" s="2" t="s">
        <v>7728</v>
      </c>
      <c r="D611" s="2" t="s">
        <v>7729</v>
      </c>
      <c r="E611" s="2" t="s">
        <v>7730</v>
      </c>
      <c r="F611" s="2" t="s">
        <v>1188</v>
      </c>
      <c r="G611" s="2" t="s">
        <v>7731</v>
      </c>
      <c r="H611" s="2" t="s">
        <v>629</v>
      </c>
      <c r="I611" s="2" t="s">
        <v>7732</v>
      </c>
      <c r="J611" s="2" t="s">
        <v>7733</v>
      </c>
      <c r="K611" s="2" t="s">
        <v>7734</v>
      </c>
      <c r="L611" s="2" t="s">
        <v>7735</v>
      </c>
      <c r="M611" s="2" t="s">
        <v>7736</v>
      </c>
      <c r="N611" s="2" t="s">
        <v>56</v>
      </c>
      <c r="O611" s="2" t="s">
        <v>57</v>
      </c>
      <c r="P611" s="2" t="s">
        <v>57</v>
      </c>
      <c r="Q611" s="2" t="s">
        <v>7737</v>
      </c>
      <c r="R611" s="2"/>
      <c r="S611" s="2" t="s">
        <v>7726</v>
      </c>
      <c r="T611" s="2" t="s">
        <v>1196</v>
      </c>
      <c r="U611" s="2" t="s">
        <v>7727</v>
      </c>
    </row>
    <row r="612" customFormat="false" ht="57.45" hidden="false" customHeight="false" outlineLevel="0" collapsed="false">
      <c r="A612" s="2" t="s">
        <v>7712</v>
      </c>
      <c r="B612" s="2" t="s">
        <v>2447</v>
      </c>
      <c r="C612" s="2" t="s">
        <v>7738</v>
      </c>
      <c r="D612" s="2" t="s">
        <v>7739</v>
      </c>
      <c r="E612" s="2" t="s">
        <v>7740</v>
      </c>
      <c r="F612" s="2" t="s">
        <v>1188</v>
      </c>
      <c r="G612" s="2" t="s">
        <v>7731</v>
      </c>
      <c r="H612" s="2" t="s">
        <v>629</v>
      </c>
      <c r="I612" s="2" t="s">
        <v>7741</v>
      </c>
      <c r="J612" s="2" t="s">
        <v>7742</v>
      </c>
      <c r="K612" s="2" t="s">
        <v>7743</v>
      </c>
      <c r="L612" s="2" t="s">
        <v>7744</v>
      </c>
      <c r="M612" s="2" t="s">
        <v>7745</v>
      </c>
      <c r="N612" s="2" t="s">
        <v>144</v>
      </c>
      <c r="O612" s="2" t="s">
        <v>57</v>
      </c>
      <c r="P612" s="2" t="s">
        <v>57</v>
      </c>
      <c r="Q612" s="2"/>
      <c r="R612" s="2"/>
      <c r="S612" s="2" t="s">
        <v>7726</v>
      </c>
      <c r="T612" s="2" t="s">
        <v>1196</v>
      </c>
      <c r="U612" s="2" t="s">
        <v>7727</v>
      </c>
    </row>
    <row r="613" customFormat="false" ht="46.25" hidden="false" customHeight="false" outlineLevel="0" collapsed="false">
      <c r="A613" s="2" t="s">
        <v>7712</v>
      </c>
      <c r="B613" s="2" t="s">
        <v>2447</v>
      </c>
      <c r="C613" s="2" t="s">
        <v>7746</v>
      </c>
      <c r="D613" s="2" t="s">
        <v>7747</v>
      </c>
      <c r="E613" s="2" t="s">
        <v>7748</v>
      </c>
      <c r="F613" s="2" t="s">
        <v>1188</v>
      </c>
      <c r="G613" s="2" t="s">
        <v>7749</v>
      </c>
      <c r="H613" s="2" t="s">
        <v>7750</v>
      </c>
      <c r="I613" s="2" t="s">
        <v>183</v>
      </c>
      <c r="J613" s="2" t="s">
        <v>7751</v>
      </c>
      <c r="K613" s="2" t="s">
        <v>7752</v>
      </c>
      <c r="L613" s="2" t="s">
        <v>7753</v>
      </c>
      <c r="M613" s="2" t="s">
        <v>7754</v>
      </c>
      <c r="N613" s="2" t="s">
        <v>56</v>
      </c>
      <c r="O613" s="2" t="s">
        <v>57</v>
      </c>
      <c r="P613" s="2" t="s">
        <v>57</v>
      </c>
      <c r="Q613" s="2"/>
      <c r="R613" s="2"/>
      <c r="S613" s="2" t="s">
        <v>7726</v>
      </c>
      <c r="T613" s="2" t="s">
        <v>1196</v>
      </c>
      <c r="U613" s="2" t="s">
        <v>7755</v>
      </c>
    </row>
    <row r="614" customFormat="false" ht="57.45" hidden="false" customHeight="false" outlineLevel="0" collapsed="false">
      <c r="A614" s="2" t="s">
        <v>7712</v>
      </c>
      <c r="B614" s="2" t="s">
        <v>2447</v>
      </c>
      <c r="C614" s="2" t="s">
        <v>7756</v>
      </c>
      <c r="D614" s="2" t="s">
        <v>7757</v>
      </c>
      <c r="E614" s="2" t="s">
        <v>7758</v>
      </c>
      <c r="F614" s="2" t="s">
        <v>1188</v>
      </c>
      <c r="G614" s="2" t="s">
        <v>7731</v>
      </c>
      <c r="H614" s="2" t="s">
        <v>629</v>
      </c>
      <c r="I614" s="2" t="s">
        <v>7759</v>
      </c>
      <c r="J614" s="2" t="s">
        <v>7760</v>
      </c>
      <c r="K614" s="2" t="s">
        <v>7761</v>
      </c>
      <c r="L614" s="2" t="s">
        <v>7762</v>
      </c>
      <c r="M614" s="2" t="s">
        <v>7763</v>
      </c>
      <c r="N614" s="2" t="s">
        <v>144</v>
      </c>
      <c r="O614" s="2" t="s">
        <v>57</v>
      </c>
      <c r="P614" s="2" t="s">
        <v>57</v>
      </c>
      <c r="Q614" s="2"/>
      <c r="R614" s="2" t="s">
        <v>7764</v>
      </c>
      <c r="S614" s="2" t="s">
        <v>7726</v>
      </c>
      <c r="T614" s="2" t="s">
        <v>1196</v>
      </c>
      <c r="U614" s="2" t="s">
        <v>7765</v>
      </c>
    </row>
    <row r="615" customFormat="false" ht="46.25" hidden="false" customHeight="false" outlineLevel="0" collapsed="false">
      <c r="A615" s="2" t="s">
        <v>7712</v>
      </c>
      <c r="B615" s="2" t="s">
        <v>2447</v>
      </c>
      <c r="C615" s="2" t="s">
        <v>7766</v>
      </c>
      <c r="D615" s="2" t="s">
        <v>7767</v>
      </c>
      <c r="E615" s="2" t="s">
        <v>7768</v>
      </c>
      <c r="F615" s="2" t="s">
        <v>1188</v>
      </c>
      <c r="G615" s="2" t="s">
        <v>7769</v>
      </c>
      <c r="H615" s="2" t="s">
        <v>629</v>
      </c>
      <c r="I615" s="2" t="s">
        <v>7770</v>
      </c>
      <c r="J615" s="2" t="s">
        <v>7771</v>
      </c>
      <c r="K615" s="2" t="s">
        <v>7772</v>
      </c>
      <c r="L615" s="2" t="s">
        <v>7773</v>
      </c>
      <c r="M615" s="2" t="s">
        <v>7774</v>
      </c>
      <c r="N615" s="2" t="s">
        <v>56</v>
      </c>
      <c r="O615" s="2" t="s">
        <v>7775</v>
      </c>
      <c r="P615" s="2" t="s">
        <v>57</v>
      </c>
      <c r="Q615" s="2" t="s">
        <v>7776</v>
      </c>
      <c r="R615" s="2"/>
      <c r="S615" s="2" t="s">
        <v>7726</v>
      </c>
      <c r="T615" s="2" t="s">
        <v>1196</v>
      </c>
      <c r="U615" s="2" t="s">
        <v>7777</v>
      </c>
    </row>
    <row r="616" customFormat="false" ht="46.25" hidden="false" customHeight="false" outlineLevel="0" collapsed="false">
      <c r="A616" s="2" t="s">
        <v>7712</v>
      </c>
      <c r="B616" s="2" t="s">
        <v>2447</v>
      </c>
      <c r="C616" s="2" t="s">
        <v>7778</v>
      </c>
      <c r="D616" s="2" t="s">
        <v>7779</v>
      </c>
      <c r="E616" s="2" t="s">
        <v>7780</v>
      </c>
      <c r="F616" s="2" t="s">
        <v>1188</v>
      </c>
      <c r="G616" s="2" t="s">
        <v>7731</v>
      </c>
      <c r="H616" s="2" t="s">
        <v>629</v>
      </c>
      <c r="I616" s="2" t="s">
        <v>7781</v>
      </c>
      <c r="J616" s="2" t="s">
        <v>7782</v>
      </c>
      <c r="K616" s="2" t="s">
        <v>7783</v>
      </c>
      <c r="L616" s="2" t="s">
        <v>7784</v>
      </c>
      <c r="M616" s="2" t="s">
        <v>7785</v>
      </c>
      <c r="N616" s="2" t="s">
        <v>144</v>
      </c>
      <c r="O616" s="2" t="s">
        <v>7786</v>
      </c>
      <c r="P616" s="2" t="s">
        <v>57</v>
      </c>
      <c r="Q616" s="2" t="s">
        <v>7787</v>
      </c>
      <c r="R616" s="2"/>
      <c r="S616" s="2" t="s">
        <v>7726</v>
      </c>
      <c r="T616" s="2" t="s">
        <v>1196</v>
      </c>
      <c r="U616" s="2" t="s">
        <v>7788</v>
      </c>
    </row>
    <row r="617" customFormat="false" ht="57.45" hidden="false" customHeight="false" outlineLevel="0" collapsed="false">
      <c r="A617" s="2" t="s">
        <v>7712</v>
      </c>
      <c r="B617" s="2" t="s">
        <v>2447</v>
      </c>
      <c r="C617" s="2" t="s">
        <v>7789</v>
      </c>
      <c r="D617" s="2" t="s">
        <v>7790</v>
      </c>
      <c r="E617" s="2" t="s">
        <v>7791</v>
      </c>
      <c r="F617" s="2" t="s">
        <v>1188</v>
      </c>
      <c r="G617" s="2" t="s">
        <v>7792</v>
      </c>
      <c r="H617" s="2" t="s">
        <v>629</v>
      </c>
      <c r="I617" s="2" t="s">
        <v>7793</v>
      </c>
      <c r="J617" s="2" t="s">
        <v>7794</v>
      </c>
      <c r="K617" s="2" t="s">
        <v>7795</v>
      </c>
      <c r="L617" s="2" t="s">
        <v>7796</v>
      </c>
      <c r="M617" s="2" t="s">
        <v>7797</v>
      </c>
      <c r="N617" s="2" t="s">
        <v>42</v>
      </c>
      <c r="O617" s="2" t="s">
        <v>57</v>
      </c>
      <c r="P617" s="2" t="s">
        <v>57</v>
      </c>
      <c r="Q617" s="2"/>
      <c r="R617" s="2"/>
      <c r="S617" s="2" t="s">
        <v>7726</v>
      </c>
      <c r="T617" s="2" t="s">
        <v>1196</v>
      </c>
      <c r="U617" s="2" t="s">
        <v>7788</v>
      </c>
    </row>
    <row r="618" customFormat="false" ht="57.45" hidden="false" customHeight="false" outlineLevel="0" collapsed="false">
      <c r="A618" s="2" t="s">
        <v>7712</v>
      </c>
      <c r="B618" s="2" t="s">
        <v>2447</v>
      </c>
      <c r="C618" s="2" t="s">
        <v>7798</v>
      </c>
      <c r="D618" s="2" t="s">
        <v>7799</v>
      </c>
      <c r="E618" s="2" t="s">
        <v>7800</v>
      </c>
      <c r="F618" s="2" t="s">
        <v>1188</v>
      </c>
      <c r="G618" s="2" t="s">
        <v>7801</v>
      </c>
      <c r="H618" s="2" t="s">
        <v>7802</v>
      </c>
      <c r="I618" s="2" t="s">
        <v>7803</v>
      </c>
      <c r="J618" s="2" t="s">
        <v>7804</v>
      </c>
      <c r="K618" s="2" t="s">
        <v>7805</v>
      </c>
      <c r="L618" s="2" t="s">
        <v>7784</v>
      </c>
      <c r="M618" s="2" t="s">
        <v>7806</v>
      </c>
      <c r="N618" s="2" t="s">
        <v>56</v>
      </c>
      <c r="O618" s="2" t="s">
        <v>7807</v>
      </c>
      <c r="P618" s="2" t="s">
        <v>57</v>
      </c>
      <c r="Q618" s="2"/>
      <c r="R618" s="2"/>
      <c r="S618" s="2" t="s">
        <v>7726</v>
      </c>
      <c r="T618" s="2" t="s">
        <v>1196</v>
      </c>
      <c r="U618" s="2" t="s">
        <v>7808</v>
      </c>
    </row>
    <row r="619" customFormat="false" ht="57.45" hidden="false" customHeight="false" outlineLevel="0" collapsed="false">
      <c r="A619" s="2" t="s">
        <v>7712</v>
      </c>
      <c r="B619" s="2" t="s">
        <v>2447</v>
      </c>
      <c r="C619" s="2" t="s">
        <v>7809</v>
      </c>
      <c r="D619" s="2" t="s">
        <v>7810</v>
      </c>
      <c r="E619" s="2" t="s">
        <v>7811</v>
      </c>
      <c r="F619" s="2" t="s">
        <v>1188</v>
      </c>
      <c r="G619" s="2" t="s">
        <v>7801</v>
      </c>
      <c r="H619" s="2" t="s">
        <v>7802</v>
      </c>
      <c r="I619" s="2" t="s">
        <v>7812</v>
      </c>
      <c r="J619" s="2" t="s">
        <v>7813</v>
      </c>
      <c r="K619" s="2" t="s">
        <v>7814</v>
      </c>
      <c r="L619" s="2" t="s">
        <v>7784</v>
      </c>
      <c r="M619" s="2" t="s">
        <v>7815</v>
      </c>
      <c r="N619" s="2" t="s">
        <v>42</v>
      </c>
      <c r="O619" s="2" t="s">
        <v>57</v>
      </c>
      <c r="P619" s="2" t="s">
        <v>57</v>
      </c>
      <c r="Q619" s="2"/>
      <c r="R619" s="2"/>
      <c r="S619" s="2" t="s">
        <v>7726</v>
      </c>
      <c r="T619" s="2" t="s">
        <v>1196</v>
      </c>
      <c r="U619" s="2" t="s">
        <v>7816</v>
      </c>
    </row>
    <row r="620" customFormat="false" ht="46.25" hidden="false" customHeight="false" outlineLevel="0" collapsed="false">
      <c r="A620" s="2" t="s">
        <v>7712</v>
      </c>
      <c r="B620" s="2" t="s">
        <v>2447</v>
      </c>
      <c r="C620" s="2" t="s">
        <v>7817</v>
      </c>
      <c r="D620" s="2" t="s">
        <v>7818</v>
      </c>
      <c r="E620" s="2" t="s">
        <v>7819</v>
      </c>
      <c r="F620" s="2" t="s">
        <v>1188</v>
      </c>
      <c r="G620" s="2" t="s">
        <v>7731</v>
      </c>
      <c r="H620" s="2" t="s">
        <v>7820</v>
      </c>
      <c r="I620" s="2" t="s">
        <v>7821</v>
      </c>
      <c r="J620" s="2" t="s">
        <v>7822</v>
      </c>
      <c r="K620" s="2" t="s">
        <v>7823</v>
      </c>
      <c r="L620" s="2" t="s">
        <v>7824</v>
      </c>
      <c r="M620" s="2" t="s">
        <v>7825</v>
      </c>
      <c r="N620" s="2" t="s">
        <v>144</v>
      </c>
      <c r="O620" s="2" t="s">
        <v>7826</v>
      </c>
      <c r="P620" s="2" t="s">
        <v>7827</v>
      </c>
      <c r="Q620" s="2"/>
      <c r="R620" s="2"/>
      <c r="S620" s="2" t="s">
        <v>7726</v>
      </c>
      <c r="T620" s="2" t="s">
        <v>1196</v>
      </c>
      <c r="U620" s="2" t="s">
        <v>7828</v>
      </c>
    </row>
    <row r="621" customFormat="false" ht="57.45" hidden="false" customHeight="false" outlineLevel="0" collapsed="false">
      <c r="A621" s="2" t="s">
        <v>7712</v>
      </c>
      <c r="B621" s="2" t="s">
        <v>2447</v>
      </c>
      <c r="C621" s="2" t="s">
        <v>7829</v>
      </c>
      <c r="D621" s="2" t="s">
        <v>7830</v>
      </c>
      <c r="E621" s="2" t="s">
        <v>7831</v>
      </c>
      <c r="F621" s="2" t="s">
        <v>1188</v>
      </c>
      <c r="G621" s="2" t="s">
        <v>7832</v>
      </c>
      <c r="H621" s="2" t="s">
        <v>629</v>
      </c>
      <c r="I621" s="2" t="s">
        <v>7833</v>
      </c>
      <c r="J621" s="2" t="s">
        <v>7834</v>
      </c>
      <c r="K621" s="2" t="s">
        <v>7835</v>
      </c>
      <c r="L621" s="2" t="s">
        <v>7836</v>
      </c>
      <c r="M621" s="2" t="s">
        <v>7837</v>
      </c>
      <c r="N621" s="2" t="s">
        <v>144</v>
      </c>
      <c r="O621" s="2" t="s">
        <v>57</v>
      </c>
      <c r="P621" s="2" t="s">
        <v>7838</v>
      </c>
      <c r="Q621" s="2"/>
      <c r="R621" s="2"/>
      <c r="S621" s="2" t="s">
        <v>7726</v>
      </c>
      <c r="T621" s="2" t="s">
        <v>1196</v>
      </c>
      <c r="U621" s="2" t="s">
        <v>7839</v>
      </c>
    </row>
    <row r="622" customFormat="false" ht="79.85" hidden="false" customHeight="false" outlineLevel="0" collapsed="false">
      <c r="A622" s="2" t="s">
        <v>7712</v>
      </c>
      <c r="B622" s="2" t="s">
        <v>2447</v>
      </c>
      <c r="C622" s="2" t="s">
        <v>7840</v>
      </c>
      <c r="D622" s="2" t="s">
        <v>7841</v>
      </c>
      <c r="E622" s="2" t="s">
        <v>7842</v>
      </c>
      <c r="F622" s="2" t="s">
        <v>1174</v>
      </c>
      <c r="G622" s="2" t="s">
        <v>7843</v>
      </c>
      <c r="H622" s="2" t="s">
        <v>7844</v>
      </c>
      <c r="I622" s="2" t="s">
        <v>183</v>
      </c>
      <c r="J622" s="2" t="s">
        <v>7845</v>
      </c>
      <c r="K622" s="2" t="s">
        <v>7846</v>
      </c>
      <c r="L622" s="2" t="s">
        <v>7847</v>
      </c>
      <c r="M622" s="2" t="s">
        <v>7848</v>
      </c>
      <c r="N622" s="2" t="s">
        <v>56</v>
      </c>
      <c r="O622" s="2" t="s">
        <v>7849</v>
      </c>
      <c r="P622" s="2" t="s">
        <v>7850</v>
      </c>
      <c r="Q622" s="2"/>
      <c r="R622" s="2"/>
      <c r="S622" s="2" t="s">
        <v>7726</v>
      </c>
      <c r="T622" s="2" t="s">
        <v>1196</v>
      </c>
      <c r="U622" s="2" t="s">
        <v>7851</v>
      </c>
    </row>
    <row r="623" customFormat="false" ht="68.65" hidden="false" customHeight="false" outlineLevel="0" collapsed="false">
      <c r="A623" s="2" t="s">
        <v>7712</v>
      </c>
      <c r="B623" s="2" t="s">
        <v>2447</v>
      </c>
      <c r="C623" s="2" t="s">
        <v>7852</v>
      </c>
      <c r="D623" s="2" t="s">
        <v>4664</v>
      </c>
      <c r="E623" s="2" t="s">
        <v>7853</v>
      </c>
      <c r="F623" s="2" t="s">
        <v>193</v>
      </c>
      <c r="G623" s="2" t="s">
        <v>7854</v>
      </c>
      <c r="H623" s="2" t="s">
        <v>7855</v>
      </c>
      <c r="I623" s="2" t="s">
        <v>3255</v>
      </c>
      <c r="J623" s="2" t="s">
        <v>7856</v>
      </c>
      <c r="K623" s="2" t="s">
        <v>7857</v>
      </c>
      <c r="L623" s="2" t="s">
        <v>7858</v>
      </c>
      <c r="M623" s="2" t="s">
        <v>7859</v>
      </c>
      <c r="N623" s="2" t="s">
        <v>89</v>
      </c>
      <c r="O623" s="2" t="s">
        <v>57</v>
      </c>
      <c r="P623" s="2" t="s">
        <v>7860</v>
      </c>
      <c r="Q623" s="2"/>
      <c r="R623" s="2"/>
      <c r="S623" s="2" t="s">
        <v>7861</v>
      </c>
      <c r="T623" s="2" t="s">
        <v>2855</v>
      </c>
      <c r="U623" s="2" t="s">
        <v>2856</v>
      </c>
    </row>
    <row r="624" customFormat="false" ht="68.65" hidden="false" customHeight="false" outlineLevel="0" collapsed="false">
      <c r="A624" s="2" t="s">
        <v>7712</v>
      </c>
      <c r="B624" s="2" t="s">
        <v>2447</v>
      </c>
      <c r="C624" s="2" t="s">
        <v>7862</v>
      </c>
      <c r="D624" s="2" t="s">
        <v>7863</v>
      </c>
      <c r="E624" s="2" t="s">
        <v>7864</v>
      </c>
      <c r="F624" s="2" t="s">
        <v>347</v>
      </c>
      <c r="G624" s="2" t="s">
        <v>7865</v>
      </c>
      <c r="H624" s="2" t="s">
        <v>58</v>
      </c>
      <c r="I624" s="2" t="s">
        <v>7866</v>
      </c>
      <c r="J624" s="2" t="s">
        <v>58</v>
      </c>
      <c r="K624" s="2" t="s">
        <v>7867</v>
      </c>
      <c r="L624" s="2" t="s">
        <v>7868</v>
      </c>
      <c r="M624" s="2" t="s">
        <v>7869</v>
      </c>
      <c r="N624" s="2" t="s">
        <v>144</v>
      </c>
      <c r="O624" s="2" t="s">
        <v>57</v>
      </c>
      <c r="P624" s="2" t="s">
        <v>57</v>
      </c>
      <c r="Q624" s="2" t="s">
        <v>7870</v>
      </c>
      <c r="R624" s="2"/>
      <c r="S624" s="2" t="s">
        <v>7871</v>
      </c>
      <c r="T624" s="2" t="s">
        <v>7872</v>
      </c>
      <c r="U624" s="2" t="s">
        <v>7873</v>
      </c>
    </row>
    <row r="625" customFormat="false" ht="46.25" hidden="false" customHeight="false" outlineLevel="0" collapsed="false">
      <c r="A625" s="2" t="s">
        <v>7712</v>
      </c>
      <c r="B625" s="2" t="s">
        <v>2447</v>
      </c>
      <c r="C625" s="2" t="s">
        <v>7874</v>
      </c>
      <c r="D625" s="2" t="s">
        <v>7875</v>
      </c>
      <c r="E625" s="2" t="s">
        <v>7876</v>
      </c>
      <c r="F625" s="2" t="s">
        <v>347</v>
      </c>
      <c r="G625" s="2" t="s">
        <v>7877</v>
      </c>
      <c r="H625" s="2" t="s">
        <v>7878</v>
      </c>
      <c r="I625" s="2" t="s">
        <v>183</v>
      </c>
      <c r="J625" s="2" t="s">
        <v>1936</v>
      </c>
      <c r="K625" s="2" t="s">
        <v>7879</v>
      </c>
      <c r="L625" s="2" t="s">
        <v>351</v>
      </c>
      <c r="M625" s="2" t="s">
        <v>7880</v>
      </c>
      <c r="N625" s="2" t="s">
        <v>144</v>
      </c>
      <c r="O625" s="2" t="s">
        <v>57</v>
      </c>
      <c r="P625" s="2" t="s">
        <v>57</v>
      </c>
      <c r="Q625" s="2" t="s">
        <v>7881</v>
      </c>
      <c r="R625" s="2"/>
      <c r="S625" s="2" t="s">
        <v>7882</v>
      </c>
      <c r="T625" s="2" t="s">
        <v>7883</v>
      </c>
      <c r="U625" s="2" t="s">
        <v>7884</v>
      </c>
    </row>
    <row r="626" customFormat="false" ht="57.45" hidden="false" customHeight="false" outlineLevel="0" collapsed="false">
      <c r="A626" s="2" t="s">
        <v>7712</v>
      </c>
      <c r="B626" s="2" t="s">
        <v>2365</v>
      </c>
      <c r="C626" s="2" t="s">
        <v>7885</v>
      </c>
      <c r="D626" s="2" t="s">
        <v>7886</v>
      </c>
      <c r="E626" s="2" t="s">
        <v>7887</v>
      </c>
      <c r="F626" s="2" t="s">
        <v>34</v>
      </c>
      <c r="G626" s="2" t="s">
        <v>7888</v>
      </c>
      <c r="H626" s="2" t="s">
        <v>1600</v>
      </c>
      <c r="I626" s="2" t="s">
        <v>2437</v>
      </c>
      <c r="J626" s="2" t="s">
        <v>7889</v>
      </c>
      <c r="K626" s="2" t="s">
        <v>7890</v>
      </c>
      <c r="L626" s="2" t="s">
        <v>2440</v>
      </c>
      <c r="M626" s="2" t="s">
        <v>7891</v>
      </c>
      <c r="N626" s="2" t="s">
        <v>144</v>
      </c>
      <c r="O626" s="2" t="s">
        <v>58</v>
      </c>
      <c r="P626" s="2" t="s">
        <v>58</v>
      </c>
      <c r="Q626" s="2" t="s">
        <v>7892</v>
      </c>
      <c r="R626" s="2"/>
      <c r="S626" s="2" t="s">
        <v>7893</v>
      </c>
      <c r="T626" s="2" t="s">
        <v>2445</v>
      </c>
      <c r="U626" s="2" t="s">
        <v>2446</v>
      </c>
    </row>
    <row r="627" customFormat="false" ht="79.85" hidden="false" customHeight="false" outlineLevel="0" collapsed="false">
      <c r="A627" s="2" t="s">
        <v>7712</v>
      </c>
      <c r="B627" s="2" t="s">
        <v>2365</v>
      </c>
      <c r="C627" s="2" t="s">
        <v>7894</v>
      </c>
      <c r="D627" s="2" t="s">
        <v>7895</v>
      </c>
      <c r="E627" s="2" t="s">
        <v>7896</v>
      </c>
      <c r="F627" s="2" t="s">
        <v>34</v>
      </c>
      <c r="G627" s="2" t="s">
        <v>3721</v>
      </c>
      <c r="H627" s="2" t="s">
        <v>2356</v>
      </c>
      <c r="I627" s="2" t="s">
        <v>3255</v>
      </c>
      <c r="J627" s="2" t="s">
        <v>1545</v>
      </c>
      <c r="K627" s="2" t="s">
        <v>7897</v>
      </c>
      <c r="L627" s="2" t="s">
        <v>7898</v>
      </c>
      <c r="M627" s="2" t="s">
        <v>7899</v>
      </c>
      <c r="N627" s="2" t="s">
        <v>144</v>
      </c>
      <c r="O627" s="2" t="s">
        <v>7900</v>
      </c>
      <c r="P627" s="2" t="s">
        <v>58</v>
      </c>
      <c r="Q627" s="2"/>
      <c r="R627" s="2"/>
      <c r="S627" s="2" t="s">
        <v>7901</v>
      </c>
      <c r="T627" s="2" t="s">
        <v>6852</v>
      </c>
      <c r="U627" s="2" t="s">
        <v>2364</v>
      </c>
    </row>
    <row r="628" customFormat="false" ht="79.85" hidden="false" customHeight="false" outlineLevel="0" collapsed="false">
      <c r="A628" s="2" t="s">
        <v>7712</v>
      </c>
      <c r="B628" s="2" t="s">
        <v>7902</v>
      </c>
      <c r="C628" s="2" t="s">
        <v>7903</v>
      </c>
      <c r="D628" s="2" t="s">
        <v>7904</v>
      </c>
      <c r="E628" s="2" t="s">
        <v>7905</v>
      </c>
      <c r="F628" s="2" t="s">
        <v>627</v>
      </c>
      <c r="G628" s="2" t="s">
        <v>2509</v>
      </c>
      <c r="H628" s="2" t="s">
        <v>629</v>
      </c>
      <c r="I628" s="2" t="s">
        <v>7906</v>
      </c>
      <c r="J628" s="2" t="s">
        <v>2511</v>
      </c>
      <c r="K628" s="2" t="s">
        <v>7907</v>
      </c>
      <c r="L628" s="2" t="s">
        <v>7908</v>
      </c>
      <c r="M628" s="2" t="s">
        <v>7909</v>
      </c>
      <c r="N628" s="2" t="s">
        <v>144</v>
      </c>
      <c r="O628" s="2" t="s">
        <v>43</v>
      </c>
      <c r="P628" s="2" t="s">
        <v>7910</v>
      </c>
      <c r="Q628" s="2"/>
      <c r="R628" s="2"/>
      <c r="S628" s="2" t="s">
        <v>7911</v>
      </c>
      <c r="T628" s="2" t="s">
        <v>2518</v>
      </c>
      <c r="U628" s="2" t="s">
        <v>2519</v>
      </c>
    </row>
    <row r="629" customFormat="false" ht="46.25" hidden="false" customHeight="false" outlineLevel="0" collapsed="false">
      <c r="A629" s="2" t="s">
        <v>7712</v>
      </c>
      <c r="B629" s="2" t="s">
        <v>2600</v>
      </c>
      <c r="C629" s="2" t="s">
        <v>7912</v>
      </c>
      <c r="D629" s="2" t="s">
        <v>7913</v>
      </c>
      <c r="E629" s="2" t="s">
        <v>7914</v>
      </c>
      <c r="F629" s="2" t="s">
        <v>1188</v>
      </c>
      <c r="G629" s="2" t="s">
        <v>7731</v>
      </c>
      <c r="H629" s="2" t="s">
        <v>629</v>
      </c>
      <c r="I629" s="2" t="s">
        <v>7915</v>
      </c>
      <c r="J629" s="2" t="s">
        <v>7916</v>
      </c>
      <c r="K629" s="2" t="s">
        <v>7917</v>
      </c>
      <c r="L629" s="2" t="s">
        <v>7918</v>
      </c>
      <c r="M629" s="2" t="s">
        <v>7919</v>
      </c>
      <c r="N629" s="2" t="s">
        <v>144</v>
      </c>
      <c r="O629" s="2" t="s">
        <v>7920</v>
      </c>
      <c r="P629" s="2" t="s">
        <v>57</v>
      </c>
      <c r="Q629" s="2" t="s">
        <v>7921</v>
      </c>
      <c r="R629" s="2"/>
      <c r="S629" s="2" t="s">
        <v>7726</v>
      </c>
      <c r="T629" s="2" t="s">
        <v>1196</v>
      </c>
      <c r="U629" s="2" t="s">
        <v>7922</v>
      </c>
    </row>
    <row r="630" customFormat="false" ht="102.2" hidden="false" customHeight="false" outlineLevel="0" collapsed="false">
      <c r="A630" s="2" t="s">
        <v>7712</v>
      </c>
      <c r="B630" s="2" t="s">
        <v>2600</v>
      </c>
      <c r="C630" s="2" t="s">
        <v>7923</v>
      </c>
      <c r="D630" s="2" t="s">
        <v>7924</v>
      </c>
      <c r="E630" s="2" t="s">
        <v>7925</v>
      </c>
      <c r="F630" s="2" t="s">
        <v>34</v>
      </c>
      <c r="G630" s="2" t="s">
        <v>1768</v>
      </c>
      <c r="H630" s="2" t="s">
        <v>2605</v>
      </c>
      <c r="I630" s="2" t="s">
        <v>7926</v>
      </c>
      <c r="J630" s="2" t="s">
        <v>1470</v>
      </c>
      <c r="K630" s="2" t="s">
        <v>7927</v>
      </c>
      <c r="L630" s="2" t="s">
        <v>7928</v>
      </c>
      <c r="M630" s="2" t="s">
        <v>7929</v>
      </c>
      <c r="N630" s="2" t="s">
        <v>144</v>
      </c>
      <c r="O630" s="2" t="s">
        <v>7930</v>
      </c>
      <c r="P630" s="2" t="s">
        <v>7931</v>
      </c>
      <c r="Q630" s="2"/>
      <c r="R630" s="2"/>
      <c r="S630" s="2" t="s">
        <v>7932</v>
      </c>
      <c r="T630" s="2" t="s">
        <v>7933</v>
      </c>
      <c r="U630" s="2" t="s">
        <v>2613</v>
      </c>
    </row>
    <row r="631" customFormat="false" ht="102.2" hidden="false" customHeight="false" outlineLevel="0" collapsed="false">
      <c r="A631" s="2" t="s">
        <v>7712</v>
      </c>
      <c r="B631" s="2" t="s">
        <v>2600</v>
      </c>
      <c r="C631" s="2" t="s">
        <v>7934</v>
      </c>
      <c r="D631" s="2" t="s">
        <v>7935</v>
      </c>
      <c r="E631" s="2" t="s">
        <v>7936</v>
      </c>
      <c r="F631" s="2" t="s">
        <v>34</v>
      </c>
      <c r="G631" s="2" t="s">
        <v>7937</v>
      </c>
      <c r="H631" s="2" t="s">
        <v>7938</v>
      </c>
      <c r="I631" s="2" t="s">
        <v>7939</v>
      </c>
      <c r="J631" s="2" t="s">
        <v>7940</v>
      </c>
      <c r="K631" s="2" t="s">
        <v>7941</v>
      </c>
      <c r="L631" s="2" t="s">
        <v>7942</v>
      </c>
      <c r="M631" s="2" t="s">
        <v>7943</v>
      </c>
      <c r="N631" s="2" t="s">
        <v>42</v>
      </c>
      <c r="O631" s="2" t="s">
        <v>7944</v>
      </c>
      <c r="P631" s="2" t="s">
        <v>7931</v>
      </c>
      <c r="Q631" s="2"/>
      <c r="R631" s="2"/>
      <c r="S631" s="2" t="s">
        <v>7945</v>
      </c>
      <c r="T631" s="2" t="s">
        <v>7946</v>
      </c>
      <c r="U631" s="2" t="s">
        <v>2627</v>
      </c>
    </row>
    <row r="632" customFormat="false" ht="46.25" hidden="false" customHeight="false" outlineLevel="0" collapsed="false">
      <c r="A632" s="2" t="s">
        <v>7712</v>
      </c>
      <c r="B632" s="2" t="s">
        <v>7947</v>
      </c>
      <c r="C632" s="2" t="s">
        <v>7948</v>
      </c>
      <c r="D632" s="2" t="s">
        <v>7949</v>
      </c>
      <c r="E632" s="2" t="s">
        <v>7950</v>
      </c>
      <c r="F632" s="2" t="s">
        <v>1188</v>
      </c>
      <c r="G632" s="2" t="s">
        <v>7731</v>
      </c>
      <c r="H632" s="2" t="s">
        <v>629</v>
      </c>
      <c r="I632" s="2" t="s">
        <v>7951</v>
      </c>
      <c r="J632" s="2" t="s">
        <v>7952</v>
      </c>
      <c r="K632" s="2" t="s">
        <v>7953</v>
      </c>
      <c r="L632" s="2" t="s">
        <v>7954</v>
      </c>
      <c r="M632" s="2" t="s">
        <v>7955</v>
      </c>
      <c r="N632" s="2" t="s">
        <v>72</v>
      </c>
      <c r="O632" s="2" t="s">
        <v>7956</v>
      </c>
      <c r="P632" s="2" t="s">
        <v>57</v>
      </c>
      <c r="Q632" s="2" t="s">
        <v>7957</v>
      </c>
      <c r="R632" s="2"/>
      <c r="S632" s="2" t="s">
        <v>7726</v>
      </c>
      <c r="T632" s="2" t="s">
        <v>1196</v>
      </c>
      <c r="U632" s="2" t="s">
        <v>7958</v>
      </c>
    </row>
    <row r="633" customFormat="false" ht="79.85" hidden="false" customHeight="false" outlineLevel="0" collapsed="false">
      <c r="A633" s="2" t="s">
        <v>7712</v>
      </c>
      <c r="B633" s="2" t="s">
        <v>7959</v>
      </c>
      <c r="C633" s="2" t="s">
        <v>7960</v>
      </c>
      <c r="D633" s="2" t="s">
        <v>7961</v>
      </c>
      <c r="E633" s="2" t="s">
        <v>7962</v>
      </c>
      <c r="F633" s="2" t="s">
        <v>1188</v>
      </c>
      <c r="G633" s="2" t="s">
        <v>7963</v>
      </c>
      <c r="H633" s="2" t="s">
        <v>629</v>
      </c>
      <c r="I633" s="2" t="s">
        <v>7964</v>
      </c>
      <c r="J633" s="2" t="s">
        <v>7965</v>
      </c>
      <c r="K633" s="2" t="s">
        <v>7966</v>
      </c>
      <c r="L633" s="2" t="s">
        <v>7967</v>
      </c>
      <c r="M633" s="2" t="s">
        <v>7968</v>
      </c>
      <c r="N633" s="2" t="s">
        <v>56</v>
      </c>
      <c r="O633" s="2" t="s">
        <v>7969</v>
      </c>
      <c r="P633" s="2" t="s">
        <v>57</v>
      </c>
      <c r="Q633" s="2" t="s">
        <v>7970</v>
      </c>
      <c r="R633" s="2"/>
      <c r="S633" s="2" t="s">
        <v>7726</v>
      </c>
      <c r="T633" s="2" t="s">
        <v>1196</v>
      </c>
      <c r="U633" s="2" t="s">
        <v>7971</v>
      </c>
    </row>
    <row r="634" customFormat="false" ht="35.05" hidden="false" customHeight="false" outlineLevel="0" collapsed="false">
      <c r="A634" s="2" t="s">
        <v>7712</v>
      </c>
      <c r="B634" s="2" t="s">
        <v>7972</v>
      </c>
      <c r="C634" s="2" t="s">
        <v>7973</v>
      </c>
      <c r="D634" s="2" t="s">
        <v>7974</v>
      </c>
      <c r="E634" s="2" t="s">
        <v>7975</v>
      </c>
      <c r="F634" s="2" t="s">
        <v>66</v>
      </c>
      <c r="G634" s="2" t="s">
        <v>7976</v>
      </c>
      <c r="H634" s="2" t="s">
        <v>57</v>
      </c>
      <c r="I634" s="2" t="s">
        <v>7977</v>
      </c>
      <c r="J634" s="2" t="s">
        <v>1601</v>
      </c>
      <c r="K634" s="2" t="s">
        <v>7978</v>
      </c>
      <c r="L634" s="2" t="s">
        <v>7979</v>
      </c>
      <c r="M634" s="2" t="s">
        <v>7980</v>
      </c>
      <c r="N634" s="2" t="s">
        <v>144</v>
      </c>
      <c r="O634" s="2" t="s">
        <v>57</v>
      </c>
      <c r="P634" s="2" t="s">
        <v>57</v>
      </c>
      <c r="Q634" s="2"/>
      <c r="R634" s="2"/>
      <c r="S634" s="2" t="s">
        <v>7726</v>
      </c>
      <c r="T634" s="2" t="s">
        <v>1196</v>
      </c>
      <c r="U634" s="2" t="s">
        <v>7981</v>
      </c>
    </row>
    <row r="635" customFormat="false" ht="57.45" hidden="false" customHeight="false" outlineLevel="0" collapsed="false">
      <c r="A635" s="2" t="s">
        <v>7712</v>
      </c>
      <c r="B635" s="2" t="s">
        <v>2576</v>
      </c>
      <c r="C635" s="2" t="s">
        <v>7982</v>
      </c>
      <c r="D635" s="2" t="s">
        <v>7983</v>
      </c>
      <c r="E635" s="2" t="s">
        <v>7984</v>
      </c>
      <c r="F635" s="2" t="s">
        <v>280</v>
      </c>
      <c r="G635" s="2" t="s">
        <v>280</v>
      </c>
      <c r="H635" s="2" t="s">
        <v>600</v>
      </c>
      <c r="I635" s="2" t="s">
        <v>7985</v>
      </c>
      <c r="J635" s="2" t="s">
        <v>2231</v>
      </c>
      <c r="K635" s="2" t="s">
        <v>7986</v>
      </c>
      <c r="L635" s="2" t="s">
        <v>2233</v>
      </c>
      <c r="M635" s="2" t="s">
        <v>7987</v>
      </c>
      <c r="N635" s="2" t="s">
        <v>144</v>
      </c>
      <c r="O635" s="2" t="s">
        <v>58</v>
      </c>
      <c r="P635" s="2" t="s">
        <v>7988</v>
      </c>
      <c r="Q635" s="2"/>
      <c r="R635" s="2"/>
      <c r="S635" s="2" t="s">
        <v>7989</v>
      </c>
      <c r="T635" s="2" t="s">
        <v>2237</v>
      </c>
      <c r="U635" s="2" t="s">
        <v>2238</v>
      </c>
    </row>
    <row r="636" customFormat="false" ht="79.85" hidden="false" customHeight="false" outlineLevel="0" collapsed="false">
      <c r="A636" s="2" t="s">
        <v>7712</v>
      </c>
      <c r="B636" s="2" t="s">
        <v>2576</v>
      </c>
      <c r="C636" s="2" t="s">
        <v>7990</v>
      </c>
      <c r="D636" s="2" t="s">
        <v>4468</v>
      </c>
      <c r="E636" s="2" t="s">
        <v>7991</v>
      </c>
      <c r="F636" s="2" t="s">
        <v>280</v>
      </c>
      <c r="G636" s="2" t="s">
        <v>7992</v>
      </c>
      <c r="H636" s="2" t="s">
        <v>600</v>
      </c>
      <c r="I636" s="2" t="s">
        <v>7993</v>
      </c>
      <c r="J636" s="2" t="s">
        <v>4061</v>
      </c>
      <c r="K636" s="2" t="s">
        <v>2576</v>
      </c>
      <c r="L636" s="2" t="s">
        <v>7994</v>
      </c>
      <c r="M636" s="2" t="s">
        <v>7995</v>
      </c>
      <c r="N636" s="2" t="s">
        <v>144</v>
      </c>
      <c r="O636" s="2" t="s">
        <v>58</v>
      </c>
      <c r="P636" s="2" t="s">
        <v>7931</v>
      </c>
      <c r="Q636" s="2"/>
      <c r="R636" s="2"/>
      <c r="S636" s="2" t="s">
        <v>7996</v>
      </c>
      <c r="T636" s="2" t="s">
        <v>2250</v>
      </c>
      <c r="U636" s="2" t="s">
        <v>2251</v>
      </c>
    </row>
    <row r="637" customFormat="false" ht="57.45" hidden="false" customHeight="false" outlineLevel="0" collapsed="false">
      <c r="A637" s="2" t="s">
        <v>7712</v>
      </c>
      <c r="B637" s="2" t="s">
        <v>2252</v>
      </c>
      <c r="C637" s="2" t="s">
        <v>7997</v>
      </c>
      <c r="D637" s="2" t="s">
        <v>5055</v>
      </c>
      <c r="E637" s="2" t="s">
        <v>7998</v>
      </c>
      <c r="F637" s="2" t="s">
        <v>81</v>
      </c>
      <c r="G637" s="2" t="s">
        <v>7999</v>
      </c>
      <c r="H637" s="2" t="s">
        <v>5058</v>
      </c>
      <c r="I637" s="2" t="s">
        <v>8000</v>
      </c>
      <c r="J637" s="2" t="s">
        <v>5060</v>
      </c>
      <c r="K637" s="2" t="s">
        <v>8001</v>
      </c>
      <c r="L637" s="2" t="s">
        <v>5062</v>
      </c>
      <c r="M637" s="2" t="s">
        <v>8002</v>
      </c>
      <c r="N637" s="2" t="s">
        <v>144</v>
      </c>
      <c r="O637" s="2" t="s">
        <v>57</v>
      </c>
      <c r="P637" s="2" t="s">
        <v>8003</v>
      </c>
      <c r="Q637" s="2"/>
      <c r="R637" s="2"/>
      <c r="S637" s="2" t="s">
        <v>8004</v>
      </c>
      <c r="T637" s="2" t="s">
        <v>8005</v>
      </c>
      <c r="U637" s="2" t="s">
        <v>8006</v>
      </c>
    </row>
    <row r="638" customFormat="false" ht="46.25" hidden="false" customHeight="false" outlineLevel="0" collapsed="false">
      <c r="A638" s="2" t="s">
        <v>7712</v>
      </c>
      <c r="B638" s="2" t="s">
        <v>2252</v>
      </c>
      <c r="C638" s="2" t="s">
        <v>8007</v>
      </c>
      <c r="D638" s="2" t="s">
        <v>5055</v>
      </c>
      <c r="E638" s="2" t="s">
        <v>8008</v>
      </c>
      <c r="F638" s="2" t="s">
        <v>81</v>
      </c>
      <c r="G638" s="2" t="s">
        <v>8009</v>
      </c>
      <c r="H638" s="2" t="s">
        <v>4097</v>
      </c>
      <c r="I638" s="2" t="s">
        <v>1248</v>
      </c>
      <c r="J638" s="2" t="s">
        <v>8010</v>
      </c>
      <c r="K638" s="2" t="s">
        <v>8011</v>
      </c>
      <c r="L638" s="2" t="s">
        <v>4101</v>
      </c>
      <c r="M638" s="2" t="s">
        <v>8012</v>
      </c>
      <c r="N638" s="2" t="s">
        <v>144</v>
      </c>
      <c r="O638" s="2" t="s">
        <v>57</v>
      </c>
      <c r="P638" s="2" t="s">
        <v>8013</v>
      </c>
      <c r="Q638" s="2"/>
      <c r="R638" s="2"/>
      <c r="S638" s="2" t="s">
        <v>8014</v>
      </c>
      <c r="T638" s="2" t="s">
        <v>4106</v>
      </c>
      <c r="U638" s="2" t="s">
        <v>8015</v>
      </c>
    </row>
    <row r="639" customFormat="false" ht="91" hidden="false" customHeight="false" outlineLevel="0" collapsed="false">
      <c r="A639" s="2" t="s">
        <v>7712</v>
      </c>
      <c r="B639" s="2" t="s">
        <v>2252</v>
      </c>
      <c r="C639" s="2" t="s">
        <v>8016</v>
      </c>
      <c r="D639" s="2" t="s">
        <v>8017</v>
      </c>
      <c r="E639" s="2" t="s">
        <v>8018</v>
      </c>
      <c r="F639" s="2" t="s">
        <v>1174</v>
      </c>
      <c r="G639" s="2" t="s">
        <v>8019</v>
      </c>
      <c r="H639" s="2" t="s">
        <v>629</v>
      </c>
      <c r="I639" s="2" t="s">
        <v>8020</v>
      </c>
      <c r="J639" s="2" t="s">
        <v>8021</v>
      </c>
      <c r="K639" s="2" t="s">
        <v>8022</v>
      </c>
      <c r="L639" s="2" t="s">
        <v>8023</v>
      </c>
      <c r="M639" s="2" t="s">
        <v>8024</v>
      </c>
      <c r="N639" s="2" t="s">
        <v>42</v>
      </c>
      <c r="O639" s="2" t="s">
        <v>57</v>
      </c>
      <c r="P639" s="2" t="s">
        <v>8025</v>
      </c>
      <c r="Q639" s="2"/>
      <c r="R639" s="2" t="s">
        <v>8026</v>
      </c>
      <c r="S639" s="2" t="s">
        <v>7726</v>
      </c>
      <c r="T639" s="2" t="s">
        <v>1196</v>
      </c>
      <c r="U639" s="2" t="s">
        <v>8027</v>
      </c>
    </row>
    <row r="640" customFormat="false" ht="79.85" hidden="false" customHeight="false" outlineLevel="0" collapsed="false">
      <c r="A640" s="2" t="s">
        <v>7712</v>
      </c>
      <c r="B640" s="2" t="s">
        <v>1184</v>
      </c>
      <c r="C640" s="2" t="s">
        <v>8028</v>
      </c>
      <c r="D640" s="2" t="s">
        <v>8029</v>
      </c>
      <c r="E640" s="2" t="s">
        <v>8030</v>
      </c>
      <c r="F640" s="2" t="s">
        <v>34</v>
      </c>
      <c r="G640" s="2" t="s">
        <v>1768</v>
      </c>
      <c r="H640" s="2" t="s">
        <v>8031</v>
      </c>
      <c r="I640" s="2" t="s">
        <v>3630</v>
      </c>
      <c r="J640" s="2" t="s">
        <v>3631</v>
      </c>
      <c r="K640" s="2" t="s">
        <v>8032</v>
      </c>
      <c r="L640" s="2" t="s">
        <v>4386</v>
      </c>
      <c r="M640" s="2" t="s">
        <v>8033</v>
      </c>
      <c r="N640" s="2" t="s">
        <v>144</v>
      </c>
      <c r="O640" s="2" t="s">
        <v>8034</v>
      </c>
      <c r="P640" s="2" t="s">
        <v>57</v>
      </c>
      <c r="Q640" s="2" t="s">
        <v>8035</v>
      </c>
      <c r="R640" s="2"/>
      <c r="S640" s="2" t="s">
        <v>8036</v>
      </c>
      <c r="T640" s="2" t="s">
        <v>4391</v>
      </c>
      <c r="U640" s="2" t="s">
        <v>3639</v>
      </c>
    </row>
    <row r="641" customFormat="false" ht="68.65" hidden="false" customHeight="false" outlineLevel="0" collapsed="false">
      <c r="A641" s="2" t="s">
        <v>7712</v>
      </c>
      <c r="B641" s="2" t="s">
        <v>1184</v>
      </c>
      <c r="C641" s="2" t="s">
        <v>3640</v>
      </c>
      <c r="D641" s="2" t="s">
        <v>8037</v>
      </c>
      <c r="E641" s="2" t="s">
        <v>8038</v>
      </c>
      <c r="F641" s="2" t="s">
        <v>193</v>
      </c>
      <c r="G641" s="2" t="s">
        <v>8039</v>
      </c>
      <c r="H641" s="2" t="s">
        <v>36</v>
      </c>
      <c r="I641" s="2" t="s">
        <v>2243</v>
      </c>
      <c r="J641" s="2" t="s">
        <v>57</v>
      </c>
      <c r="K641" s="2" t="s">
        <v>8040</v>
      </c>
      <c r="L641" s="2" t="s">
        <v>8041</v>
      </c>
      <c r="M641" s="2" t="s">
        <v>8042</v>
      </c>
      <c r="N641" s="2" t="s">
        <v>89</v>
      </c>
      <c r="O641" s="2" t="s">
        <v>57</v>
      </c>
      <c r="P641" s="2" t="s">
        <v>8043</v>
      </c>
      <c r="Q641" s="2"/>
      <c r="R641" s="2"/>
      <c r="S641" s="2" t="s">
        <v>8044</v>
      </c>
      <c r="T641" s="2" t="s">
        <v>3663</v>
      </c>
      <c r="U641" s="2" t="s">
        <v>3664</v>
      </c>
    </row>
    <row r="642" customFormat="false" ht="79.85" hidden="false" customHeight="false" outlineLevel="0" collapsed="false">
      <c r="A642" s="2" t="s">
        <v>7712</v>
      </c>
      <c r="B642" s="2" t="s">
        <v>2531</v>
      </c>
      <c r="C642" s="2" t="s">
        <v>8045</v>
      </c>
      <c r="D642" s="2" t="s">
        <v>8046</v>
      </c>
      <c r="E642" s="2" t="s">
        <v>8047</v>
      </c>
      <c r="F642" s="2" t="s">
        <v>280</v>
      </c>
      <c r="G642" s="2" t="s">
        <v>280</v>
      </c>
      <c r="H642" s="2" t="s">
        <v>2921</v>
      </c>
      <c r="I642" s="2" t="s">
        <v>8048</v>
      </c>
      <c r="J642" s="2" t="s">
        <v>3084</v>
      </c>
      <c r="K642" s="2" t="s">
        <v>8049</v>
      </c>
      <c r="L642" s="2" t="s">
        <v>8050</v>
      </c>
      <c r="M642" s="2" t="s">
        <v>8051</v>
      </c>
      <c r="N642" s="2" t="s">
        <v>144</v>
      </c>
      <c r="O642" s="2" t="s">
        <v>8052</v>
      </c>
      <c r="P642" s="2" t="s">
        <v>58</v>
      </c>
      <c r="Q642" s="2"/>
      <c r="R642" s="2"/>
      <c r="S642" s="2" t="s">
        <v>8053</v>
      </c>
      <c r="T642" s="2" t="s">
        <v>3091</v>
      </c>
      <c r="U642" s="2" t="s">
        <v>3092</v>
      </c>
    </row>
    <row r="643" customFormat="false" ht="46.25" hidden="false" customHeight="false" outlineLevel="0" collapsed="false">
      <c r="A643" s="2" t="s">
        <v>7712</v>
      </c>
      <c r="B643" s="2" t="s">
        <v>8054</v>
      </c>
      <c r="C643" s="2" t="s">
        <v>8055</v>
      </c>
      <c r="D643" s="2" t="s">
        <v>8056</v>
      </c>
      <c r="E643" s="2" t="s">
        <v>8057</v>
      </c>
      <c r="F643" s="2" t="s">
        <v>81</v>
      </c>
      <c r="G643" s="2" t="s">
        <v>8058</v>
      </c>
      <c r="H643" s="2" t="s">
        <v>8059</v>
      </c>
      <c r="I643" s="2" t="s">
        <v>8060</v>
      </c>
      <c r="J643" s="2" t="s">
        <v>57</v>
      </c>
      <c r="K643" s="2" t="s">
        <v>8061</v>
      </c>
      <c r="L643" s="2" t="s">
        <v>8062</v>
      </c>
      <c r="M643" s="2" t="s">
        <v>8063</v>
      </c>
      <c r="N643" s="2" t="s">
        <v>144</v>
      </c>
      <c r="O643" s="2" t="s">
        <v>8064</v>
      </c>
      <c r="P643" s="2" t="s">
        <v>8065</v>
      </c>
      <c r="Q643" s="2"/>
      <c r="R643" s="2"/>
      <c r="S643" s="2" t="s">
        <v>8066</v>
      </c>
      <c r="T643" s="2" t="s">
        <v>8067</v>
      </c>
      <c r="U643" s="2" t="s">
        <v>8068</v>
      </c>
    </row>
    <row r="644" customFormat="false" ht="23.85" hidden="false" customHeight="false" outlineLevel="0" collapsed="false">
      <c r="A644" s="2" t="s">
        <v>7712</v>
      </c>
      <c r="B644" s="2" t="s">
        <v>8069</v>
      </c>
      <c r="C644" s="2" t="s">
        <v>8070</v>
      </c>
      <c r="D644" s="2" t="s">
        <v>8071</v>
      </c>
      <c r="E644" s="2" t="s">
        <v>8072</v>
      </c>
      <c r="F644" s="2" t="s">
        <v>193</v>
      </c>
      <c r="G644" s="2" t="s">
        <v>8039</v>
      </c>
      <c r="H644" s="2" t="s">
        <v>485</v>
      </c>
      <c r="I644" s="2" t="s">
        <v>5101</v>
      </c>
      <c r="J644" s="2" t="s">
        <v>2694</v>
      </c>
      <c r="K644" s="2" t="s">
        <v>8073</v>
      </c>
      <c r="L644" s="2" t="s">
        <v>8074</v>
      </c>
      <c r="M644" s="2" t="s">
        <v>8075</v>
      </c>
      <c r="N644" s="2" t="s">
        <v>89</v>
      </c>
      <c r="O644" s="2" t="s">
        <v>57</v>
      </c>
      <c r="P644" s="2" t="s">
        <v>57</v>
      </c>
      <c r="Q644" s="2"/>
      <c r="R644" s="2"/>
      <c r="S644" s="2" t="s">
        <v>8076</v>
      </c>
      <c r="T644" s="2" t="s">
        <v>1156</v>
      </c>
      <c r="U644" s="2" t="s">
        <v>1157</v>
      </c>
    </row>
    <row r="645" customFormat="false" ht="57.45" hidden="false" customHeight="false" outlineLevel="0" collapsed="false">
      <c r="A645" s="2" t="s">
        <v>7712</v>
      </c>
      <c r="B645" s="2" t="s">
        <v>344</v>
      </c>
      <c r="C645" s="2" t="s">
        <v>8077</v>
      </c>
      <c r="D645" s="2" t="s">
        <v>8078</v>
      </c>
      <c r="E645" s="2" t="s">
        <v>8079</v>
      </c>
      <c r="F645" s="2" t="s">
        <v>193</v>
      </c>
      <c r="G645" s="2" t="s">
        <v>1234</v>
      </c>
      <c r="H645" s="2" t="s">
        <v>458</v>
      </c>
      <c r="I645" s="2" t="s">
        <v>1236</v>
      </c>
      <c r="J645" s="2" t="s">
        <v>57</v>
      </c>
      <c r="K645" s="2" t="s">
        <v>8080</v>
      </c>
      <c r="L645" s="2" t="s">
        <v>8081</v>
      </c>
      <c r="M645" s="2" t="s">
        <v>8082</v>
      </c>
      <c r="N645" s="2" t="s">
        <v>56</v>
      </c>
      <c r="O645" s="2" t="s">
        <v>57</v>
      </c>
      <c r="P645" s="2" t="s">
        <v>8083</v>
      </c>
      <c r="Q645" s="2"/>
      <c r="R645" s="2"/>
      <c r="S645" s="2" t="s">
        <v>8084</v>
      </c>
      <c r="T645" s="2" t="s">
        <v>467</v>
      </c>
      <c r="U645" s="2" t="s">
        <v>468</v>
      </c>
    </row>
    <row r="646" customFormat="false" ht="68.65" hidden="false" customHeight="false" outlineLevel="0" collapsed="false">
      <c r="A646" s="2" t="s">
        <v>7712</v>
      </c>
      <c r="B646" s="2" t="s">
        <v>8085</v>
      </c>
      <c r="C646" s="2" t="s">
        <v>8086</v>
      </c>
      <c r="D646" s="2" t="s">
        <v>8087</v>
      </c>
      <c r="E646" s="2" t="s">
        <v>8088</v>
      </c>
      <c r="F646" s="2" t="s">
        <v>1174</v>
      </c>
      <c r="G646" s="2" t="s">
        <v>8089</v>
      </c>
      <c r="H646" s="2" t="s">
        <v>8090</v>
      </c>
      <c r="I646" s="2" t="s">
        <v>183</v>
      </c>
      <c r="J646" s="2" t="s">
        <v>8091</v>
      </c>
      <c r="K646" s="2" t="s">
        <v>8092</v>
      </c>
      <c r="L646" s="2" t="s">
        <v>8093</v>
      </c>
      <c r="M646" s="2" t="s">
        <v>8094</v>
      </c>
      <c r="N646" s="2" t="s">
        <v>56</v>
      </c>
      <c r="O646" s="2" t="s">
        <v>57</v>
      </c>
      <c r="P646" s="2" t="s">
        <v>8095</v>
      </c>
      <c r="Q646" s="2"/>
      <c r="R646" s="2"/>
      <c r="S646" s="2" t="s">
        <v>8096</v>
      </c>
      <c r="T646" s="2" t="s">
        <v>8097</v>
      </c>
      <c r="U646" s="2" t="s">
        <v>8098</v>
      </c>
    </row>
    <row r="647" customFormat="false" ht="57.45" hidden="false" customHeight="false" outlineLevel="0" collapsed="false">
      <c r="A647" s="2" t="s">
        <v>7712</v>
      </c>
      <c r="B647" s="2" t="s">
        <v>8099</v>
      </c>
      <c r="C647" s="2" t="s">
        <v>8100</v>
      </c>
      <c r="D647" s="2" t="s">
        <v>8101</v>
      </c>
      <c r="E647" s="2" t="s">
        <v>8102</v>
      </c>
      <c r="F647" s="2" t="s">
        <v>81</v>
      </c>
      <c r="G647" s="2" t="s">
        <v>8103</v>
      </c>
      <c r="H647" s="2" t="s">
        <v>8104</v>
      </c>
      <c r="I647" s="2" t="s">
        <v>8105</v>
      </c>
      <c r="J647" s="2" t="s">
        <v>89</v>
      </c>
      <c r="K647" s="2" t="s">
        <v>89</v>
      </c>
      <c r="L647" s="2" t="s">
        <v>8106</v>
      </c>
      <c r="M647" s="2" t="s">
        <v>8107</v>
      </c>
      <c r="N647" s="2" t="s">
        <v>89</v>
      </c>
      <c r="O647" s="2" t="s">
        <v>57</v>
      </c>
      <c r="P647" s="2" t="s">
        <v>8108</v>
      </c>
      <c r="Q647" s="2"/>
      <c r="R647" s="2"/>
      <c r="S647" s="2" t="s">
        <v>8109</v>
      </c>
      <c r="T647" s="2" t="s">
        <v>8110</v>
      </c>
      <c r="U647" s="2" t="s">
        <v>8111</v>
      </c>
    </row>
    <row r="648" customFormat="false" ht="35.05" hidden="false" customHeight="false" outlineLevel="0" collapsed="false">
      <c r="A648" s="2" t="s">
        <v>7712</v>
      </c>
      <c r="B648" s="2" t="s">
        <v>8112</v>
      </c>
      <c r="C648" s="2" t="s">
        <v>8113</v>
      </c>
      <c r="D648" s="2" t="s">
        <v>8114</v>
      </c>
      <c r="E648" s="2" t="s">
        <v>8115</v>
      </c>
      <c r="F648" s="2" t="s">
        <v>1174</v>
      </c>
      <c r="G648" s="2" t="s">
        <v>8116</v>
      </c>
      <c r="H648" s="2" t="s">
        <v>8117</v>
      </c>
      <c r="I648" s="2" t="s">
        <v>8118</v>
      </c>
      <c r="J648" s="2" t="s">
        <v>89</v>
      </c>
      <c r="K648" s="2" t="s">
        <v>89</v>
      </c>
      <c r="L648" s="2" t="s">
        <v>8119</v>
      </c>
      <c r="M648" s="2" t="s">
        <v>8120</v>
      </c>
      <c r="N648" s="2" t="s">
        <v>89</v>
      </c>
      <c r="O648" s="2" t="s">
        <v>57</v>
      </c>
      <c r="P648" s="2" t="s">
        <v>8121</v>
      </c>
      <c r="Q648" s="2"/>
      <c r="R648" s="2"/>
      <c r="S648" s="2" t="s">
        <v>7726</v>
      </c>
      <c r="T648" s="2" t="s">
        <v>1196</v>
      </c>
      <c r="U648" s="2" t="s">
        <v>8122</v>
      </c>
    </row>
  </sheetData>
  <autoFilter ref="A1:U64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4"/>
    <col collapsed="false" customWidth="true" hidden="false" outlineLevel="0" max="3" min="3" style="0" width="12"/>
    <col collapsed="false" customWidth="true" hidden="false" outlineLevel="0" max="7" min="4" style="0" width="10"/>
    <col collapsed="false" customWidth="true" hidden="false" outlineLevel="0" max="9" min="8" style="0" width="14"/>
  </cols>
  <sheetData>
    <row r="1" customFormat="false" ht="35.05" hidden="false" customHeight="false" outlineLevel="0" collapsed="false">
      <c r="A1" s="3" t="s">
        <v>8</v>
      </c>
      <c r="B1" s="3" t="s">
        <v>9</v>
      </c>
      <c r="C1" s="3" t="s">
        <v>8123</v>
      </c>
      <c r="D1" s="3" t="s">
        <v>8124</v>
      </c>
      <c r="E1" s="3" t="s">
        <v>8125</v>
      </c>
      <c r="F1" s="3" t="s">
        <v>8126</v>
      </c>
      <c r="G1" s="3" t="s">
        <v>8127</v>
      </c>
      <c r="H1" s="3" t="s">
        <v>8128</v>
      </c>
      <c r="I1" s="3" t="s">
        <v>8129</v>
      </c>
    </row>
    <row r="2" customFormat="false" ht="15" hidden="false" customHeight="false" outlineLevel="0" collapsed="false">
      <c r="A2" s="4" t="s">
        <v>29</v>
      </c>
      <c r="B2" s="4" t="s">
        <v>30</v>
      </c>
      <c r="C2" s="4" t="n">
        <f aca="false">COUNTIFS(Filas!$A$2:$A$648,$A2,Filas!$B$2:$B$648,$B2)</f>
        <v>2</v>
      </c>
      <c r="D2" s="4" t="n">
        <f aca="false">COUNTIFS(Filas!$A$2:$A$648,$A2,Filas!$B$2:$B$648,$B2,Filas!$N$2:$N$648,"mejora")</f>
        <v>0</v>
      </c>
      <c r="E2" s="4" t="n">
        <f aca="false">COUNTIFS(Filas!$A$2:$A$648,$A2,Filas!$B$2:$B$648,$B2,Filas!$N$2:$N$648,"sin cambio")</f>
        <v>1</v>
      </c>
      <c r="F2" s="4" t="n">
        <f aca="false">COUNTIFS(Filas!$A$2:$A$648,$A2,Filas!$B$2:$B$648,$B2,Filas!$N$2:$N$648,"empeora")</f>
        <v>0</v>
      </c>
      <c r="G2" s="4" t="n">
        <f aca="false">COUNTIFS(Filas!$A$2:$A$648,$A2,Filas!$B$2:$B$648,$B2,Filas!$N$2:$N$648,"mixto")</f>
        <v>1</v>
      </c>
      <c r="H2" s="4" t="n">
        <f aca="false">COUNTIFS(Filas!$A$2:$A$648,$A2,Filas!$B$2:$B$648,$B2,Filas!$S$2:$S$648,"cita encontrada*")+COUNTIFS(Filas!$A$2:$A$648,$A2,Filas!$B$2:$B$648,$B2,Filas!$S$2:$S$648,"página existe*")</f>
        <v>2</v>
      </c>
      <c r="I2" s="4" t="n">
        <f aca="false">COUNTIFS(Filas!$A$2:$A$648,$A2,Filas!$B$2:$B$648,$B2,Filas!$S$2:$S$648,"cita no encontrada*")+COUNTIFS(Filas!$A$2:$A$648,$A2,Filas!$B$2:$B$648,$B2,Filas!$S$2:$S$648,"página no accesible*")</f>
        <v>0</v>
      </c>
    </row>
    <row r="3" customFormat="false" ht="15" hidden="false" customHeight="false" outlineLevel="0" collapsed="false">
      <c r="A3" s="4" t="s">
        <v>29</v>
      </c>
      <c r="B3" s="4" t="s">
        <v>62</v>
      </c>
      <c r="C3" s="4" t="n">
        <f aca="false">COUNTIFS(Filas!$A$2:$A$648,$A3,Filas!$B$2:$B$648,$B3)</f>
        <v>1</v>
      </c>
      <c r="D3" s="4" t="n">
        <f aca="false">COUNTIFS(Filas!$A$2:$A$648,$A3,Filas!$B$2:$B$648,$B3,Filas!$N$2:$N$648,"mejora")</f>
        <v>0</v>
      </c>
      <c r="E3" s="4" t="n">
        <f aca="false">COUNTIFS(Filas!$A$2:$A$648,$A3,Filas!$B$2:$B$648,$B3,Filas!$N$2:$N$648,"sin cambio")</f>
        <v>0</v>
      </c>
      <c r="F3" s="4" t="n">
        <f aca="false">COUNTIFS(Filas!$A$2:$A$648,$A3,Filas!$B$2:$B$648,$B3,Filas!$N$2:$N$648,"empeora")</f>
        <v>1</v>
      </c>
      <c r="G3" s="4" t="n">
        <f aca="false">COUNTIFS(Filas!$A$2:$A$648,$A3,Filas!$B$2:$B$648,$B3,Filas!$N$2:$N$648,"mixto")</f>
        <v>0</v>
      </c>
      <c r="H3" s="4" t="n">
        <f aca="false">COUNTIFS(Filas!$A$2:$A$648,$A3,Filas!$B$2:$B$648,$B3,Filas!$S$2:$S$648,"cita encontrada*")+COUNTIFS(Filas!$A$2:$A$648,$A3,Filas!$B$2:$B$648,$B3,Filas!$S$2:$S$648,"página existe*")</f>
        <v>1</v>
      </c>
      <c r="I3" s="4" t="n">
        <f aca="false">COUNTIFS(Filas!$A$2:$A$648,$A3,Filas!$B$2:$B$648,$B3,Filas!$S$2:$S$648,"cita no encontrada*")+COUNTIFS(Filas!$A$2:$A$648,$A3,Filas!$B$2:$B$648,$B3,Filas!$S$2:$S$648,"página no accesible*")</f>
        <v>0</v>
      </c>
    </row>
    <row r="4" customFormat="false" ht="15" hidden="false" customHeight="false" outlineLevel="0" collapsed="false">
      <c r="A4" s="4" t="s">
        <v>29</v>
      </c>
      <c r="B4" s="4" t="s">
        <v>77</v>
      </c>
      <c r="C4" s="4" t="n">
        <f aca="false">COUNTIFS(Filas!$A$2:$A$648,$A4,Filas!$B$2:$B$648,$B4)</f>
        <v>3</v>
      </c>
      <c r="D4" s="4" t="n">
        <f aca="false">COUNTIFS(Filas!$A$2:$A$648,$A4,Filas!$B$2:$B$648,$B4,Filas!$N$2:$N$648,"mejora")</f>
        <v>0</v>
      </c>
      <c r="E4" s="4" t="n">
        <f aca="false">COUNTIFS(Filas!$A$2:$A$648,$A4,Filas!$B$2:$B$648,$B4,Filas!$N$2:$N$648,"sin cambio")</f>
        <v>0</v>
      </c>
      <c r="F4" s="4" t="n">
        <f aca="false">COUNTIFS(Filas!$A$2:$A$648,$A4,Filas!$B$2:$B$648,$B4,Filas!$N$2:$N$648,"empeora")</f>
        <v>2</v>
      </c>
      <c r="G4" s="4" t="n">
        <f aca="false">COUNTIFS(Filas!$A$2:$A$648,$A4,Filas!$B$2:$B$648,$B4,Filas!$N$2:$N$648,"mixto")</f>
        <v>1</v>
      </c>
      <c r="H4" s="4" t="n">
        <f aca="false">COUNTIFS(Filas!$A$2:$A$648,$A4,Filas!$B$2:$B$648,$B4,Filas!$S$2:$S$648,"cita encontrada*")+COUNTIFS(Filas!$A$2:$A$648,$A4,Filas!$B$2:$B$648,$B4,Filas!$S$2:$S$648,"página existe*")</f>
        <v>3</v>
      </c>
      <c r="I4" s="4" t="n">
        <f aca="false">COUNTIFS(Filas!$A$2:$A$648,$A4,Filas!$B$2:$B$648,$B4,Filas!$S$2:$S$648,"cita no encontrada*")+COUNTIFS(Filas!$A$2:$A$648,$A4,Filas!$B$2:$B$648,$B4,Filas!$S$2:$S$648,"página no accesible*")</f>
        <v>0</v>
      </c>
    </row>
    <row r="5" customFormat="false" ht="15" hidden="false" customHeight="false" outlineLevel="0" collapsed="false">
      <c r="A5" s="4" t="s">
        <v>29</v>
      </c>
      <c r="B5" s="4" t="s">
        <v>121</v>
      </c>
      <c r="C5" s="4" t="n">
        <f aca="false">COUNTIFS(Filas!$A$2:$A$648,$A5,Filas!$B$2:$B$648,$B5)</f>
        <v>1</v>
      </c>
      <c r="D5" s="4" t="n">
        <f aca="false">COUNTIFS(Filas!$A$2:$A$648,$A5,Filas!$B$2:$B$648,$B5,Filas!$N$2:$N$648,"mejora")</f>
        <v>0</v>
      </c>
      <c r="E5" s="4" t="n">
        <f aca="false">COUNTIFS(Filas!$A$2:$A$648,$A5,Filas!$B$2:$B$648,$B5,Filas!$N$2:$N$648,"sin cambio")</f>
        <v>0</v>
      </c>
      <c r="F5" s="4" t="n">
        <f aca="false">COUNTIFS(Filas!$A$2:$A$648,$A5,Filas!$B$2:$B$648,$B5,Filas!$N$2:$N$648,"empeora")</f>
        <v>0</v>
      </c>
      <c r="G5" s="4" t="n">
        <f aca="false">COUNTIFS(Filas!$A$2:$A$648,$A5,Filas!$B$2:$B$648,$B5,Filas!$N$2:$N$648,"mixto")</f>
        <v>1</v>
      </c>
      <c r="H5" s="4" t="n">
        <f aca="false">COUNTIFS(Filas!$A$2:$A$648,$A5,Filas!$B$2:$B$648,$B5,Filas!$S$2:$S$648,"cita encontrada*")+COUNTIFS(Filas!$A$2:$A$648,$A5,Filas!$B$2:$B$648,$B5,Filas!$S$2:$S$648,"página existe*")</f>
        <v>1</v>
      </c>
      <c r="I5" s="4" t="n">
        <f aca="false">COUNTIFS(Filas!$A$2:$A$648,$A5,Filas!$B$2:$B$648,$B5,Filas!$S$2:$S$648,"cita no encontrada*")+COUNTIFS(Filas!$A$2:$A$648,$A5,Filas!$B$2:$B$648,$B5,Filas!$S$2:$S$648,"página no accesible*")</f>
        <v>0</v>
      </c>
    </row>
    <row r="6" customFormat="false" ht="15" hidden="false" customHeight="false" outlineLevel="0" collapsed="false">
      <c r="A6" s="4" t="s">
        <v>29</v>
      </c>
      <c r="B6" s="4" t="s">
        <v>135</v>
      </c>
      <c r="C6" s="4" t="n">
        <f aca="false">COUNTIFS(Filas!$A$2:$A$648,$A6,Filas!$B$2:$B$648,$B6)</f>
        <v>1</v>
      </c>
      <c r="D6" s="4" t="n">
        <f aca="false">COUNTIFS(Filas!$A$2:$A$648,$A6,Filas!$B$2:$B$648,$B6,Filas!$N$2:$N$648,"mejora")</f>
        <v>1</v>
      </c>
      <c r="E6" s="4" t="n">
        <f aca="false">COUNTIFS(Filas!$A$2:$A$648,$A6,Filas!$B$2:$B$648,$B6,Filas!$N$2:$N$648,"sin cambio")</f>
        <v>0</v>
      </c>
      <c r="F6" s="4" t="n">
        <f aca="false">COUNTIFS(Filas!$A$2:$A$648,$A6,Filas!$B$2:$B$648,$B6,Filas!$N$2:$N$648,"empeora")</f>
        <v>0</v>
      </c>
      <c r="G6" s="4" t="n">
        <f aca="false">COUNTIFS(Filas!$A$2:$A$648,$A6,Filas!$B$2:$B$648,$B6,Filas!$N$2:$N$648,"mixto")</f>
        <v>0</v>
      </c>
      <c r="H6" s="4" t="n">
        <f aca="false">COUNTIFS(Filas!$A$2:$A$648,$A6,Filas!$B$2:$B$648,$B6,Filas!$S$2:$S$648,"cita encontrada*")+COUNTIFS(Filas!$A$2:$A$648,$A6,Filas!$B$2:$B$648,$B6,Filas!$S$2:$S$648,"página existe*")</f>
        <v>1</v>
      </c>
      <c r="I6" s="4" t="n">
        <f aca="false">COUNTIFS(Filas!$A$2:$A$648,$A6,Filas!$B$2:$B$648,$B6,Filas!$S$2:$S$648,"cita no encontrada*")+COUNTIFS(Filas!$A$2:$A$648,$A6,Filas!$B$2:$B$648,$B6,Filas!$S$2:$S$648,"página no accesible*")</f>
        <v>0</v>
      </c>
    </row>
    <row r="7" customFormat="false" ht="15" hidden="false" customHeight="false" outlineLevel="0" collapsed="false">
      <c r="A7" s="4" t="s">
        <v>29</v>
      </c>
      <c r="B7" s="4" t="s">
        <v>149</v>
      </c>
      <c r="C7" s="4" t="n">
        <f aca="false">COUNTIFS(Filas!$A$2:$A$648,$A7,Filas!$B$2:$B$648,$B7)</f>
        <v>2</v>
      </c>
      <c r="D7" s="4" t="n">
        <f aca="false">COUNTIFS(Filas!$A$2:$A$648,$A7,Filas!$B$2:$B$648,$B7,Filas!$N$2:$N$648,"mejora")</f>
        <v>0</v>
      </c>
      <c r="E7" s="4" t="n">
        <f aca="false">COUNTIFS(Filas!$A$2:$A$648,$A7,Filas!$B$2:$B$648,$B7,Filas!$N$2:$N$648,"sin cambio")</f>
        <v>0</v>
      </c>
      <c r="F7" s="4" t="n">
        <f aca="false">COUNTIFS(Filas!$A$2:$A$648,$A7,Filas!$B$2:$B$648,$B7,Filas!$N$2:$N$648,"empeora")</f>
        <v>0</v>
      </c>
      <c r="G7" s="4" t="n">
        <f aca="false">COUNTIFS(Filas!$A$2:$A$648,$A7,Filas!$B$2:$B$648,$B7,Filas!$N$2:$N$648,"mixto")</f>
        <v>1</v>
      </c>
      <c r="H7" s="4" t="n">
        <f aca="false">COUNTIFS(Filas!$A$2:$A$648,$A7,Filas!$B$2:$B$648,$B7,Filas!$S$2:$S$648,"cita encontrada*")+COUNTIFS(Filas!$A$2:$A$648,$A7,Filas!$B$2:$B$648,$B7,Filas!$S$2:$S$648,"página existe*")</f>
        <v>2</v>
      </c>
      <c r="I7" s="4" t="n">
        <f aca="false">COUNTIFS(Filas!$A$2:$A$648,$A7,Filas!$B$2:$B$648,$B7,Filas!$S$2:$S$648,"cita no encontrada*")+COUNTIFS(Filas!$A$2:$A$648,$A7,Filas!$B$2:$B$648,$B7,Filas!$S$2:$S$648,"página no accesible*")</f>
        <v>0</v>
      </c>
    </row>
    <row r="8" customFormat="false" ht="15" hidden="false" customHeight="false" outlineLevel="0" collapsed="false">
      <c r="A8" s="4" t="s">
        <v>29</v>
      </c>
      <c r="B8" s="4" t="s">
        <v>165</v>
      </c>
      <c r="C8" s="4" t="n">
        <f aca="false">COUNTIFS(Filas!$A$2:$A$648,$A8,Filas!$B$2:$B$648,$B8)</f>
        <v>2</v>
      </c>
      <c r="D8" s="4" t="n">
        <f aca="false">COUNTIFS(Filas!$A$2:$A$648,$A8,Filas!$B$2:$B$648,$B8,Filas!$N$2:$N$648,"mejora")</f>
        <v>0</v>
      </c>
      <c r="E8" s="4" t="n">
        <f aca="false">COUNTIFS(Filas!$A$2:$A$648,$A8,Filas!$B$2:$B$648,$B8,Filas!$N$2:$N$648,"sin cambio")</f>
        <v>0</v>
      </c>
      <c r="F8" s="4" t="n">
        <f aca="false">COUNTIFS(Filas!$A$2:$A$648,$A8,Filas!$B$2:$B$648,$B8,Filas!$N$2:$N$648,"empeora")</f>
        <v>1</v>
      </c>
      <c r="G8" s="4" t="n">
        <f aca="false">COUNTIFS(Filas!$A$2:$A$648,$A8,Filas!$B$2:$B$648,$B8,Filas!$N$2:$N$648,"mixto")</f>
        <v>1</v>
      </c>
      <c r="H8" s="4" t="n">
        <f aca="false">COUNTIFS(Filas!$A$2:$A$648,$A8,Filas!$B$2:$B$648,$B8,Filas!$S$2:$S$648,"cita encontrada*")+COUNTIFS(Filas!$A$2:$A$648,$A8,Filas!$B$2:$B$648,$B8,Filas!$S$2:$S$648,"página existe*")</f>
        <v>2</v>
      </c>
      <c r="I8" s="4" t="n">
        <f aca="false">COUNTIFS(Filas!$A$2:$A$648,$A8,Filas!$B$2:$B$648,$B8,Filas!$S$2:$S$648,"cita no encontrada*")+COUNTIFS(Filas!$A$2:$A$648,$A8,Filas!$B$2:$B$648,$B8,Filas!$S$2:$S$648,"página no accesible*")</f>
        <v>0</v>
      </c>
    </row>
    <row r="9" customFormat="false" ht="15" hidden="false" customHeight="false" outlineLevel="0" collapsed="false">
      <c r="A9" s="4" t="s">
        <v>29</v>
      </c>
      <c r="B9" s="4" t="s">
        <v>205</v>
      </c>
      <c r="C9" s="4" t="n">
        <f aca="false">COUNTIFS(Filas!$A$2:$A$648,$A9,Filas!$B$2:$B$648,$B9)</f>
        <v>1</v>
      </c>
      <c r="D9" s="4" t="n">
        <f aca="false">COUNTIFS(Filas!$A$2:$A$648,$A9,Filas!$B$2:$B$648,$B9,Filas!$N$2:$N$648,"mejora")</f>
        <v>1</v>
      </c>
      <c r="E9" s="4" t="n">
        <f aca="false">COUNTIFS(Filas!$A$2:$A$648,$A9,Filas!$B$2:$B$648,$B9,Filas!$N$2:$N$648,"sin cambio")</f>
        <v>0</v>
      </c>
      <c r="F9" s="4" t="n">
        <f aca="false">COUNTIFS(Filas!$A$2:$A$648,$A9,Filas!$B$2:$B$648,$B9,Filas!$N$2:$N$648,"empeora")</f>
        <v>0</v>
      </c>
      <c r="G9" s="4" t="n">
        <f aca="false">COUNTIFS(Filas!$A$2:$A$648,$A9,Filas!$B$2:$B$648,$B9,Filas!$N$2:$N$648,"mixto")</f>
        <v>0</v>
      </c>
      <c r="H9" s="4" t="n">
        <f aca="false">COUNTIFS(Filas!$A$2:$A$648,$A9,Filas!$B$2:$B$648,$B9,Filas!$S$2:$S$648,"cita encontrada*")+COUNTIFS(Filas!$A$2:$A$648,$A9,Filas!$B$2:$B$648,$B9,Filas!$S$2:$S$648,"página existe*")</f>
        <v>1</v>
      </c>
      <c r="I9" s="4" t="n">
        <f aca="false">COUNTIFS(Filas!$A$2:$A$648,$A9,Filas!$B$2:$B$648,$B9,Filas!$S$2:$S$648,"cita no encontrada*")+COUNTIFS(Filas!$A$2:$A$648,$A9,Filas!$B$2:$B$648,$B9,Filas!$S$2:$S$648,"página no accesible*")</f>
        <v>0</v>
      </c>
    </row>
    <row r="10" customFormat="false" ht="15" hidden="false" customHeight="false" outlineLevel="0" collapsed="false">
      <c r="A10" s="4" t="s">
        <v>29</v>
      </c>
      <c r="B10" s="4" t="s">
        <v>218</v>
      </c>
      <c r="C10" s="4" t="n">
        <f aca="false">COUNTIFS(Filas!$A$2:$A$648,$A10,Filas!$B$2:$B$648,$B10)</f>
        <v>2</v>
      </c>
      <c r="D10" s="4" t="n">
        <f aca="false">COUNTIFS(Filas!$A$2:$A$648,$A10,Filas!$B$2:$B$648,$B10,Filas!$N$2:$N$648,"mejora")</f>
        <v>1</v>
      </c>
      <c r="E10" s="4" t="n">
        <f aca="false">COUNTIFS(Filas!$A$2:$A$648,$A10,Filas!$B$2:$B$648,$B10,Filas!$N$2:$N$648,"sin cambio")</f>
        <v>0</v>
      </c>
      <c r="F10" s="4" t="n">
        <f aca="false">COUNTIFS(Filas!$A$2:$A$648,$A10,Filas!$B$2:$B$648,$B10,Filas!$N$2:$N$648,"empeora")</f>
        <v>0</v>
      </c>
      <c r="G10" s="4" t="n">
        <f aca="false">COUNTIFS(Filas!$A$2:$A$648,$A10,Filas!$B$2:$B$648,$B10,Filas!$N$2:$N$648,"mixto")</f>
        <v>1</v>
      </c>
      <c r="H10" s="4" t="n">
        <f aca="false">COUNTIFS(Filas!$A$2:$A$648,$A10,Filas!$B$2:$B$648,$B10,Filas!$S$2:$S$648,"cita encontrada*")+COUNTIFS(Filas!$A$2:$A$648,$A10,Filas!$B$2:$B$648,$B10,Filas!$S$2:$S$648,"página existe*")</f>
        <v>2</v>
      </c>
      <c r="I10" s="4" t="n">
        <f aca="false">COUNTIFS(Filas!$A$2:$A$648,$A10,Filas!$B$2:$B$648,$B10,Filas!$S$2:$S$648,"cita no encontrada*")+COUNTIFS(Filas!$A$2:$A$648,$A10,Filas!$B$2:$B$648,$B10,Filas!$S$2:$S$648,"página no accesible*")</f>
        <v>0</v>
      </c>
    </row>
    <row r="11" customFormat="false" ht="15" hidden="false" customHeight="false" outlineLevel="0" collapsed="false">
      <c r="A11" s="4" t="s">
        <v>29</v>
      </c>
      <c r="B11" s="4" t="s">
        <v>246</v>
      </c>
      <c r="C11" s="4" t="n">
        <f aca="false">COUNTIFS(Filas!$A$2:$A$648,$A11,Filas!$B$2:$B$648,$B11)</f>
        <v>1</v>
      </c>
      <c r="D11" s="4" t="n">
        <f aca="false">COUNTIFS(Filas!$A$2:$A$648,$A11,Filas!$B$2:$B$648,$B11,Filas!$N$2:$N$648,"mejora")</f>
        <v>1</v>
      </c>
      <c r="E11" s="4" t="n">
        <f aca="false">COUNTIFS(Filas!$A$2:$A$648,$A11,Filas!$B$2:$B$648,$B11,Filas!$N$2:$N$648,"sin cambio")</f>
        <v>0</v>
      </c>
      <c r="F11" s="4" t="n">
        <f aca="false">COUNTIFS(Filas!$A$2:$A$648,$A11,Filas!$B$2:$B$648,$B11,Filas!$N$2:$N$648,"empeora")</f>
        <v>0</v>
      </c>
      <c r="G11" s="4" t="n">
        <f aca="false">COUNTIFS(Filas!$A$2:$A$648,$A11,Filas!$B$2:$B$648,$B11,Filas!$N$2:$N$648,"mixto")</f>
        <v>0</v>
      </c>
      <c r="H11" s="4" t="n">
        <f aca="false">COUNTIFS(Filas!$A$2:$A$648,$A11,Filas!$B$2:$B$648,$B11,Filas!$S$2:$S$648,"cita encontrada*")+COUNTIFS(Filas!$A$2:$A$648,$A11,Filas!$B$2:$B$648,$B11,Filas!$S$2:$S$648,"página existe*")</f>
        <v>1</v>
      </c>
      <c r="I11" s="4" t="n">
        <f aca="false">COUNTIFS(Filas!$A$2:$A$648,$A11,Filas!$B$2:$B$648,$B11,Filas!$S$2:$S$648,"cita no encontrada*")+COUNTIFS(Filas!$A$2:$A$648,$A11,Filas!$B$2:$B$648,$B11,Filas!$S$2:$S$648,"página no accesible*")</f>
        <v>0</v>
      </c>
    </row>
    <row r="12" customFormat="false" ht="15" hidden="false" customHeight="false" outlineLevel="0" collapsed="false">
      <c r="A12" s="4" t="s">
        <v>29</v>
      </c>
      <c r="B12" s="4" t="s">
        <v>261</v>
      </c>
      <c r="C12" s="4" t="n">
        <f aca="false">COUNTIFS(Filas!$A$2:$A$648,$A12,Filas!$B$2:$B$648,$B12)</f>
        <v>1</v>
      </c>
      <c r="D12" s="4" t="n">
        <f aca="false">COUNTIFS(Filas!$A$2:$A$648,$A12,Filas!$B$2:$B$648,$B12,Filas!$N$2:$N$648,"mejora")</f>
        <v>0</v>
      </c>
      <c r="E12" s="4" t="n">
        <f aca="false">COUNTIFS(Filas!$A$2:$A$648,$A12,Filas!$B$2:$B$648,$B12,Filas!$N$2:$N$648,"sin cambio")</f>
        <v>0</v>
      </c>
      <c r="F12" s="4" t="n">
        <f aca="false">COUNTIFS(Filas!$A$2:$A$648,$A12,Filas!$B$2:$B$648,$B12,Filas!$N$2:$N$648,"empeora")</f>
        <v>1</v>
      </c>
      <c r="G12" s="4" t="n">
        <f aca="false">COUNTIFS(Filas!$A$2:$A$648,$A12,Filas!$B$2:$B$648,$B12,Filas!$N$2:$N$648,"mixto")</f>
        <v>0</v>
      </c>
      <c r="H12" s="4" t="n">
        <f aca="false">COUNTIFS(Filas!$A$2:$A$648,$A12,Filas!$B$2:$B$648,$B12,Filas!$S$2:$S$648,"cita encontrada*")+COUNTIFS(Filas!$A$2:$A$648,$A12,Filas!$B$2:$B$648,$B12,Filas!$S$2:$S$648,"página existe*")</f>
        <v>1</v>
      </c>
      <c r="I12" s="4" t="n">
        <f aca="false">COUNTIFS(Filas!$A$2:$A$648,$A12,Filas!$B$2:$B$648,$B12,Filas!$S$2:$S$648,"cita no encontrada*")+COUNTIFS(Filas!$A$2:$A$648,$A12,Filas!$B$2:$B$648,$B12,Filas!$S$2:$S$648,"página no accesible*")</f>
        <v>0</v>
      </c>
    </row>
    <row r="13" customFormat="false" ht="15" hidden="false" customHeight="false" outlineLevel="0" collapsed="false">
      <c r="A13" s="4" t="s">
        <v>29</v>
      </c>
      <c r="B13" s="4" t="s">
        <v>276</v>
      </c>
      <c r="C13" s="4" t="n">
        <f aca="false">COUNTIFS(Filas!$A$2:$A$648,$A13,Filas!$B$2:$B$648,$B13)</f>
        <v>1</v>
      </c>
      <c r="D13" s="4" t="n">
        <f aca="false">COUNTIFS(Filas!$A$2:$A$648,$A13,Filas!$B$2:$B$648,$B13,Filas!$N$2:$N$648,"mejora")</f>
        <v>1</v>
      </c>
      <c r="E13" s="4" t="n">
        <f aca="false">COUNTIFS(Filas!$A$2:$A$648,$A13,Filas!$B$2:$B$648,$B13,Filas!$N$2:$N$648,"sin cambio")</f>
        <v>0</v>
      </c>
      <c r="F13" s="4" t="n">
        <f aca="false">COUNTIFS(Filas!$A$2:$A$648,$A13,Filas!$B$2:$B$648,$B13,Filas!$N$2:$N$648,"empeora")</f>
        <v>0</v>
      </c>
      <c r="G13" s="4" t="n">
        <f aca="false">COUNTIFS(Filas!$A$2:$A$648,$A13,Filas!$B$2:$B$648,$B13,Filas!$N$2:$N$648,"mixto")</f>
        <v>0</v>
      </c>
      <c r="H13" s="4" t="n">
        <f aca="false">COUNTIFS(Filas!$A$2:$A$648,$A13,Filas!$B$2:$B$648,$B13,Filas!$S$2:$S$648,"cita encontrada*")+COUNTIFS(Filas!$A$2:$A$648,$A13,Filas!$B$2:$B$648,$B13,Filas!$S$2:$S$648,"página existe*")</f>
        <v>1</v>
      </c>
      <c r="I13" s="4" t="n">
        <f aca="false">COUNTIFS(Filas!$A$2:$A$648,$A13,Filas!$B$2:$B$648,$B13,Filas!$S$2:$S$648,"cita no encontrada*")+COUNTIFS(Filas!$A$2:$A$648,$A13,Filas!$B$2:$B$648,$B13,Filas!$S$2:$S$648,"página no accesible*")</f>
        <v>0</v>
      </c>
    </row>
    <row r="14" customFormat="false" ht="15" hidden="false" customHeight="false" outlineLevel="0" collapsed="false">
      <c r="A14" s="4" t="s">
        <v>29</v>
      </c>
      <c r="B14" s="4" t="s">
        <v>290</v>
      </c>
      <c r="C14" s="4" t="n">
        <f aca="false">COUNTIFS(Filas!$A$2:$A$648,$A14,Filas!$B$2:$B$648,$B14)</f>
        <v>1</v>
      </c>
      <c r="D14" s="4" t="n">
        <f aca="false">COUNTIFS(Filas!$A$2:$A$648,$A14,Filas!$B$2:$B$648,$B14,Filas!$N$2:$N$648,"mejora")</f>
        <v>0</v>
      </c>
      <c r="E14" s="4" t="n">
        <f aca="false">COUNTIFS(Filas!$A$2:$A$648,$A14,Filas!$B$2:$B$648,$B14,Filas!$N$2:$N$648,"sin cambio")</f>
        <v>0</v>
      </c>
      <c r="F14" s="4" t="n">
        <f aca="false">COUNTIFS(Filas!$A$2:$A$648,$A14,Filas!$B$2:$B$648,$B14,Filas!$N$2:$N$648,"empeora")</f>
        <v>1</v>
      </c>
      <c r="G14" s="4" t="n">
        <f aca="false">COUNTIFS(Filas!$A$2:$A$648,$A14,Filas!$B$2:$B$648,$B14,Filas!$N$2:$N$648,"mixto")</f>
        <v>0</v>
      </c>
      <c r="H14" s="4" t="n">
        <f aca="false">COUNTIFS(Filas!$A$2:$A$648,$A14,Filas!$B$2:$B$648,$B14,Filas!$S$2:$S$648,"cita encontrada*")+COUNTIFS(Filas!$A$2:$A$648,$A14,Filas!$B$2:$B$648,$B14,Filas!$S$2:$S$648,"página existe*")</f>
        <v>1</v>
      </c>
      <c r="I14" s="4" t="n">
        <f aca="false">COUNTIFS(Filas!$A$2:$A$648,$A14,Filas!$B$2:$B$648,$B14,Filas!$S$2:$S$648,"cita no encontrada*")+COUNTIFS(Filas!$A$2:$A$648,$A14,Filas!$B$2:$B$648,$B14,Filas!$S$2:$S$648,"página no accesible*")</f>
        <v>0</v>
      </c>
    </row>
    <row r="15" customFormat="false" ht="15" hidden="false" customHeight="false" outlineLevel="0" collapsed="false">
      <c r="A15" s="4" t="s">
        <v>29</v>
      </c>
      <c r="B15" s="4" t="s">
        <v>304</v>
      </c>
      <c r="C15" s="4" t="n">
        <f aca="false">COUNTIFS(Filas!$A$2:$A$648,$A15,Filas!$B$2:$B$648,$B15)</f>
        <v>1</v>
      </c>
      <c r="D15" s="4" t="n">
        <f aca="false">COUNTIFS(Filas!$A$2:$A$648,$A15,Filas!$B$2:$B$648,$B15,Filas!$N$2:$N$648,"mejora")</f>
        <v>0</v>
      </c>
      <c r="E15" s="4" t="n">
        <f aca="false">COUNTIFS(Filas!$A$2:$A$648,$A15,Filas!$B$2:$B$648,$B15,Filas!$N$2:$N$648,"sin cambio")</f>
        <v>1</v>
      </c>
      <c r="F15" s="4" t="n">
        <f aca="false">COUNTIFS(Filas!$A$2:$A$648,$A15,Filas!$B$2:$B$648,$B15,Filas!$N$2:$N$648,"empeora")</f>
        <v>0</v>
      </c>
      <c r="G15" s="4" t="n">
        <f aca="false">COUNTIFS(Filas!$A$2:$A$648,$A15,Filas!$B$2:$B$648,$B15,Filas!$N$2:$N$648,"mixto")</f>
        <v>0</v>
      </c>
      <c r="H15" s="4" t="n">
        <f aca="false">COUNTIFS(Filas!$A$2:$A$648,$A15,Filas!$B$2:$B$648,$B15,Filas!$S$2:$S$648,"cita encontrada*")+COUNTIFS(Filas!$A$2:$A$648,$A15,Filas!$B$2:$B$648,$B15,Filas!$S$2:$S$648,"página existe*")</f>
        <v>1</v>
      </c>
      <c r="I15" s="4" t="n">
        <f aca="false">COUNTIFS(Filas!$A$2:$A$648,$A15,Filas!$B$2:$B$648,$B15,Filas!$S$2:$S$648,"cita no encontrada*")+COUNTIFS(Filas!$A$2:$A$648,$A15,Filas!$B$2:$B$648,$B15,Filas!$S$2:$S$648,"página no accesible*")</f>
        <v>0</v>
      </c>
    </row>
    <row r="16" customFormat="false" ht="15" hidden="false" customHeight="false" outlineLevel="0" collapsed="false">
      <c r="A16" s="4" t="s">
        <v>29</v>
      </c>
      <c r="B16" s="4" t="s">
        <v>317</v>
      </c>
      <c r="C16" s="4" t="n">
        <f aca="false">COUNTIFS(Filas!$A$2:$A$648,$A16,Filas!$B$2:$B$648,$B16)</f>
        <v>2</v>
      </c>
      <c r="D16" s="4" t="n">
        <f aca="false">COUNTIFS(Filas!$A$2:$A$648,$A16,Filas!$B$2:$B$648,$B16,Filas!$N$2:$N$648,"mejora")</f>
        <v>2</v>
      </c>
      <c r="E16" s="4" t="n">
        <f aca="false">COUNTIFS(Filas!$A$2:$A$648,$A16,Filas!$B$2:$B$648,$B16,Filas!$N$2:$N$648,"sin cambio")</f>
        <v>0</v>
      </c>
      <c r="F16" s="4" t="n">
        <f aca="false">COUNTIFS(Filas!$A$2:$A$648,$A16,Filas!$B$2:$B$648,$B16,Filas!$N$2:$N$648,"empeora")</f>
        <v>0</v>
      </c>
      <c r="G16" s="4" t="n">
        <f aca="false">COUNTIFS(Filas!$A$2:$A$648,$A16,Filas!$B$2:$B$648,$B16,Filas!$N$2:$N$648,"mixto")</f>
        <v>0</v>
      </c>
      <c r="H16" s="4" t="n">
        <f aca="false">COUNTIFS(Filas!$A$2:$A$648,$A16,Filas!$B$2:$B$648,$B16,Filas!$S$2:$S$648,"cita encontrada*")+COUNTIFS(Filas!$A$2:$A$648,$A16,Filas!$B$2:$B$648,$B16,Filas!$S$2:$S$648,"página existe*")</f>
        <v>2</v>
      </c>
      <c r="I16" s="4" t="n">
        <f aca="false">COUNTIFS(Filas!$A$2:$A$648,$A16,Filas!$B$2:$B$648,$B16,Filas!$S$2:$S$648,"cita no encontrada*")+COUNTIFS(Filas!$A$2:$A$648,$A16,Filas!$B$2:$B$648,$B16,Filas!$S$2:$S$648,"página no accesible*")</f>
        <v>0</v>
      </c>
    </row>
    <row r="17" customFormat="false" ht="15" hidden="false" customHeight="false" outlineLevel="0" collapsed="false">
      <c r="A17" s="4" t="s">
        <v>29</v>
      </c>
      <c r="B17" s="4" t="s">
        <v>344</v>
      </c>
      <c r="C17" s="4" t="n">
        <f aca="false">COUNTIFS(Filas!$A$2:$A$648,$A17,Filas!$B$2:$B$648,$B17)</f>
        <v>5</v>
      </c>
      <c r="D17" s="4" t="n">
        <f aca="false">COUNTIFS(Filas!$A$2:$A$648,$A17,Filas!$B$2:$B$648,$B17,Filas!$N$2:$N$648,"mejora")</f>
        <v>4</v>
      </c>
      <c r="E17" s="4" t="n">
        <f aca="false">COUNTIFS(Filas!$A$2:$A$648,$A17,Filas!$B$2:$B$648,$B17,Filas!$N$2:$N$648,"sin cambio")</f>
        <v>0</v>
      </c>
      <c r="F17" s="4" t="n">
        <f aca="false">COUNTIFS(Filas!$A$2:$A$648,$A17,Filas!$B$2:$B$648,$B17,Filas!$N$2:$N$648,"empeora")</f>
        <v>0</v>
      </c>
      <c r="G17" s="4" t="n">
        <f aca="false">COUNTIFS(Filas!$A$2:$A$648,$A17,Filas!$B$2:$B$648,$B17,Filas!$N$2:$N$648,"mixto")</f>
        <v>0</v>
      </c>
      <c r="H17" s="4" t="n">
        <f aca="false">COUNTIFS(Filas!$A$2:$A$648,$A17,Filas!$B$2:$B$648,$B17,Filas!$S$2:$S$648,"cita encontrada*")+COUNTIFS(Filas!$A$2:$A$648,$A17,Filas!$B$2:$B$648,$B17,Filas!$S$2:$S$648,"página existe*")</f>
        <v>5</v>
      </c>
      <c r="I17" s="4" t="n">
        <f aca="false">COUNTIFS(Filas!$A$2:$A$648,$A17,Filas!$B$2:$B$648,$B17,Filas!$S$2:$S$648,"cita no encontrada*")+COUNTIFS(Filas!$A$2:$A$648,$A17,Filas!$B$2:$B$648,$B17,Filas!$S$2:$S$648,"página no accesible*")</f>
        <v>0</v>
      </c>
    </row>
    <row r="18" customFormat="false" ht="15" hidden="false" customHeight="false" outlineLevel="0" collapsed="false">
      <c r="A18" s="4" t="s">
        <v>29</v>
      </c>
      <c r="B18" s="4" t="s">
        <v>390</v>
      </c>
      <c r="C18" s="4" t="n">
        <f aca="false">COUNTIFS(Filas!$A$2:$A$648,$A18,Filas!$B$2:$B$648,$B18)</f>
        <v>1</v>
      </c>
      <c r="D18" s="4" t="n">
        <f aca="false">COUNTIFS(Filas!$A$2:$A$648,$A18,Filas!$B$2:$B$648,$B18,Filas!$N$2:$N$648,"mejora")</f>
        <v>1</v>
      </c>
      <c r="E18" s="4" t="n">
        <f aca="false">COUNTIFS(Filas!$A$2:$A$648,$A18,Filas!$B$2:$B$648,$B18,Filas!$N$2:$N$648,"sin cambio")</f>
        <v>0</v>
      </c>
      <c r="F18" s="4" t="n">
        <f aca="false">COUNTIFS(Filas!$A$2:$A$648,$A18,Filas!$B$2:$B$648,$B18,Filas!$N$2:$N$648,"empeora")</f>
        <v>0</v>
      </c>
      <c r="G18" s="4" t="n">
        <f aca="false">COUNTIFS(Filas!$A$2:$A$648,$A18,Filas!$B$2:$B$648,$B18,Filas!$N$2:$N$648,"mixto")</f>
        <v>0</v>
      </c>
      <c r="H18" s="4" t="n">
        <f aca="false">COUNTIFS(Filas!$A$2:$A$648,$A18,Filas!$B$2:$B$648,$B18,Filas!$S$2:$S$648,"cita encontrada*")+COUNTIFS(Filas!$A$2:$A$648,$A18,Filas!$B$2:$B$648,$B18,Filas!$S$2:$S$648,"página existe*")</f>
        <v>1</v>
      </c>
      <c r="I18" s="4" t="n">
        <f aca="false">COUNTIFS(Filas!$A$2:$A$648,$A18,Filas!$B$2:$B$648,$B18,Filas!$S$2:$S$648,"cita no encontrada*")+COUNTIFS(Filas!$A$2:$A$648,$A18,Filas!$B$2:$B$648,$B18,Filas!$S$2:$S$648,"página no accesible*")</f>
        <v>0</v>
      </c>
    </row>
    <row r="19" customFormat="false" ht="15" hidden="false" customHeight="false" outlineLevel="0" collapsed="false">
      <c r="A19" s="4" t="s">
        <v>29</v>
      </c>
      <c r="B19" s="4" t="s">
        <v>403</v>
      </c>
      <c r="C19" s="4" t="n">
        <f aca="false">COUNTIFS(Filas!$A$2:$A$648,$A19,Filas!$B$2:$B$648,$B19)</f>
        <v>4</v>
      </c>
      <c r="D19" s="4" t="n">
        <f aca="false">COUNTIFS(Filas!$A$2:$A$648,$A19,Filas!$B$2:$B$648,$B19,Filas!$N$2:$N$648,"mejora")</f>
        <v>0</v>
      </c>
      <c r="E19" s="4" t="n">
        <f aca="false">COUNTIFS(Filas!$A$2:$A$648,$A19,Filas!$B$2:$B$648,$B19,Filas!$N$2:$N$648,"sin cambio")</f>
        <v>0</v>
      </c>
      <c r="F19" s="4" t="n">
        <f aca="false">COUNTIFS(Filas!$A$2:$A$648,$A19,Filas!$B$2:$B$648,$B19,Filas!$N$2:$N$648,"empeora")</f>
        <v>1</v>
      </c>
      <c r="G19" s="4" t="n">
        <f aca="false">COUNTIFS(Filas!$A$2:$A$648,$A19,Filas!$B$2:$B$648,$B19,Filas!$N$2:$N$648,"mixto")</f>
        <v>3</v>
      </c>
      <c r="H19" s="4" t="n">
        <f aca="false">COUNTIFS(Filas!$A$2:$A$648,$A19,Filas!$B$2:$B$648,$B19,Filas!$S$2:$S$648,"cita encontrada*")+COUNTIFS(Filas!$A$2:$A$648,$A19,Filas!$B$2:$B$648,$B19,Filas!$S$2:$S$648,"página existe*")</f>
        <v>4</v>
      </c>
      <c r="I19" s="4" t="n">
        <f aca="false">COUNTIFS(Filas!$A$2:$A$648,$A19,Filas!$B$2:$B$648,$B19,Filas!$S$2:$S$648,"cita no encontrada*")+COUNTIFS(Filas!$A$2:$A$648,$A19,Filas!$B$2:$B$648,$B19,Filas!$S$2:$S$648,"página no accesible*")</f>
        <v>0</v>
      </c>
    </row>
    <row r="20" customFormat="false" ht="15" hidden="false" customHeight="false" outlineLevel="0" collapsed="false">
      <c r="A20" s="4" t="s">
        <v>29</v>
      </c>
      <c r="B20" s="4" t="s">
        <v>453</v>
      </c>
      <c r="C20" s="4" t="n">
        <f aca="false">COUNTIFS(Filas!$A$2:$A$648,$A20,Filas!$B$2:$B$648,$B20)</f>
        <v>3</v>
      </c>
      <c r="D20" s="4" t="n">
        <f aca="false">COUNTIFS(Filas!$A$2:$A$648,$A20,Filas!$B$2:$B$648,$B20,Filas!$N$2:$N$648,"mejora")</f>
        <v>0</v>
      </c>
      <c r="E20" s="4" t="n">
        <f aca="false">COUNTIFS(Filas!$A$2:$A$648,$A20,Filas!$B$2:$B$648,$B20,Filas!$N$2:$N$648,"sin cambio")</f>
        <v>2</v>
      </c>
      <c r="F20" s="4" t="n">
        <f aca="false">COUNTIFS(Filas!$A$2:$A$648,$A20,Filas!$B$2:$B$648,$B20,Filas!$N$2:$N$648,"empeora")</f>
        <v>0</v>
      </c>
      <c r="G20" s="4" t="n">
        <f aca="false">COUNTIFS(Filas!$A$2:$A$648,$A20,Filas!$B$2:$B$648,$B20,Filas!$N$2:$N$648,"mixto")</f>
        <v>1</v>
      </c>
      <c r="H20" s="4" t="n">
        <f aca="false">COUNTIFS(Filas!$A$2:$A$648,$A20,Filas!$B$2:$B$648,$B20,Filas!$S$2:$S$648,"cita encontrada*")+COUNTIFS(Filas!$A$2:$A$648,$A20,Filas!$B$2:$B$648,$B20,Filas!$S$2:$S$648,"página existe*")</f>
        <v>3</v>
      </c>
      <c r="I20" s="4" t="n">
        <f aca="false">COUNTIFS(Filas!$A$2:$A$648,$A20,Filas!$B$2:$B$648,$B20,Filas!$S$2:$S$648,"cita no encontrada*")+COUNTIFS(Filas!$A$2:$A$648,$A20,Filas!$B$2:$B$648,$B20,Filas!$S$2:$S$648,"página no accesible*")</f>
        <v>0</v>
      </c>
    </row>
    <row r="21" customFormat="false" ht="15" hidden="false" customHeight="false" outlineLevel="0" collapsed="false">
      <c r="A21" s="4" t="s">
        <v>29</v>
      </c>
      <c r="B21" s="4" t="s">
        <v>507</v>
      </c>
      <c r="C21" s="4" t="n">
        <f aca="false">COUNTIFS(Filas!$A$2:$A$648,$A21,Filas!$B$2:$B$648,$B21)</f>
        <v>1</v>
      </c>
      <c r="D21" s="4" t="n">
        <f aca="false">COUNTIFS(Filas!$A$2:$A$648,$A21,Filas!$B$2:$B$648,$B21,Filas!$N$2:$N$648,"mejora")</f>
        <v>1</v>
      </c>
      <c r="E21" s="4" t="n">
        <f aca="false">COUNTIFS(Filas!$A$2:$A$648,$A21,Filas!$B$2:$B$648,$B21,Filas!$N$2:$N$648,"sin cambio")</f>
        <v>0</v>
      </c>
      <c r="F21" s="4" t="n">
        <f aca="false">COUNTIFS(Filas!$A$2:$A$648,$A21,Filas!$B$2:$B$648,$B21,Filas!$N$2:$N$648,"empeora")</f>
        <v>0</v>
      </c>
      <c r="G21" s="4" t="n">
        <f aca="false">COUNTIFS(Filas!$A$2:$A$648,$A21,Filas!$B$2:$B$648,$B21,Filas!$N$2:$N$648,"mixto")</f>
        <v>0</v>
      </c>
      <c r="H21" s="4" t="n">
        <f aca="false">COUNTIFS(Filas!$A$2:$A$648,$A21,Filas!$B$2:$B$648,$B21,Filas!$S$2:$S$648,"cita encontrada*")+COUNTIFS(Filas!$A$2:$A$648,$A21,Filas!$B$2:$B$648,$B21,Filas!$S$2:$S$648,"página existe*")</f>
        <v>1</v>
      </c>
      <c r="I21" s="4" t="n">
        <f aca="false">COUNTIFS(Filas!$A$2:$A$648,$A21,Filas!$B$2:$B$648,$B21,Filas!$S$2:$S$648,"cita no encontrada*")+COUNTIFS(Filas!$A$2:$A$648,$A21,Filas!$B$2:$B$648,$B21,Filas!$S$2:$S$648,"página no accesible*")</f>
        <v>0</v>
      </c>
    </row>
    <row r="22" customFormat="false" ht="15" hidden="false" customHeight="false" outlineLevel="0" collapsed="false">
      <c r="A22" s="4" t="s">
        <v>29</v>
      </c>
      <c r="B22" s="4" t="s">
        <v>521</v>
      </c>
      <c r="C22" s="4" t="n">
        <f aca="false">COUNTIFS(Filas!$A$2:$A$648,$A22,Filas!$B$2:$B$648,$B22)</f>
        <v>2</v>
      </c>
      <c r="D22" s="4" t="n">
        <f aca="false">COUNTIFS(Filas!$A$2:$A$648,$A22,Filas!$B$2:$B$648,$B22,Filas!$N$2:$N$648,"mejora")</f>
        <v>0</v>
      </c>
      <c r="E22" s="4" t="n">
        <f aca="false">COUNTIFS(Filas!$A$2:$A$648,$A22,Filas!$B$2:$B$648,$B22,Filas!$N$2:$N$648,"sin cambio")</f>
        <v>1</v>
      </c>
      <c r="F22" s="4" t="n">
        <f aca="false">COUNTIFS(Filas!$A$2:$A$648,$A22,Filas!$B$2:$B$648,$B22,Filas!$N$2:$N$648,"empeora")</f>
        <v>0</v>
      </c>
      <c r="G22" s="4" t="n">
        <f aca="false">COUNTIFS(Filas!$A$2:$A$648,$A22,Filas!$B$2:$B$648,$B22,Filas!$N$2:$N$648,"mixto")</f>
        <v>0</v>
      </c>
      <c r="H22" s="4" t="n">
        <f aca="false">COUNTIFS(Filas!$A$2:$A$648,$A22,Filas!$B$2:$B$648,$B22,Filas!$S$2:$S$648,"cita encontrada*")+COUNTIFS(Filas!$A$2:$A$648,$A22,Filas!$B$2:$B$648,$B22,Filas!$S$2:$S$648,"página existe*")</f>
        <v>2</v>
      </c>
      <c r="I22" s="4" t="n">
        <f aca="false">COUNTIFS(Filas!$A$2:$A$648,$A22,Filas!$B$2:$B$648,$B22,Filas!$S$2:$S$648,"cita no encontrada*")+COUNTIFS(Filas!$A$2:$A$648,$A22,Filas!$B$2:$B$648,$B22,Filas!$S$2:$S$648,"página no accesible*")</f>
        <v>0</v>
      </c>
    </row>
    <row r="23" customFormat="false" ht="15" hidden="false" customHeight="false" outlineLevel="0" collapsed="false">
      <c r="A23" s="4" t="s">
        <v>29</v>
      </c>
      <c r="B23" s="4" t="s">
        <v>535</v>
      </c>
      <c r="C23" s="4" t="n">
        <f aca="false">COUNTIFS(Filas!$A$2:$A$648,$A23,Filas!$B$2:$B$648,$B23)</f>
        <v>1</v>
      </c>
      <c r="D23" s="4" t="n">
        <f aca="false">COUNTIFS(Filas!$A$2:$A$648,$A23,Filas!$B$2:$B$648,$B23,Filas!$N$2:$N$648,"mejora")</f>
        <v>0</v>
      </c>
      <c r="E23" s="4" t="n">
        <f aca="false">COUNTIFS(Filas!$A$2:$A$648,$A23,Filas!$B$2:$B$648,$B23,Filas!$N$2:$N$648,"sin cambio")</f>
        <v>0</v>
      </c>
      <c r="F23" s="4" t="n">
        <f aca="false">COUNTIFS(Filas!$A$2:$A$648,$A23,Filas!$B$2:$B$648,$B23,Filas!$N$2:$N$648,"empeora")</f>
        <v>1</v>
      </c>
      <c r="G23" s="4" t="n">
        <f aca="false">COUNTIFS(Filas!$A$2:$A$648,$A23,Filas!$B$2:$B$648,$B23,Filas!$N$2:$N$648,"mixto")</f>
        <v>0</v>
      </c>
      <c r="H23" s="4" t="n">
        <f aca="false">COUNTIFS(Filas!$A$2:$A$648,$A23,Filas!$B$2:$B$648,$B23,Filas!$S$2:$S$648,"cita encontrada*")+COUNTIFS(Filas!$A$2:$A$648,$A23,Filas!$B$2:$B$648,$B23,Filas!$S$2:$S$648,"página existe*")</f>
        <v>1</v>
      </c>
      <c r="I23" s="4" t="n">
        <f aca="false">COUNTIFS(Filas!$A$2:$A$648,$A23,Filas!$B$2:$B$648,$B23,Filas!$S$2:$S$648,"cita no encontrada*")+COUNTIFS(Filas!$A$2:$A$648,$A23,Filas!$B$2:$B$648,$B23,Filas!$S$2:$S$648,"página no accesible*")</f>
        <v>0</v>
      </c>
    </row>
    <row r="24" customFormat="false" ht="15" hidden="false" customHeight="false" outlineLevel="0" collapsed="false">
      <c r="A24" s="4" t="s">
        <v>29</v>
      </c>
      <c r="B24" s="4" t="s">
        <v>561</v>
      </c>
      <c r="C24" s="4" t="n">
        <f aca="false">COUNTIFS(Filas!$A$2:$A$648,$A24,Filas!$B$2:$B$648,$B24)</f>
        <v>4</v>
      </c>
      <c r="D24" s="4" t="n">
        <f aca="false">COUNTIFS(Filas!$A$2:$A$648,$A24,Filas!$B$2:$B$648,$B24,Filas!$N$2:$N$648,"mejora")</f>
        <v>2</v>
      </c>
      <c r="E24" s="4" t="n">
        <f aca="false">COUNTIFS(Filas!$A$2:$A$648,$A24,Filas!$B$2:$B$648,$B24,Filas!$N$2:$N$648,"sin cambio")</f>
        <v>0</v>
      </c>
      <c r="F24" s="4" t="n">
        <f aca="false">COUNTIFS(Filas!$A$2:$A$648,$A24,Filas!$B$2:$B$648,$B24,Filas!$N$2:$N$648,"empeora")</f>
        <v>0</v>
      </c>
      <c r="G24" s="4" t="n">
        <f aca="false">COUNTIFS(Filas!$A$2:$A$648,$A24,Filas!$B$2:$B$648,$B24,Filas!$N$2:$N$648,"mixto")</f>
        <v>1</v>
      </c>
      <c r="H24" s="4" t="n">
        <f aca="false">COUNTIFS(Filas!$A$2:$A$648,$A24,Filas!$B$2:$B$648,$B24,Filas!$S$2:$S$648,"cita encontrada*")+COUNTIFS(Filas!$A$2:$A$648,$A24,Filas!$B$2:$B$648,$B24,Filas!$S$2:$S$648,"página existe*")</f>
        <v>4</v>
      </c>
      <c r="I24" s="4" t="n">
        <f aca="false">COUNTIFS(Filas!$A$2:$A$648,$A24,Filas!$B$2:$B$648,$B24,Filas!$S$2:$S$648,"cita no encontrada*")+COUNTIFS(Filas!$A$2:$A$648,$A24,Filas!$B$2:$B$648,$B24,Filas!$S$2:$S$648,"página no accesible*")</f>
        <v>0</v>
      </c>
    </row>
    <row r="25" customFormat="false" ht="15" hidden="false" customHeight="false" outlineLevel="0" collapsed="false">
      <c r="A25" s="4" t="s">
        <v>29</v>
      </c>
      <c r="B25" s="4" t="s">
        <v>609</v>
      </c>
      <c r="C25" s="4" t="n">
        <f aca="false">COUNTIFS(Filas!$A$2:$A$648,$A25,Filas!$B$2:$B$648,$B25)</f>
        <v>1</v>
      </c>
      <c r="D25" s="4" t="n">
        <f aca="false">COUNTIFS(Filas!$A$2:$A$648,$A25,Filas!$B$2:$B$648,$B25,Filas!$N$2:$N$648,"mejora")</f>
        <v>0</v>
      </c>
      <c r="E25" s="4" t="n">
        <f aca="false">COUNTIFS(Filas!$A$2:$A$648,$A25,Filas!$B$2:$B$648,$B25,Filas!$N$2:$N$648,"sin cambio")</f>
        <v>1</v>
      </c>
      <c r="F25" s="4" t="n">
        <f aca="false">COUNTIFS(Filas!$A$2:$A$648,$A25,Filas!$B$2:$B$648,$B25,Filas!$N$2:$N$648,"empeora")</f>
        <v>0</v>
      </c>
      <c r="G25" s="4" t="n">
        <f aca="false">COUNTIFS(Filas!$A$2:$A$648,$A25,Filas!$B$2:$B$648,$B25,Filas!$N$2:$N$648,"mixto")</f>
        <v>0</v>
      </c>
      <c r="H25" s="4" t="n">
        <f aca="false">COUNTIFS(Filas!$A$2:$A$648,$A25,Filas!$B$2:$B$648,$B25,Filas!$S$2:$S$648,"cita encontrada*")+COUNTIFS(Filas!$A$2:$A$648,$A25,Filas!$B$2:$B$648,$B25,Filas!$S$2:$S$648,"página existe*")</f>
        <v>1</v>
      </c>
      <c r="I25" s="4" t="n">
        <f aca="false">COUNTIFS(Filas!$A$2:$A$648,$A25,Filas!$B$2:$B$648,$B25,Filas!$S$2:$S$648,"cita no encontrada*")+COUNTIFS(Filas!$A$2:$A$648,$A25,Filas!$B$2:$B$648,$B25,Filas!$S$2:$S$648,"página no accesible*")</f>
        <v>0</v>
      </c>
    </row>
    <row r="26" customFormat="false" ht="15" hidden="false" customHeight="false" outlineLevel="0" collapsed="false">
      <c r="A26" s="4" t="s">
        <v>622</v>
      </c>
      <c r="B26" s="4" t="s">
        <v>623</v>
      </c>
      <c r="C26" s="4" t="n">
        <f aca="false">COUNTIFS(Filas!$A$2:$A$648,$A26,Filas!$B$2:$B$648,$B26)</f>
        <v>6</v>
      </c>
      <c r="D26" s="4" t="n">
        <f aca="false">COUNTIFS(Filas!$A$2:$A$648,$A26,Filas!$B$2:$B$648,$B26,Filas!$N$2:$N$648,"mejora")</f>
        <v>2</v>
      </c>
      <c r="E26" s="4" t="n">
        <f aca="false">COUNTIFS(Filas!$A$2:$A$648,$A26,Filas!$B$2:$B$648,$B26,Filas!$N$2:$N$648,"sin cambio")</f>
        <v>1</v>
      </c>
      <c r="F26" s="4" t="n">
        <f aca="false">COUNTIFS(Filas!$A$2:$A$648,$A26,Filas!$B$2:$B$648,$B26,Filas!$N$2:$N$648,"empeora")</f>
        <v>0</v>
      </c>
      <c r="G26" s="4" t="n">
        <f aca="false">COUNTIFS(Filas!$A$2:$A$648,$A26,Filas!$B$2:$B$648,$B26,Filas!$N$2:$N$648,"mixto")</f>
        <v>1</v>
      </c>
      <c r="H26" s="4" t="n">
        <f aca="false">COUNTIFS(Filas!$A$2:$A$648,$A26,Filas!$B$2:$B$648,$B26,Filas!$S$2:$S$648,"cita encontrada*")+COUNTIFS(Filas!$A$2:$A$648,$A26,Filas!$B$2:$B$648,$B26,Filas!$S$2:$S$648,"página existe*")</f>
        <v>6</v>
      </c>
      <c r="I26" s="4" t="n">
        <f aca="false">COUNTIFS(Filas!$A$2:$A$648,$A26,Filas!$B$2:$B$648,$B26,Filas!$S$2:$S$648,"cita no encontrada*")+COUNTIFS(Filas!$A$2:$A$648,$A26,Filas!$B$2:$B$648,$B26,Filas!$S$2:$S$648,"página no accesible*")</f>
        <v>0</v>
      </c>
    </row>
    <row r="27" customFormat="false" ht="15" hidden="false" customHeight="false" outlineLevel="0" collapsed="false">
      <c r="A27" s="4" t="s">
        <v>622</v>
      </c>
      <c r="B27" s="4" t="s">
        <v>671</v>
      </c>
      <c r="C27" s="4" t="n">
        <f aca="false">COUNTIFS(Filas!$A$2:$A$648,$A27,Filas!$B$2:$B$648,$B27)</f>
        <v>1</v>
      </c>
      <c r="D27" s="4" t="n">
        <f aca="false">COUNTIFS(Filas!$A$2:$A$648,$A27,Filas!$B$2:$B$648,$B27,Filas!$N$2:$N$648,"mejora")</f>
        <v>0</v>
      </c>
      <c r="E27" s="4" t="n">
        <f aca="false">COUNTIFS(Filas!$A$2:$A$648,$A27,Filas!$B$2:$B$648,$B27,Filas!$N$2:$N$648,"sin cambio")</f>
        <v>1</v>
      </c>
      <c r="F27" s="4" t="n">
        <f aca="false">COUNTIFS(Filas!$A$2:$A$648,$A27,Filas!$B$2:$B$648,$B27,Filas!$N$2:$N$648,"empeora")</f>
        <v>0</v>
      </c>
      <c r="G27" s="4" t="n">
        <f aca="false">COUNTIFS(Filas!$A$2:$A$648,$A27,Filas!$B$2:$B$648,$B27,Filas!$N$2:$N$648,"mixto")</f>
        <v>0</v>
      </c>
      <c r="H27" s="4" t="n">
        <f aca="false">COUNTIFS(Filas!$A$2:$A$648,$A27,Filas!$B$2:$B$648,$B27,Filas!$S$2:$S$648,"cita encontrada*")+COUNTIFS(Filas!$A$2:$A$648,$A27,Filas!$B$2:$B$648,$B27,Filas!$S$2:$S$648,"página existe*")</f>
        <v>1</v>
      </c>
      <c r="I27" s="4" t="n">
        <f aca="false">COUNTIFS(Filas!$A$2:$A$648,$A27,Filas!$B$2:$B$648,$B27,Filas!$S$2:$S$648,"cita no encontrada*")+COUNTIFS(Filas!$A$2:$A$648,$A27,Filas!$B$2:$B$648,$B27,Filas!$S$2:$S$648,"página no accesible*")</f>
        <v>0</v>
      </c>
    </row>
    <row r="28" customFormat="false" ht="15" hidden="false" customHeight="false" outlineLevel="0" collapsed="false">
      <c r="A28" s="4" t="s">
        <v>622</v>
      </c>
      <c r="B28" s="4" t="s">
        <v>688</v>
      </c>
      <c r="C28" s="4" t="n">
        <f aca="false">COUNTIFS(Filas!$A$2:$A$648,$A28,Filas!$B$2:$B$648,$B28)</f>
        <v>3</v>
      </c>
      <c r="D28" s="4" t="n">
        <f aca="false">COUNTIFS(Filas!$A$2:$A$648,$A28,Filas!$B$2:$B$648,$B28,Filas!$N$2:$N$648,"mejora")</f>
        <v>1</v>
      </c>
      <c r="E28" s="4" t="n">
        <f aca="false">COUNTIFS(Filas!$A$2:$A$648,$A28,Filas!$B$2:$B$648,$B28,Filas!$N$2:$N$648,"sin cambio")</f>
        <v>0</v>
      </c>
      <c r="F28" s="4" t="n">
        <f aca="false">COUNTIFS(Filas!$A$2:$A$648,$A28,Filas!$B$2:$B$648,$B28,Filas!$N$2:$N$648,"empeora")</f>
        <v>0</v>
      </c>
      <c r="G28" s="4" t="n">
        <f aca="false">COUNTIFS(Filas!$A$2:$A$648,$A28,Filas!$B$2:$B$648,$B28,Filas!$N$2:$N$648,"mixto")</f>
        <v>2</v>
      </c>
      <c r="H28" s="4" t="n">
        <f aca="false">COUNTIFS(Filas!$A$2:$A$648,$A28,Filas!$B$2:$B$648,$B28,Filas!$S$2:$S$648,"cita encontrada*")+COUNTIFS(Filas!$A$2:$A$648,$A28,Filas!$B$2:$B$648,$B28,Filas!$S$2:$S$648,"página existe*")</f>
        <v>3</v>
      </c>
      <c r="I28" s="4" t="n">
        <f aca="false">COUNTIFS(Filas!$A$2:$A$648,$A28,Filas!$B$2:$B$648,$B28,Filas!$S$2:$S$648,"cita no encontrada*")+COUNTIFS(Filas!$A$2:$A$648,$A28,Filas!$B$2:$B$648,$B28,Filas!$S$2:$S$648,"página no accesible*")</f>
        <v>0</v>
      </c>
    </row>
    <row r="29" customFormat="false" ht="15" hidden="false" customHeight="false" outlineLevel="0" collapsed="false">
      <c r="A29" s="4" t="s">
        <v>622</v>
      </c>
      <c r="B29" s="4" t="s">
        <v>716</v>
      </c>
      <c r="C29" s="4" t="n">
        <f aca="false">COUNTIFS(Filas!$A$2:$A$648,$A29,Filas!$B$2:$B$648,$B29)</f>
        <v>1</v>
      </c>
      <c r="D29" s="4" t="n">
        <f aca="false">COUNTIFS(Filas!$A$2:$A$648,$A29,Filas!$B$2:$B$648,$B29,Filas!$N$2:$N$648,"mejora")</f>
        <v>1</v>
      </c>
      <c r="E29" s="4" t="n">
        <f aca="false">COUNTIFS(Filas!$A$2:$A$648,$A29,Filas!$B$2:$B$648,$B29,Filas!$N$2:$N$648,"sin cambio")</f>
        <v>0</v>
      </c>
      <c r="F29" s="4" t="n">
        <f aca="false">COUNTIFS(Filas!$A$2:$A$648,$A29,Filas!$B$2:$B$648,$B29,Filas!$N$2:$N$648,"empeora")</f>
        <v>0</v>
      </c>
      <c r="G29" s="4" t="n">
        <f aca="false">COUNTIFS(Filas!$A$2:$A$648,$A29,Filas!$B$2:$B$648,$B29,Filas!$N$2:$N$648,"mixto")</f>
        <v>0</v>
      </c>
      <c r="H29" s="4" t="n">
        <f aca="false">COUNTIFS(Filas!$A$2:$A$648,$A29,Filas!$B$2:$B$648,$B29,Filas!$S$2:$S$648,"cita encontrada*")+COUNTIFS(Filas!$A$2:$A$648,$A29,Filas!$B$2:$B$648,$B29,Filas!$S$2:$S$648,"página existe*")</f>
        <v>1</v>
      </c>
      <c r="I29" s="4" t="n">
        <f aca="false">COUNTIFS(Filas!$A$2:$A$648,$A29,Filas!$B$2:$B$648,$B29,Filas!$S$2:$S$648,"cita no encontrada*")+COUNTIFS(Filas!$A$2:$A$648,$A29,Filas!$B$2:$B$648,$B29,Filas!$S$2:$S$648,"página no accesible*")</f>
        <v>0</v>
      </c>
    </row>
    <row r="30" customFormat="false" ht="15" hidden="false" customHeight="false" outlineLevel="0" collapsed="false">
      <c r="A30" s="4" t="s">
        <v>622</v>
      </c>
      <c r="B30" s="4" t="s">
        <v>730</v>
      </c>
      <c r="C30" s="4" t="n">
        <f aca="false">COUNTIFS(Filas!$A$2:$A$648,$A30,Filas!$B$2:$B$648,$B30)</f>
        <v>1</v>
      </c>
      <c r="D30" s="4" t="n">
        <f aca="false">COUNTIFS(Filas!$A$2:$A$648,$A30,Filas!$B$2:$B$648,$B30,Filas!$N$2:$N$648,"mejora")</f>
        <v>0</v>
      </c>
      <c r="E30" s="4" t="n">
        <f aca="false">COUNTIFS(Filas!$A$2:$A$648,$A30,Filas!$B$2:$B$648,$B30,Filas!$N$2:$N$648,"sin cambio")</f>
        <v>0</v>
      </c>
      <c r="F30" s="4" t="n">
        <f aca="false">COUNTIFS(Filas!$A$2:$A$648,$A30,Filas!$B$2:$B$648,$B30,Filas!$N$2:$N$648,"empeora")</f>
        <v>0</v>
      </c>
      <c r="G30" s="4" t="n">
        <f aca="false">COUNTIFS(Filas!$A$2:$A$648,$A30,Filas!$B$2:$B$648,$B30,Filas!$N$2:$N$648,"mixto")</f>
        <v>1</v>
      </c>
      <c r="H30" s="4" t="n">
        <f aca="false">COUNTIFS(Filas!$A$2:$A$648,$A30,Filas!$B$2:$B$648,$B30,Filas!$S$2:$S$648,"cita encontrada*")+COUNTIFS(Filas!$A$2:$A$648,$A30,Filas!$B$2:$B$648,$B30,Filas!$S$2:$S$648,"página existe*")</f>
        <v>1</v>
      </c>
      <c r="I30" s="4" t="n">
        <f aca="false">COUNTIFS(Filas!$A$2:$A$648,$A30,Filas!$B$2:$B$648,$B30,Filas!$S$2:$S$648,"cita no encontrada*")+COUNTIFS(Filas!$A$2:$A$648,$A30,Filas!$B$2:$B$648,$B30,Filas!$S$2:$S$648,"página no accesible*")</f>
        <v>0</v>
      </c>
    </row>
    <row r="31" customFormat="false" ht="15" hidden="false" customHeight="false" outlineLevel="0" collapsed="false">
      <c r="A31" s="4" t="s">
        <v>622</v>
      </c>
      <c r="B31" s="4" t="s">
        <v>743</v>
      </c>
      <c r="C31" s="4" t="n">
        <f aca="false">COUNTIFS(Filas!$A$2:$A$648,$A31,Filas!$B$2:$B$648,$B31)</f>
        <v>1</v>
      </c>
      <c r="D31" s="4" t="n">
        <f aca="false">COUNTIFS(Filas!$A$2:$A$648,$A31,Filas!$B$2:$B$648,$B31,Filas!$N$2:$N$648,"mejora")</f>
        <v>1</v>
      </c>
      <c r="E31" s="4" t="n">
        <f aca="false">COUNTIFS(Filas!$A$2:$A$648,$A31,Filas!$B$2:$B$648,$B31,Filas!$N$2:$N$648,"sin cambio")</f>
        <v>0</v>
      </c>
      <c r="F31" s="4" t="n">
        <f aca="false">COUNTIFS(Filas!$A$2:$A$648,$A31,Filas!$B$2:$B$648,$B31,Filas!$N$2:$N$648,"empeora")</f>
        <v>0</v>
      </c>
      <c r="G31" s="4" t="n">
        <f aca="false">COUNTIFS(Filas!$A$2:$A$648,$A31,Filas!$B$2:$B$648,$B31,Filas!$N$2:$N$648,"mixto")</f>
        <v>0</v>
      </c>
      <c r="H31" s="4" t="n">
        <f aca="false">COUNTIFS(Filas!$A$2:$A$648,$A31,Filas!$B$2:$B$648,$B31,Filas!$S$2:$S$648,"cita encontrada*")+COUNTIFS(Filas!$A$2:$A$648,$A31,Filas!$B$2:$B$648,$B31,Filas!$S$2:$S$648,"página existe*")</f>
        <v>1</v>
      </c>
      <c r="I31" s="4" t="n">
        <f aca="false">COUNTIFS(Filas!$A$2:$A$648,$A31,Filas!$B$2:$B$648,$B31,Filas!$S$2:$S$648,"cita no encontrada*")+COUNTIFS(Filas!$A$2:$A$648,$A31,Filas!$B$2:$B$648,$B31,Filas!$S$2:$S$648,"página no accesible*")</f>
        <v>0</v>
      </c>
    </row>
    <row r="32" customFormat="false" ht="15" hidden="false" customHeight="false" outlineLevel="0" collapsed="false">
      <c r="A32" s="4" t="s">
        <v>622</v>
      </c>
      <c r="B32" s="4" t="s">
        <v>778</v>
      </c>
      <c r="C32" s="4" t="n">
        <f aca="false">COUNTIFS(Filas!$A$2:$A$648,$A32,Filas!$B$2:$B$648,$B32)</f>
        <v>3</v>
      </c>
      <c r="D32" s="4" t="n">
        <f aca="false">COUNTIFS(Filas!$A$2:$A$648,$A32,Filas!$B$2:$B$648,$B32,Filas!$N$2:$N$648,"mejora")</f>
        <v>2</v>
      </c>
      <c r="E32" s="4" t="n">
        <f aca="false">COUNTIFS(Filas!$A$2:$A$648,$A32,Filas!$B$2:$B$648,$B32,Filas!$N$2:$N$648,"sin cambio")</f>
        <v>0</v>
      </c>
      <c r="F32" s="4" t="n">
        <f aca="false">COUNTIFS(Filas!$A$2:$A$648,$A32,Filas!$B$2:$B$648,$B32,Filas!$N$2:$N$648,"empeora")</f>
        <v>0</v>
      </c>
      <c r="G32" s="4" t="n">
        <f aca="false">COUNTIFS(Filas!$A$2:$A$648,$A32,Filas!$B$2:$B$648,$B32,Filas!$N$2:$N$648,"mixto")</f>
        <v>0</v>
      </c>
      <c r="H32" s="4" t="n">
        <f aca="false">COUNTIFS(Filas!$A$2:$A$648,$A32,Filas!$B$2:$B$648,$B32,Filas!$S$2:$S$648,"cita encontrada*")+COUNTIFS(Filas!$A$2:$A$648,$A32,Filas!$B$2:$B$648,$B32,Filas!$S$2:$S$648,"página existe*")</f>
        <v>3</v>
      </c>
      <c r="I32" s="4" t="n">
        <f aca="false">COUNTIFS(Filas!$A$2:$A$648,$A32,Filas!$B$2:$B$648,$B32,Filas!$S$2:$S$648,"cita no encontrada*")+COUNTIFS(Filas!$A$2:$A$648,$A32,Filas!$B$2:$B$648,$B32,Filas!$S$2:$S$648,"página no accesible*")</f>
        <v>0</v>
      </c>
    </row>
    <row r="33" customFormat="false" ht="15" hidden="false" customHeight="false" outlineLevel="0" collapsed="false">
      <c r="A33" s="4" t="s">
        <v>622</v>
      </c>
      <c r="B33" s="4" t="s">
        <v>795</v>
      </c>
      <c r="C33" s="4" t="n">
        <f aca="false">COUNTIFS(Filas!$A$2:$A$648,$A33,Filas!$B$2:$B$648,$B33)</f>
        <v>5</v>
      </c>
      <c r="D33" s="4" t="n">
        <f aca="false">COUNTIFS(Filas!$A$2:$A$648,$A33,Filas!$B$2:$B$648,$B33,Filas!$N$2:$N$648,"mejora")</f>
        <v>3</v>
      </c>
      <c r="E33" s="4" t="n">
        <f aca="false">COUNTIFS(Filas!$A$2:$A$648,$A33,Filas!$B$2:$B$648,$B33,Filas!$N$2:$N$648,"sin cambio")</f>
        <v>0</v>
      </c>
      <c r="F33" s="4" t="n">
        <f aca="false">COUNTIFS(Filas!$A$2:$A$648,$A33,Filas!$B$2:$B$648,$B33,Filas!$N$2:$N$648,"empeora")</f>
        <v>0</v>
      </c>
      <c r="G33" s="4" t="n">
        <f aca="false">COUNTIFS(Filas!$A$2:$A$648,$A33,Filas!$B$2:$B$648,$B33,Filas!$N$2:$N$648,"mixto")</f>
        <v>1</v>
      </c>
      <c r="H33" s="4" t="n">
        <f aca="false">COUNTIFS(Filas!$A$2:$A$648,$A33,Filas!$B$2:$B$648,$B33,Filas!$S$2:$S$648,"cita encontrada*")+COUNTIFS(Filas!$A$2:$A$648,$A33,Filas!$B$2:$B$648,$B33,Filas!$S$2:$S$648,"página existe*")</f>
        <v>5</v>
      </c>
      <c r="I33" s="4" t="n">
        <f aca="false">COUNTIFS(Filas!$A$2:$A$648,$A33,Filas!$B$2:$B$648,$B33,Filas!$S$2:$S$648,"cita no encontrada*")+COUNTIFS(Filas!$A$2:$A$648,$A33,Filas!$B$2:$B$648,$B33,Filas!$S$2:$S$648,"página no accesible*")</f>
        <v>0</v>
      </c>
    </row>
    <row r="34" customFormat="false" ht="15" hidden="false" customHeight="false" outlineLevel="0" collapsed="false">
      <c r="A34" s="4" t="s">
        <v>622</v>
      </c>
      <c r="B34" s="4" t="s">
        <v>839</v>
      </c>
      <c r="C34" s="4" t="n">
        <f aca="false">COUNTIFS(Filas!$A$2:$A$648,$A34,Filas!$B$2:$B$648,$B34)</f>
        <v>2</v>
      </c>
      <c r="D34" s="4" t="n">
        <f aca="false">COUNTIFS(Filas!$A$2:$A$648,$A34,Filas!$B$2:$B$648,$B34,Filas!$N$2:$N$648,"mejora")</f>
        <v>0</v>
      </c>
      <c r="E34" s="4" t="n">
        <f aca="false">COUNTIFS(Filas!$A$2:$A$648,$A34,Filas!$B$2:$B$648,$B34,Filas!$N$2:$N$648,"sin cambio")</f>
        <v>1</v>
      </c>
      <c r="F34" s="4" t="n">
        <f aca="false">COUNTIFS(Filas!$A$2:$A$648,$A34,Filas!$B$2:$B$648,$B34,Filas!$N$2:$N$648,"empeora")</f>
        <v>0</v>
      </c>
      <c r="G34" s="4" t="n">
        <f aca="false">COUNTIFS(Filas!$A$2:$A$648,$A34,Filas!$B$2:$B$648,$B34,Filas!$N$2:$N$648,"mixto")</f>
        <v>0</v>
      </c>
      <c r="H34" s="4" t="n">
        <f aca="false">COUNTIFS(Filas!$A$2:$A$648,$A34,Filas!$B$2:$B$648,$B34,Filas!$S$2:$S$648,"cita encontrada*")+COUNTIFS(Filas!$A$2:$A$648,$A34,Filas!$B$2:$B$648,$B34,Filas!$S$2:$S$648,"página existe*")</f>
        <v>2</v>
      </c>
      <c r="I34" s="4" t="n">
        <f aca="false">COUNTIFS(Filas!$A$2:$A$648,$A34,Filas!$B$2:$B$648,$B34,Filas!$S$2:$S$648,"cita no encontrada*")+COUNTIFS(Filas!$A$2:$A$648,$A34,Filas!$B$2:$B$648,$B34,Filas!$S$2:$S$648,"página no accesible*")</f>
        <v>0</v>
      </c>
    </row>
    <row r="35" customFormat="false" ht="15" hidden="false" customHeight="false" outlineLevel="0" collapsed="false">
      <c r="A35" s="4" t="s">
        <v>622</v>
      </c>
      <c r="B35" s="4" t="s">
        <v>856</v>
      </c>
      <c r="C35" s="4" t="n">
        <f aca="false">COUNTIFS(Filas!$A$2:$A$648,$A35,Filas!$B$2:$B$648,$B35)</f>
        <v>1</v>
      </c>
      <c r="D35" s="4" t="n">
        <f aca="false">COUNTIFS(Filas!$A$2:$A$648,$A35,Filas!$B$2:$B$648,$B35,Filas!$N$2:$N$648,"mejora")</f>
        <v>0</v>
      </c>
      <c r="E35" s="4" t="n">
        <f aca="false">COUNTIFS(Filas!$A$2:$A$648,$A35,Filas!$B$2:$B$648,$B35,Filas!$N$2:$N$648,"sin cambio")</f>
        <v>1</v>
      </c>
      <c r="F35" s="4" t="n">
        <f aca="false">COUNTIFS(Filas!$A$2:$A$648,$A35,Filas!$B$2:$B$648,$B35,Filas!$N$2:$N$648,"empeora")</f>
        <v>0</v>
      </c>
      <c r="G35" s="4" t="n">
        <f aca="false">COUNTIFS(Filas!$A$2:$A$648,$A35,Filas!$B$2:$B$648,$B35,Filas!$N$2:$N$648,"mixto")</f>
        <v>0</v>
      </c>
      <c r="H35" s="4" t="n">
        <f aca="false">COUNTIFS(Filas!$A$2:$A$648,$A35,Filas!$B$2:$B$648,$B35,Filas!$S$2:$S$648,"cita encontrada*")+COUNTIFS(Filas!$A$2:$A$648,$A35,Filas!$B$2:$B$648,$B35,Filas!$S$2:$S$648,"página existe*")</f>
        <v>1</v>
      </c>
      <c r="I35" s="4" t="n">
        <f aca="false">COUNTIFS(Filas!$A$2:$A$648,$A35,Filas!$B$2:$B$648,$B35,Filas!$S$2:$S$648,"cita no encontrada*")+COUNTIFS(Filas!$A$2:$A$648,$A35,Filas!$B$2:$B$648,$B35,Filas!$S$2:$S$648,"página no accesible*")</f>
        <v>0</v>
      </c>
    </row>
    <row r="36" customFormat="false" ht="15" hidden="false" customHeight="false" outlineLevel="0" collapsed="false">
      <c r="A36" s="4" t="s">
        <v>622</v>
      </c>
      <c r="B36" s="4" t="s">
        <v>871</v>
      </c>
      <c r="C36" s="4" t="n">
        <f aca="false">COUNTIFS(Filas!$A$2:$A$648,$A36,Filas!$B$2:$B$648,$B36)</f>
        <v>1</v>
      </c>
      <c r="D36" s="4" t="n">
        <f aca="false">COUNTIFS(Filas!$A$2:$A$648,$A36,Filas!$B$2:$B$648,$B36,Filas!$N$2:$N$648,"mejora")</f>
        <v>1</v>
      </c>
      <c r="E36" s="4" t="n">
        <f aca="false">COUNTIFS(Filas!$A$2:$A$648,$A36,Filas!$B$2:$B$648,$B36,Filas!$N$2:$N$648,"sin cambio")</f>
        <v>0</v>
      </c>
      <c r="F36" s="4" t="n">
        <f aca="false">COUNTIFS(Filas!$A$2:$A$648,$A36,Filas!$B$2:$B$648,$B36,Filas!$N$2:$N$648,"empeora")</f>
        <v>0</v>
      </c>
      <c r="G36" s="4" t="n">
        <f aca="false">COUNTIFS(Filas!$A$2:$A$648,$A36,Filas!$B$2:$B$648,$B36,Filas!$N$2:$N$648,"mixto")</f>
        <v>0</v>
      </c>
      <c r="H36" s="4" t="n">
        <f aca="false">COUNTIFS(Filas!$A$2:$A$648,$A36,Filas!$B$2:$B$648,$B36,Filas!$S$2:$S$648,"cita encontrada*")+COUNTIFS(Filas!$A$2:$A$648,$A36,Filas!$B$2:$B$648,$B36,Filas!$S$2:$S$648,"página existe*")</f>
        <v>1</v>
      </c>
      <c r="I36" s="4" t="n">
        <f aca="false">COUNTIFS(Filas!$A$2:$A$648,$A36,Filas!$B$2:$B$648,$B36,Filas!$S$2:$S$648,"cita no encontrada*")+COUNTIFS(Filas!$A$2:$A$648,$A36,Filas!$B$2:$B$648,$B36,Filas!$S$2:$S$648,"página no accesible*")</f>
        <v>0</v>
      </c>
    </row>
    <row r="37" customFormat="false" ht="15" hidden="false" customHeight="false" outlineLevel="0" collapsed="false">
      <c r="A37" s="4" t="s">
        <v>622</v>
      </c>
      <c r="B37" s="4" t="s">
        <v>887</v>
      </c>
      <c r="C37" s="4" t="n">
        <f aca="false">COUNTIFS(Filas!$A$2:$A$648,$A37,Filas!$B$2:$B$648,$B37)</f>
        <v>1</v>
      </c>
      <c r="D37" s="4" t="n">
        <f aca="false">COUNTIFS(Filas!$A$2:$A$648,$A37,Filas!$B$2:$B$648,$B37,Filas!$N$2:$N$648,"mejora")</f>
        <v>1</v>
      </c>
      <c r="E37" s="4" t="n">
        <f aca="false">COUNTIFS(Filas!$A$2:$A$648,$A37,Filas!$B$2:$B$648,$B37,Filas!$N$2:$N$648,"sin cambio")</f>
        <v>0</v>
      </c>
      <c r="F37" s="4" t="n">
        <f aca="false">COUNTIFS(Filas!$A$2:$A$648,$A37,Filas!$B$2:$B$648,$B37,Filas!$N$2:$N$648,"empeora")</f>
        <v>0</v>
      </c>
      <c r="G37" s="4" t="n">
        <f aca="false">COUNTIFS(Filas!$A$2:$A$648,$A37,Filas!$B$2:$B$648,$B37,Filas!$N$2:$N$648,"mixto")</f>
        <v>0</v>
      </c>
      <c r="H37" s="4" t="n">
        <f aca="false">COUNTIFS(Filas!$A$2:$A$648,$A37,Filas!$B$2:$B$648,$B37,Filas!$S$2:$S$648,"cita encontrada*")+COUNTIFS(Filas!$A$2:$A$648,$A37,Filas!$B$2:$B$648,$B37,Filas!$S$2:$S$648,"página existe*")</f>
        <v>1</v>
      </c>
      <c r="I37" s="4" t="n">
        <f aca="false">COUNTIFS(Filas!$A$2:$A$648,$A37,Filas!$B$2:$B$648,$B37,Filas!$S$2:$S$648,"cita no encontrada*")+COUNTIFS(Filas!$A$2:$A$648,$A37,Filas!$B$2:$B$648,$B37,Filas!$S$2:$S$648,"página no accesible*")</f>
        <v>0</v>
      </c>
    </row>
    <row r="38" customFormat="false" ht="15" hidden="false" customHeight="false" outlineLevel="0" collapsed="false">
      <c r="A38" s="4" t="s">
        <v>622</v>
      </c>
      <c r="B38" s="4" t="s">
        <v>914</v>
      </c>
      <c r="C38" s="4" t="n">
        <f aca="false">COUNTIFS(Filas!$A$2:$A$648,$A38,Filas!$B$2:$B$648,$B38)</f>
        <v>2</v>
      </c>
      <c r="D38" s="4" t="n">
        <f aca="false">COUNTIFS(Filas!$A$2:$A$648,$A38,Filas!$B$2:$B$648,$B38,Filas!$N$2:$N$648,"mejora")</f>
        <v>0</v>
      </c>
      <c r="E38" s="4" t="n">
        <f aca="false">COUNTIFS(Filas!$A$2:$A$648,$A38,Filas!$B$2:$B$648,$B38,Filas!$N$2:$N$648,"sin cambio")</f>
        <v>1</v>
      </c>
      <c r="F38" s="4" t="n">
        <f aca="false">COUNTIFS(Filas!$A$2:$A$648,$A38,Filas!$B$2:$B$648,$B38,Filas!$N$2:$N$648,"empeora")</f>
        <v>0</v>
      </c>
      <c r="G38" s="4" t="n">
        <f aca="false">COUNTIFS(Filas!$A$2:$A$648,$A38,Filas!$B$2:$B$648,$B38,Filas!$N$2:$N$648,"mixto")</f>
        <v>0</v>
      </c>
      <c r="H38" s="4" t="n">
        <f aca="false">COUNTIFS(Filas!$A$2:$A$648,$A38,Filas!$B$2:$B$648,$B38,Filas!$S$2:$S$648,"cita encontrada*")+COUNTIFS(Filas!$A$2:$A$648,$A38,Filas!$B$2:$B$648,$B38,Filas!$S$2:$S$648,"página existe*")</f>
        <v>2</v>
      </c>
      <c r="I38" s="4" t="n">
        <f aca="false">COUNTIFS(Filas!$A$2:$A$648,$A38,Filas!$B$2:$B$648,$B38,Filas!$S$2:$S$648,"cita no encontrada*")+COUNTIFS(Filas!$A$2:$A$648,$A38,Filas!$B$2:$B$648,$B38,Filas!$S$2:$S$648,"página no accesible*")</f>
        <v>0</v>
      </c>
    </row>
    <row r="39" customFormat="false" ht="15" hidden="false" customHeight="false" outlineLevel="0" collapsed="false">
      <c r="A39" s="4" t="s">
        <v>622</v>
      </c>
      <c r="B39" s="4" t="s">
        <v>928</v>
      </c>
      <c r="C39" s="4" t="n">
        <f aca="false">COUNTIFS(Filas!$A$2:$A$648,$A39,Filas!$B$2:$B$648,$B39)</f>
        <v>2</v>
      </c>
      <c r="D39" s="4" t="n">
        <f aca="false">COUNTIFS(Filas!$A$2:$A$648,$A39,Filas!$B$2:$B$648,$B39,Filas!$N$2:$N$648,"mejora")</f>
        <v>1</v>
      </c>
      <c r="E39" s="4" t="n">
        <f aca="false">COUNTIFS(Filas!$A$2:$A$648,$A39,Filas!$B$2:$B$648,$B39,Filas!$N$2:$N$648,"sin cambio")</f>
        <v>0</v>
      </c>
      <c r="F39" s="4" t="n">
        <f aca="false">COUNTIFS(Filas!$A$2:$A$648,$A39,Filas!$B$2:$B$648,$B39,Filas!$N$2:$N$648,"empeora")</f>
        <v>0</v>
      </c>
      <c r="G39" s="4" t="n">
        <f aca="false">COUNTIFS(Filas!$A$2:$A$648,$A39,Filas!$B$2:$B$648,$B39,Filas!$N$2:$N$648,"mixto")</f>
        <v>0</v>
      </c>
      <c r="H39" s="4" t="n">
        <f aca="false">COUNTIFS(Filas!$A$2:$A$648,$A39,Filas!$B$2:$B$648,$B39,Filas!$S$2:$S$648,"cita encontrada*")+COUNTIFS(Filas!$A$2:$A$648,$A39,Filas!$B$2:$B$648,$B39,Filas!$S$2:$S$648,"página existe*")</f>
        <v>2</v>
      </c>
      <c r="I39" s="4" t="n">
        <f aca="false">COUNTIFS(Filas!$A$2:$A$648,$A39,Filas!$B$2:$B$648,$B39,Filas!$S$2:$S$648,"cita no encontrada*")+COUNTIFS(Filas!$A$2:$A$648,$A39,Filas!$B$2:$B$648,$B39,Filas!$S$2:$S$648,"página no accesible*")</f>
        <v>0</v>
      </c>
    </row>
    <row r="40" customFormat="false" ht="15" hidden="false" customHeight="false" outlineLevel="0" collapsed="false">
      <c r="A40" s="4" t="s">
        <v>622</v>
      </c>
      <c r="B40" s="4" t="s">
        <v>973</v>
      </c>
      <c r="C40" s="4" t="n">
        <f aca="false">COUNTIFS(Filas!$A$2:$A$648,$A40,Filas!$B$2:$B$648,$B40)</f>
        <v>3</v>
      </c>
      <c r="D40" s="4" t="n">
        <f aca="false">COUNTIFS(Filas!$A$2:$A$648,$A40,Filas!$B$2:$B$648,$B40,Filas!$N$2:$N$648,"mejora")</f>
        <v>0</v>
      </c>
      <c r="E40" s="4" t="n">
        <f aca="false">COUNTIFS(Filas!$A$2:$A$648,$A40,Filas!$B$2:$B$648,$B40,Filas!$N$2:$N$648,"sin cambio")</f>
        <v>0</v>
      </c>
      <c r="F40" s="4" t="n">
        <f aca="false">COUNTIFS(Filas!$A$2:$A$648,$A40,Filas!$B$2:$B$648,$B40,Filas!$N$2:$N$648,"empeora")</f>
        <v>0</v>
      </c>
      <c r="G40" s="4" t="n">
        <f aca="false">COUNTIFS(Filas!$A$2:$A$648,$A40,Filas!$B$2:$B$648,$B40,Filas!$N$2:$N$648,"mixto")</f>
        <v>2</v>
      </c>
      <c r="H40" s="4" t="n">
        <f aca="false">COUNTIFS(Filas!$A$2:$A$648,$A40,Filas!$B$2:$B$648,$B40,Filas!$S$2:$S$648,"cita encontrada*")+COUNTIFS(Filas!$A$2:$A$648,$A40,Filas!$B$2:$B$648,$B40,Filas!$S$2:$S$648,"página existe*")</f>
        <v>3</v>
      </c>
      <c r="I40" s="4" t="n">
        <f aca="false">COUNTIFS(Filas!$A$2:$A$648,$A40,Filas!$B$2:$B$648,$B40,Filas!$S$2:$S$648,"cita no encontrada*")+COUNTIFS(Filas!$A$2:$A$648,$A40,Filas!$B$2:$B$648,$B40,Filas!$S$2:$S$648,"página no accesible*")</f>
        <v>0</v>
      </c>
    </row>
    <row r="41" customFormat="false" ht="15" hidden="false" customHeight="false" outlineLevel="0" collapsed="false">
      <c r="A41" s="4" t="s">
        <v>622</v>
      </c>
      <c r="B41" s="4" t="s">
        <v>988</v>
      </c>
      <c r="C41" s="4" t="n">
        <f aca="false">COUNTIFS(Filas!$A$2:$A$648,$A41,Filas!$B$2:$B$648,$B41)</f>
        <v>1</v>
      </c>
      <c r="D41" s="4" t="n">
        <f aca="false">COUNTIFS(Filas!$A$2:$A$648,$A41,Filas!$B$2:$B$648,$B41,Filas!$N$2:$N$648,"mejora")</f>
        <v>0</v>
      </c>
      <c r="E41" s="4" t="n">
        <f aca="false">COUNTIFS(Filas!$A$2:$A$648,$A41,Filas!$B$2:$B$648,$B41,Filas!$N$2:$N$648,"sin cambio")</f>
        <v>0</v>
      </c>
      <c r="F41" s="4" t="n">
        <f aca="false">COUNTIFS(Filas!$A$2:$A$648,$A41,Filas!$B$2:$B$648,$B41,Filas!$N$2:$N$648,"empeora")</f>
        <v>0</v>
      </c>
      <c r="G41" s="4" t="n">
        <f aca="false">COUNTIFS(Filas!$A$2:$A$648,$A41,Filas!$B$2:$B$648,$B41,Filas!$N$2:$N$648,"mixto")</f>
        <v>1</v>
      </c>
      <c r="H41" s="4" t="n">
        <f aca="false">COUNTIFS(Filas!$A$2:$A$648,$A41,Filas!$B$2:$B$648,$B41,Filas!$S$2:$S$648,"cita encontrada*")+COUNTIFS(Filas!$A$2:$A$648,$A41,Filas!$B$2:$B$648,$B41,Filas!$S$2:$S$648,"página existe*")</f>
        <v>1</v>
      </c>
      <c r="I41" s="4" t="n">
        <f aca="false">COUNTIFS(Filas!$A$2:$A$648,$A41,Filas!$B$2:$B$648,$B41,Filas!$S$2:$S$648,"cita no encontrada*")+COUNTIFS(Filas!$A$2:$A$648,$A41,Filas!$B$2:$B$648,$B41,Filas!$S$2:$S$648,"página no accesible*")</f>
        <v>0</v>
      </c>
    </row>
    <row r="42" customFormat="false" ht="15" hidden="false" customHeight="false" outlineLevel="0" collapsed="false">
      <c r="A42" s="4" t="s">
        <v>622</v>
      </c>
      <c r="B42" s="4" t="s">
        <v>1000</v>
      </c>
      <c r="C42" s="4" t="n">
        <f aca="false">COUNTIFS(Filas!$A$2:$A$648,$A42,Filas!$B$2:$B$648,$B42)</f>
        <v>1</v>
      </c>
      <c r="D42" s="4" t="n">
        <f aca="false">COUNTIFS(Filas!$A$2:$A$648,$A42,Filas!$B$2:$B$648,$B42,Filas!$N$2:$N$648,"mejora")</f>
        <v>1</v>
      </c>
      <c r="E42" s="4" t="n">
        <f aca="false">COUNTIFS(Filas!$A$2:$A$648,$A42,Filas!$B$2:$B$648,$B42,Filas!$N$2:$N$648,"sin cambio")</f>
        <v>0</v>
      </c>
      <c r="F42" s="4" t="n">
        <f aca="false">COUNTIFS(Filas!$A$2:$A$648,$A42,Filas!$B$2:$B$648,$B42,Filas!$N$2:$N$648,"empeora")</f>
        <v>0</v>
      </c>
      <c r="G42" s="4" t="n">
        <f aca="false">COUNTIFS(Filas!$A$2:$A$648,$A42,Filas!$B$2:$B$648,$B42,Filas!$N$2:$N$648,"mixto")</f>
        <v>0</v>
      </c>
      <c r="H42" s="4" t="n">
        <f aca="false">COUNTIFS(Filas!$A$2:$A$648,$A42,Filas!$B$2:$B$648,$B42,Filas!$S$2:$S$648,"cita encontrada*")+COUNTIFS(Filas!$A$2:$A$648,$A42,Filas!$B$2:$B$648,$B42,Filas!$S$2:$S$648,"página existe*")</f>
        <v>1</v>
      </c>
      <c r="I42" s="4" t="n">
        <f aca="false">COUNTIFS(Filas!$A$2:$A$648,$A42,Filas!$B$2:$B$648,$B42,Filas!$S$2:$S$648,"cita no encontrada*")+COUNTIFS(Filas!$A$2:$A$648,$A42,Filas!$B$2:$B$648,$B42,Filas!$S$2:$S$648,"página no accesible*")</f>
        <v>0</v>
      </c>
    </row>
    <row r="43" customFormat="false" ht="15" hidden="false" customHeight="false" outlineLevel="0" collapsed="false">
      <c r="A43" s="4" t="s">
        <v>622</v>
      </c>
      <c r="B43" s="4" t="s">
        <v>1044</v>
      </c>
      <c r="C43" s="4" t="n">
        <f aca="false">COUNTIFS(Filas!$A$2:$A$648,$A43,Filas!$B$2:$B$648,$B43)</f>
        <v>1</v>
      </c>
      <c r="D43" s="4" t="n">
        <f aca="false">COUNTIFS(Filas!$A$2:$A$648,$A43,Filas!$B$2:$B$648,$B43,Filas!$N$2:$N$648,"mejora")</f>
        <v>0</v>
      </c>
      <c r="E43" s="4" t="n">
        <f aca="false">COUNTIFS(Filas!$A$2:$A$648,$A43,Filas!$B$2:$B$648,$B43,Filas!$N$2:$N$648,"sin cambio")</f>
        <v>0</v>
      </c>
      <c r="F43" s="4" t="n">
        <f aca="false">COUNTIFS(Filas!$A$2:$A$648,$A43,Filas!$B$2:$B$648,$B43,Filas!$N$2:$N$648,"empeora")</f>
        <v>0</v>
      </c>
      <c r="G43" s="4" t="n">
        <f aca="false">COUNTIFS(Filas!$A$2:$A$648,$A43,Filas!$B$2:$B$648,$B43,Filas!$N$2:$N$648,"mixto")</f>
        <v>0</v>
      </c>
      <c r="H43" s="4" t="n">
        <f aca="false">COUNTIFS(Filas!$A$2:$A$648,$A43,Filas!$B$2:$B$648,$B43,Filas!$S$2:$S$648,"cita encontrada*")+COUNTIFS(Filas!$A$2:$A$648,$A43,Filas!$B$2:$B$648,$B43,Filas!$S$2:$S$648,"página existe*")</f>
        <v>1</v>
      </c>
      <c r="I43" s="4" t="n">
        <f aca="false">COUNTIFS(Filas!$A$2:$A$648,$A43,Filas!$B$2:$B$648,$B43,Filas!$S$2:$S$648,"cita no encontrada*")+COUNTIFS(Filas!$A$2:$A$648,$A43,Filas!$B$2:$B$648,$B43,Filas!$S$2:$S$648,"página no accesible*")</f>
        <v>0</v>
      </c>
    </row>
    <row r="44" customFormat="false" ht="15" hidden="false" customHeight="false" outlineLevel="0" collapsed="false">
      <c r="A44" s="4" t="s">
        <v>622</v>
      </c>
      <c r="B44" s="4" t="s">
        <v>1059</v>
      </c>
      <c r="C44" s="4" t="n">
        <f aca="false">COUNTIFS(Filas!$A$2:$A$648,$A44,Filas!$B$2:$B$648,$B44)</f>
        <v>1</v>
      </c>
      <c r="D44" s="4" t="n">
        <f aca="false">COUNTIFS(Filas!$A$2:$A$648,$A44,Filas!$B$2:$B$648,$B44,Filas!$N$2:$N$648,"mejora")</f>
        <v>0</v>
      </c>
      <c r="E44" s="4" t="n">
        <f aca="false">COUNTIFS(Filas!$A$2:$A$648,$A44,Filas!$B$2:$B$648,$B44,Filas!$N$2:$N$648,"sin cambio")</f>
        <v>0</v>
      </c>
      <c r="F44" s="4" t="n">
        <f aca="false">COUNTIFS(Filas!$A$2:$A$648,$A44,Filas!$B$2:$B$648,$B44,Filas!$N$2:$N$648,"empeora")</f>
        <v>0</v>
      </c>
      <c r="G44" s="4" t="n">
        <f aca="false">COUNTIFS(Filas!$A$2:$A$648,$A44,Filas!$B$2:$B$648,$B44,Filas!$N$2:$N$648,"mixto")</f>
        <v>0</v>
      </c>
      <c r="H44" s="4" t="n">
        <f aca="false">COUNTIFS(Filas!$A$2:$A$648,$A44,Filas!$B$2:$B$648,$B44,Filas!$S$2:$S$648,"cita encontrada*")+COUNTIFS(Filas!$A$2:$A$648,$A44,Filas!$B$2:$B$648,$B44,Filas!$S$2:$S$648,"página existe*")</f>
        <v>1</v>
      </c>
      <c r="I44" s="4" t="n">
        <f aca="false">COUNTIFS(Filas!$A$2:$A$648,$A44,Filas!$B$2:$B$648,$B44,Filas!$S$2:$S$648,"cita no encontrada*")+COUNTIFS(Filas!$A$2:$A$648,$A44,Filas!$B$2:$B$648,$B44,Filas!$S$2:$S$648,"página no accesible*")</f>
        <v>0</v>
      </c>
    </row>
    <row r="45" customFormat="false" ht="15" hidden="false" customHeight="false" outlineLevel="0" collapsed="false">
      <c r="A45" s="4" t="s">
        <v>622</v>
      </c>
      <c r="B45" s="4" t="s">
        <v>1088</v>
      </c>
      <c r="C45" s="4" t="n">
        <f aca="false">COUNTIFS(Filas!$A$2:$A$648,$A45,Filas!$B$2:$B$648,$B45)</f>
        <v>1</v>
      </c>
      <c r="D45" s="4" t="n">
        <f aca="false">COUNTIFS(Filas!$A$2:$A$648,$A45,Filas!$B$2:$B$648,$B45,Filas!$N$2:$N$648,"mejora")</f>
        <v>0</v>
      </c>
      <c r="E45" s="4" t="n">
        <f aca="false">COUNTIFS(Filas!$A$2:$A$648,$A45,Filas!$B$2:$B$648,$B45,Filas!$N$2:$N$648,"sin cambio")</f>
        <v>0</v>
      </c>
      <c r="F45" s="4" t="n">
        <f aca="false">COUNTIFS(Filas!$A$2:$A$648,$A45,Filas!$B$2:$B$648,$B45,Filas!$N$2:$N$648,"empeora")</f>
        <v>0</v>
      </c>
      <c r="G45" s="4" t="n">
        <f aca="false">COUNTIFS(Filas!$A$2:$A$648,$A45,Filas!$B$2:$B$648,$B45,Filas!$N$2:$N$648,"mixto")</f>
        <v>0</v>
      </c>
      <c r="H45" s="4" t="n">
        <f aca="false">COUNTIFS(Filas!$A$2:$A$648,$A45,Filas!$B$2:$B$648,$B45,Filas!$S$2:$S$648,"cita encontrada*")+COUNTIFS(Filas!$A$2:$A$648,$A45,Filas!$B$2:$B$648,$B45,Filas!$S$2:$S$648,"página existe*")</f>
        <v>1</v>
      </c>
      <c r="I45" s="4" t="n">
        <f aca="false">COUNTIFS(Filas!$A$2:$A$648,$A45,Filas!$B$2:$B$648,$B45,Filas!$S$2:$S$648,"cita no encontrada*")+COUNTIFS(Filas!$A$2:$A$648,$A45,Filas!$B$2:$B$648,$B45,Filas!$S$2:$S$648,"página no accesible*")</f>
        <v>0</v>
      </c>
    </row>
    <row r="46" customFormat="false" ht="15" hidden="false" customHeight="false" outlineLevel="0" collapsed="false">
      <c r="A46" s="4" t="s">
        <v>622</v>
      </c>
      <c r="B46" s="4" t="s">
        <v>1170</v>
      </c>
      <c r="C46" s="4" t="n">
        <f aca="false">COUNTIFS(Filas!$A$2:$A$648,$A46,Filas!$B$2:$B$648,$B46)</f>
        <v>1</v>
      </c>
      <c r="D46" s="4" t="n">
        <f aca="false">COUNTIFS(Filas!$A$2:$A$648,$A46,Filas!$B$2:$B$648,$B46,Filas!$N$2:$N$648,"mejora")</f>
        <v>0</v>
      </c>
      <c r="E46" s="4" t="n">
        <f aca="false">COUNTIFS(Filas!$A$2:$A$648,$A46,Filas!$B$2:$B$648,$B46,Filas!$N$2:$N$648,"sin cambio")</f>
        <v>0</v>
      </c>
      <c r="F46" s="4" t="n">
        <f aca="false">COUNTIFS(Filas!$A$2:$A$648,$A46,Filas!$B$2:$B$648,$B46,Filas!$N$2:$N$648,"empeora")</f>
        <v>0</v>
      </c>
      <c r="G46" s="4" t="n">
        <f aca="false">COUNTIFS(Filas!$A$2:$A$648,$A46,Filas!$B$2:$B$648,$B46,Filas!$N$2:$N$648,"mixto")</f>
        <v>0</v>
      </c>
      <c r="H46" s="4" t="n">
        <f aca="false">COUNTIFS(Filas!$A$2:$A$648,$A46,Filas!$B$2:$B$648,$B46,Filas!$S$2:$S$648,"cita encontrada*")+COUNTIFS(Filas!$A$2:$A$648,$A46,Filas!$B$2:$B$648,$B46,Filas!$S$2:$S$648,"página existe*")</f>
        <v>0</v>
      </c>
      <c r="I46" s="4" t="n">
        <f aca="false">COUNTIFS(Filas!$A$2:$A$648,$A46,Filas!$B$2:$B$648,$B46,Filas!$S$2:$S$648,"cita no encontrada*")+COUNTIFS(Filas!$A$2:$A$648,$A46,Filas!$B$2:$B$648,$B46,Filas!$S$2:$S$648,"página no accesible*")</f>
        <v>1</v>
      </c>
    </row>
    <row r="47" customFormat="false" ht="15" hidden="false" customHeight="false" outlineLevel="0" collapsed="false">
      <c r="A47" s="4" t="s">
        <v>622</v>
      </c>
      <c r="B47" s="4" t="s">
        <v>1184</v>
      </c>
      <c r="C47" s="4" t="n">
        <f aca="false">COUNTIFS(Filas!$A$2:$A$648,$A47,Filas!$B$2:$B$648,$B47)</f>
        <v>1</v>
      </c>
      <c r="D47" s="4" t="n">
        <f aca="false">COUNTIFS(Filas!$A$2:$A$648,$A47,Filas!$B$2:$B$648,$B47,Filas!$N$2:$N$648,"mejora")</f>
        <v>0</v>
      </c>
      <c r="E47" s="4" t="n">
        <f aca="false">COUNTIFS(Filas!$A$2:$A$648,$A47,Filas!$B$2:$B$648,$B47,Filas!$N$2:$N$648,"sin cambio")</f>
        <v>0</v>
      </c>
      <c r="F47" s="4" t="n">
        <f aca="false">COUNTIFS(Filas!$A$2:$A$648,$A47,Filas!$B$2:$B$648,$B47,Filas!$N$2:$N$648,"empeora")</f>
        <v>0</v>
      </c>
      <c r="G47" s="4" t="n">
        <f aca="false">COUNTIFS(Filas!$A$2:$A$648,$A47,Filas!$B$2:$B$648,$B47,Filas!$N$2:$N$648,"mixto")</f>
        <v>0</v>
      </c>
      <c r="H47" s="4" t="n">
        <f aca="false">COUNTIFS(Filas!$A$2:$A$648,$A47,Filas!$B$2:$B$648,$B47,Filas!$S$2:$S$648,"cita encontrada*")+COUNTIFS(Filas!$A$2:$A$648,$A47,Filas!$B$2:$B$648,$B47,Filas!$S$2:$S$648,"página existe*")</f>
        <v>1</v>
      </c>
      <c r="I47" s="4" t="n">
        <f aca="false">COUNTIFS(Filas!$A$2:$A$648,$A47,Filas!$B$2:$B$648,$B47,Filas!$S$2:$S$648,"cita no encontrada*")+COUNTIFS(Filas!$A$2:$A$648,$A47,Filas!$B$2:$B$648,$B47,Filas!$S$2:$S$648,"página no accesible*")</f>
        <v>0</v>
      </c>
    </row>
    <row r="48" customFormat="false" ht="15" hidden="false" customHeight="false" outlineLevel="0" collapsed="false">
      <c r="A48" s="4" t="s">
        <v>1198</v>
      </c>
      <c r="B48" s="4" t="s">
        <v>1199</v>
      </c>
      <c r="C48" s="4" t="n">
        <f aca="false">COUNTIFS(Filas!$A$2:$A$648,$A48,Filas!$B$2:$B$648,$B48)</f>
        <v>7</v>
      </c>
      <c r="D48" s="4" t="n">
        <f aca="false">COUNTIFS(Filas!$A$2:$A$648,$A48,Filas!$B$2:$B$648,$B48,Filas!$N$2:$N$648,"mejora")</f>
        <v>1</v>
      </c>
      <c r="E48" s="4" t="n">
        <f aca="false">COUNTIFS(Filas!$A$2:$A$648,$A48,Filas!$B$2:$B$648,$B48,Filas!$N$2:$N$648,"sin cambio")</f>
        <v>2</v>
      </c>
      <c r="F48" s="4" t="n">
        <f aca="false">COUNTIFS(Filas!$A$2:$A$648,$A48,Filas!$B$2:$B$648,$B48,Filas!$N$2:$N$648,"empeora")</f>
        <v>0</v>
      </c>
      <c r="G48" s="4" t="n">
        <f aca="false">COUNTIFS(Filas!$A$2:$A$648,$A48,Filas!$B$2:$B$648,$B48,Filas!$N$2:$N$648,"mixto")</f>
        <v>3</v>
      </c>
      <c r="H48" s="4" t="n">
        <f aca="false">COUNTIFS(Filas!$A$2:$A$648,$A48,Filas!$B$2:$B$648,$B48,Filas!$S$2:$S$648,"cita encontrada*")+COUNTIFS(Filas!$A$2:$A$648,$A48,Filas!$B$2:$B$648,$B48,Filas!$S$2:$S$648,"página existe*")</f>
        <v>7</v>
      </c>
      <c r="I48" s="4" t="n">
        <f aca="false">COUNTIFS(Filas!$A$2:$A$648,$A48,Filas!$B$2:$B$648,$B48,Filas!$S$2:$S$648,"cita no encontrada*")+COUNTIFS(Filas!$A$2:$A$648,$A48,Filas!$B$2:$B$648,$B48,Filas!$S$2:$S$648,"página no accesible*")</f>
        <v>0</v>
      </c>
    </row>
    <row r="49" customFormat="false" ht="15" hidden="false" customHeight="false" outlineLevel="0" collapsed="false">
      <c r="A49" s="4" t="s">
        <v>1198</v>
      </c>
      <c r="B49" s="4" t="s">
        <v>1281</v>
      </c>
      <c r="C49" s="4" t="n">
        <f aca="false">COUNTIFS(Filas!$A$2:$A$648,$A49,Filas!$B$2:$B$648,$B49)</f>
        <v>1</v>
      </c>
      <c r="D49" s="4" t="n">
        <f aca="false">COUNTIFS(Filas!$A$2:$A$648,$A49,Filas!$B$2:$B$648,$B49,Filas!$N$2:$N$648,"mejora")</f>
        <v>1</v>
      </c>
      <c r="E49" s="4" t="n">
        <f aca="false">COUNTIFS(Filas!$A$2:$A$648,$A49,Filas!$B$2:$B$648,$B49,Filas!$N$2:$N$648,"sin cambio")</f>
        <v>0</v>
      </c>
      <c r="F49" s="4" t="n">
        <f aca="false">COUNTIFS(Filas!$A$2:$A$648,$A49,Filas!$B$2:$B$648,$B49,Filas!$N$2:$N$648,"empeora")</f>
        <v>0</v>
      </c>
      <c r="G49" s="4" t="n">
        <f aca="false">COUNTIFS(Filas!$A$2:$A$648,$A49,Filas!$B$2:$B$648,$B49,Filas!$N$2:$N$648,"mixto")</f>
        <v>0</v>
      </c>
      <c r="H49" s="4" t="n">
        <f aca="false">COUNTIFS(Filas!$A$2:$A$648,$A49,Filas!$B$2:$B$648,$B49,Filas!$S$2:$S$648,"cita encontrada*")+COUNTIFS(Filas!$A$2:$A$648,$A49,Filas!$B$2:$B$648,$B49,Filas!$S$2:$S$648,"página existe*")</f>
        <v>1</v>
      </c>
      <c r="I49" s="4" t="n">
        <f aca="false">COUNTIFS(Filas!$A$2:$A$648,$A49,Filas!$B$2:$B$648,$B49,Filas!$S$2:$S$648,"cita no encontrada*")+COUNTIFS(Filas!$A$2:$A$648,$A49,Filas!$B$2:$B$648,$B49,Filas!$S$2:$S$648,"página no accesible*")</f>
        <v>0</v>
      </c>
    </row>
    <row r="50" customFormat="false" ht="15" hidden="false" customHeight="false" outlineLevel="0" collapsed="false">
      <c r="A50" s="4" t="s">
        <v>1198</v>
      </c>
      <c r="B50" s="4" t="s">
        <v>1305</v>
      </c>
      <c r="C50" s="4" t="n">
        <f aca="false">COUNTIFS(Filas!$A$2:$A$648,$A50,Filas!$B$2:$B$648,$B50)</f>
        <v>1</v>
      </c>
      <c r="D50" s="4" t="n">
        <f aca="false">COUNTIFS(Filas!$A$2:$A$648,$A50,Filas!$B$2:$B$648,$B50,Filas!$N$2:$N$648,"mejora")</f>
        <v>1</v>
      </c>
      <c r="E50" s="4" t="n">
        <f aca="false">COUNTIFS(Filas!$A$2:$A$648,$A50,Filas!$B$2:$B$648,$B50,Filas!$N$2:$N$648,"sin cambio")</f>
        <v>0</v>
      </c>
      <c r="F50" s="4" t="n">
        <f aca="false">COUNTIFS(Filas!$A$2:$A$648,$A50,Filas!$B$2:$B$648,$B50,Filas!$N$2:$N$648,"empeora")</f>
        <v>0</v>
      </c>
      <c r="G50" s="4" t="n">
        <f aca="false">COUNTIFS(Filas!$A$2:$A$648,$A50,Filas!$B$2:$B$648,$B50,Filas!$N$2:$N$648,"mixto")</f>
        <v>0</v>
      </c>
      <c r="H50" s="4" t="n">
        <f aca="false">COUNTIFS(Filas!$A$2:$A$648,$A50,Filas!$B$2:$B$648,$B50,Filas!$S$2:$S$648,"cita encontrada*")+COUNTIFS(Filas!$A$2:$A$648,$A50,Filas!$B$2:$B$648,$B50,Filas!$S$2:$S$648,"página existe*")</f>
        <v>1</v>
      </c>
      <c r="I50" s="4" t="n">
        <f aca="false">COUNTIFS(Filas!$A$2:$A$648,$A50,Filas!$B$2:$B$648,$B50,Filas!$S$2:$S$648,"cita no encontrada*")+COUNTIFS(Filas!$A$2:$A$648,$A50,Filas!$B$2:$B$648,$B50,Filas!$S$2:$S$648,"página no accesible*")</f>
        <v>0</v>
      </c>
    </row>
    <row r="51" customFormat="false" ht="15" hidden="false" customHeight="false" outlineLevel="0" collapsed="false">
      <c r="A51" s="4" t="s">
        <v>1198</v>
      </c>
      <c r="B51" s="4" t="s">
        <v>1320</v>
      </c>
      <c r="C51" s="4" t="n">
        <f aca="false">COUNTIFS(Filas!$A$2:$A$648,$A51,Filas!$B$2:$B$648,$B51)</f>
        <v>5</v>
      </c>
      <c r="D51" s="4" t="n">
        <f aca="false">COUNTIFS(Filas!$A$2:$A$648,$A51,Filas!$B$2:$B$648,$B51,Filas!$N$2:$N$648,"mejora")</f>
        <v>2</v>
      </c>
      <c r="E51" s="4" t="n">
        <f aca="false">COUNTIFS(Filas!$A$2:$A$648,$A51,Filas!$B$2:$B$648,$B51,Filas!$N$2:$N$648,"sin cambio")</f>
        <v>0</v>
      </c>
      <c r="F51" s="4" t="n">
        <f aca="false">COUNTIFS(Filas!$A$2:$A$648,$A51,Filas!$B$2:$B$648,$B51,Filas!$N$2:$N$648,"empeora")</f>
        <v>3</v>
      </c>
      <c r="G51" s="4" t="n">
        <f aca="false">COUNTIFS(Filas!$A$2:$A$648,$A51,Filas!$B$2:$B$648,$B51,Filas!$N$2:$N$648,"mixto")</f>
        <v>0</v>
      </c>
      <c r="H51" s="4" t="n">
        <f aca="false">COUNTIFS(Filas!$A$2:$A$648,$A51,Filas!$B$2:$B$648,$B51,Filas!$S$2:$S$648,"cita encontrada*")+COUNTIFS(Filas!$A$2:$A$648,$A51,Filas!$B$2:$B$648,$B51,Filas!$S$2:$S$648,"página existe*")</f>
        <v>5</v>
      </c>
      <c r="I51" s="4" t="n">
        <f aca="false">COUNTIFS(Filas!$A$2:$A$648,$A51,Filas!$B$2:$B$648,$B51,Filas!$S$2:$S$648,"cita no encontrada*")+COUNTIFS(Filas!$A$2:$A$648,$A51,Filas!$B$2:$B$648,$B51,Filas!$S$2:$S$648,"página no accesible*")</f>
        <v>0</v>
      </c>
    </row>
    <row r="52" customFormat="false" ht="15" hidden="false" customHeight="false" outlineLevel="0" collapsed="false">
      <c r="A52" s="4" t="s">
        <v>1198</v>
      </c>
      <c r="B52" s="4" t="s">
        <v>1380</v>
      </c>
      <c r="C52" s="4" t="n">
        <f aca="false">COUNTIFS(Filas!$A$2:$A$648,$A52,Filas!$B$2:$B$648,$B52)</f>
        <v>1</v>
      </c>
      <c r="D52" s="4" t="n">
        <f aca="false">COUNTIFS(Filas!$A$2:$A$648,$A52,Filas!$B$2:$B$648,$B52,Filas!$N$2:$N$648,"mejora")</f>
        <v>0</v>
      </c>
      <c r="E52" s="4" t="n">
        <f aca="false">COUNTIFS(Filas!$A$2:$A$648,$A52,Filas!$B$2:$B$648,$B52,Filas!$N$2:$N$648,"sin cambio")</f>
        <v>1</v>
      </c>
      <c r="F52" s="4" t="n">
        <f aca="false">COUNTIFS(Filas!$A$2:$A$648,$A52,Filas!$B$2:$B$648,$B52,Filas!$N$2:$N$648,"empeora")</f>
        <v>0</v>
      </c>
      <c r="G52" s="4" t="n">
        <f aca="false">COUNTIFS(Filas!$A$2:$A$648,$A52,Filas!$B$2:$B$648,$B52,Filas!$N$2:$N$648,"mixto")</f>
        <v>0</v>
      </c>
      <c r="H52" s="4" t="n">
        <f aca="false">COUNTIFS(Filas!$A$2:$A$648,$A52,Filas!$B$2:$B$648,$B52,Filas!$S$2:$S$648,"cita encontrada*")+COUNTIFS(Filas!$A$2:$A$648,$A52,Filas!$B$2:$B$648,$B52,Filas!$S$2:$S$648,"página existe*")</f>
        <v>1</v>
      </c>
      <c r="I52" s="4" t="n">
        <f aca="false">COUNTIFS(Filas!$A$2:$A$648,$A52,Filas!$B$2:$B$648,$B52,Filas!$S$2:$S$648,"cita no encontrada*")+COUNTIFS(Filas!$A$2:$A$648,$A52,Filas!$B$2:$B$648,$B52,Filas!$S$2:$S$648,"página no accesible*")</f>
        <v>0</v>
      </c>
    </row>
    <row r="53" customFormat="false" ht="15" hidden="false" customHeight="false" outlineLevel="0" collapsed="false">
      <c r="A53" s="4" t="s">
        <v>1198</v>
      </c>
      <c r="B53" s="4" t="s">
        <v>1392</v>
      </c>
      <c r="C53" s="4" t="n">
        <f aca="false">COUNTIFS(Filas!$A$2:$A$648,$A53,Filas!$B$2:$B$648,$B53)</f>
        <v>1</v>
      </c>
      <c r="D53" s="4" t="n">
        <f aca="false">COUNTIFS(Filas!$A$2:$A$648,$A53,Filas!$B$2:$B$648,$B53,Filas!$N$2:$N$648,"mejora")</f>
        <v>0</v>
      </c>
      <c r="E53" s="4" t="n">
        <f aca="false">COUNTIFS(Filas!$A$2:$A$648,$A53,Filas!$B$2:$B$648,$B53,Filas!$N$2:$N$648,"sin cambio")</f>
        <v>0</v>
      </c>
      <c r="F53" s="4" t="n">
        <f aca="false">COUNTIFS(Filas!$A$2:$A$648,$A53,Filas!$B$2:$B$648,$B53,Filas!$N$2:$N$648,"empeora")</f>
        <v>0</v>
      </c>
      <c r="G53" s="4" t="n">
        <f aca="false">COUNTIFS(Filas!$A$2:$A$648,$A53,Filas!$B$2:$B$648,$B53,Filas!$N$2:$N$648,"mixto")</f>
        <v>1</v>
      </c>
      <c r="H53" s="4" t="n">
        <f aca="false">COUNTIFS(Filas!$A$2:$A$648,$A53,Filas!$B$2:$B$648,$B53,Filas!$S$2:$S$648,"cita encontrada*")+COUNTIFS(Filas!$A$2:$A$648,$A53,Filas!$B$2:$B$648,$B53,Filas!$S$2:$S$648,"página existe*")</f>
        <v>1</v>
      </c>
      <c r="I53" s="4" t="n">
        <f aca="false">COUNTIFS(Filas!$A$2:$A$648,$A53,Filas!$B$2:$B$648,$B53,Filas!$S$2:$S$648,"cita no encontrada*")+COUNTIFS(Filas!$A$2:$A$648,$A53,Filas!$B$2:$B$648,$B53,Filas!$S$2:$S$648,"página no accesible*")</f>
        <v>0</v>
      </c>
    </row>
    <row r="54" customFormat="false" ht="15" hidden="false" customHeight="false" outlineLevel="0" collapsed="false">
      <c r="A54" s="4" t="s">
        <v>1198</v>
      </c>
      <c r="B54" s="4" t="s">
        <v>1407</v>
      </c>
      <c r="C54" s="4" t="n">
        <f aca="false">COUNTIFS(Filas!$A$2:$A$648,$A54,Filas!$B$2:$B$648,$B54)</f>
        <v>1</v>
      </c>
      <c r="D54" s="4" t="n">
        <f aca="false">COUNTIFS(Filas!$A$2:$A$648,$A54,Filas!$B$2:$B$648,$B54,Filas!$N$2:$N$648,"mejora")</f>
        <v>1</v>
      </c>
      <c r="E54" s="4" t="n">
        <f aca="false">COUNTIFS(Filas!$A$2:$A$648,$A54,Filas!$B$2:$B$648,$B54,Filas!$N$2:$N$648,"sin cambio")</f>
        <v>0</v>
      </c>
      <c r="F54" s="4" t="n">
        <f aca="false">COUNTIFS(Filas!$A$2:$A$648,$A54,Filas!$B$2:$B$648,$B54,Filas!$N$2:$N$648,"empeora")</f>
        <v>0</v>
      </c>
      <c r="G54" s="4" t="n">
        <f aca="false">COUNTIFS(Filas!$A$2:$A$648,$A54,Filas!$B$2:$B$648,$B54,Filas!$N$2:$N$648,"mixto")</f>
        <v>0</v>
      </c>
      <c r="H54" s="4" t="n">
        <f aca="false">COUNTIFS(Filas!$A$2:$A$648,$A54,Filas!$B$2:$B$648,$B54,Filas!$S$2:$S$648,"cita encontrada*")+COUNTIFS(Filas!$A$2:$A$648,$A54,Filas!$B$2:$B$648,$B54,Filas!$S$2:$S$648,"página existe*")</f>
        <v>1</v>
      </c>
      <c r="I54" s="4" t="n">
        <f aca="false">COUNTIFS(Filas!$A$2:$A$648,$A54,Filas!$B$2:$B$648,$B54,Filas!$S$2:$S$648,"cita no encontrada*")+COUNTIFS(Filas!$A$2:$A$648,$A54,Filas!$B$2:$B$648,$B54,Filas!$S$2:$S$648,"página no accesible*")</f>
        <v>0</v>
      </c>
    </row>
    <row r="55" customFormat="false" ht="15" hidden="false" customHeight="false" outlineLevel="0" collapsed="false">
      <c r="A55" s="4" t="s">
        <v>1198</v>
      </c>
      <c r="B55" s="4" t="s">
        <v>1422</v>
      </c>
      <c r="C55" s="4" t="n">
        <f aca="false">COUNTIFS(Filas!$A$2:$A$648,$A55,Filas!$B$2:$B$648,$B55)</f>
        <v>5</v>
      </c>
      <c r="D55" s="4" t="n">
        <f aca="false">COUNTIFS(Filas!$A$2:$A$648,$A55,Filas!$B$2:$B$648,$B55,Filas!$N$2:$N$648,"mejora")</f>
        <v>2</v>
      </c>
      <c r="E55" s="4" t="n">
        <f aca="false">COUNTIFS(Filas!$A$2:$A$648,$A55,Filas!$B$2:$B$648,$B55,Filas!$N$2:$N$648,"sin cambio")</f>
        <v>0</v>
      </c>
      <c r="F55" s="4" t="n">
        <f aca="false">COUNTIFS(Filas!$A$2:$A$648,$A55,Filas!$B$2:$B$648,$B55,Filas!$N$2:$N$648,"empeora")</f>
        <v>0</v>
      </c>
      <c r="G55" s="4" t="n">
        <f aca="false">COUNTIFS(Filas!$A$2:$A$648,$A55,Filas!$B$2:$B$648,$B55,Filas!$N$2:$N$648,"mixto")</f>
        <v>1</v>
      </c>
      <c r="H55" s="4" t="n">
        <f aca="false">COUNTIFS(Filas!$A$2:$A$648,$A55,Filas!$B$2:$B$648,$B55,Filas!$S$2:$S$648,"cita encontrada*")+COUNTIFS(Filas!$A$2:$A$648,$A55,Filas!$B$2:$B$648,$B55,Filas!$S$2:$S$648,"página existe*")</f>
        <v>5</v>
      </c>
      <c r="I55" s="4" t="n">
        <f aca="false">COUNTIFS(Filas!$A$2:$A$648,$A55,Filas!$B$2:$B$648,$B55,Filas!$S$2:$S$648,"cita no encontrada*")+COUNTIFS(Filas!$A$2:$A$648,$A55,Filas!$B$2:$B$648,$B55,Filas!$S$2:$S$648,"página no accesible*")</f>
        <v>0</v>
      </c>
    </row>
    <row r="56" customFormat="false" ht="15" hidden="false" customHeight="false" outlineLevel="0" collapsed="false">
      <c r="A56" s="4" t="s">
        <v>1198</v>
      </c>
      <c r="B56" s="4" t="s">
        <v>1464</v>
      </c>
      <c r="C56" s="4" t="n">
        <f aca="false">COUNTIFS(Filas!$A$2:$A$648,$A56,Filas!$B$2:$B$648,$B56)</f>
        <v>1</v>
      </c>
      <c r="D56" s="4" t="n">
        <f aca="false">COUNTIFS(Filas!$A$2:$A$648,$A56,Filas!$B$2:$B$648,$B56,Filas!$N$2:$N$648,"mejora")</f>
        <v>1</v>
      </c>
      <c r="E56" s="4" t="n">
        <f aca="false">COUNTIFS(Filas!$A$2:$A$648,$A56,Filas!$B$2:$B$648,$B56,Filas!$N$2:$N$648,"sin cambio")</f>
        <v>0</v>
      </c>
      <c r="F56" s="4" t="n">
        <f aca="false">COUNTIFS(Filas!$A$2:$A$648,$A56,Filas!$B$2:$B$648,$B56,Filas!$N$2:$N$648,"empeora")</f>
        <v>0</v>
      </c>
      <c r="G56" s="4" t="n">
        <f aca="false">COUNTIFS(Filas!$A$2:$A$648,$A56,Filas!$B$2:$B$648,$B56,Filas!$N$2:$N$648,"mixto")</f>
        <v>0</v>
      </c>
      <c r="H56" s="4" t="n">
        <f aca="false">COUNTIFS(Filas!$A$2:$A$648,$A56,Filas!$B$2:$B$648,$B56,Filas!$S$2:$S$648,"cita encontrada*")+COUNTIFS(Filas!$A$2:$A$648,$A56,Filas!$B$2:$B$648,$B56,Filas!$S$2:$S$648,"página existe*")</f>
        <v>1</v>
      </c>
      <c r="I56" s="4" t="n">
        <f aca="false">COUNTIFS(Filas!$A$2:$A$648,$A56,Filas!$B$2:$B$648,$B56,Filas!$S$2:$S$648,"cita no encontrada*")+COUNTIFS(Filas!$A$2:$A$648,$A56,Filas!$B$2:$B$648,$B56,Filas!$S$2:$S$648,"página no accesible*")</f>
        <v>0</v>
      </c>
    </row>
    <row r="57" customFormat="false" ht="15" hidden="false" customHeight="false" outlineLevel="0" collapsed="false">
      <c r="A57" s="4" t="s">
        <v>1198</v>
      </c>
      <c r="B57" s="4" t="s">
        <v>1500</v>
      </c>
      <c r="C57" s="4" t="n">
        <f aca="false">COUNTIFS(Filas!$A$2:$A$648,$A57,Filas!$B$2:$B$648,$B57)</f>
        <v>1</v>
      </c>
      <c r="D57" s="4" t="n">
        <f aca="false">COUNTIFS(Filas!$A$2:$A$648,$A57,Filas!$B$2:$B$648,$B57,Filas!$N$2:$N$648,"mejora")</f>
        <v>0</v>
      </c>
      <c r="E57" s="4" t="n">
        <f aca="false">COUNTIFS(Filas!$A$2:$A$648,$A57,Filas!$B$2:$B$648,$B57,Filas!$N$2:$N$648,"sin cambio")</f>
        <v>0</v>
      </c>
      <c r="F57" s="4" t="n">
        <f aca="false">COUNTIFS(Filas!$A$2:$A$648,$A57,Filas!$B$2:$B$648,$B57,Filas!$N$2:$N$648,"empeora")</f>
        <v>0</v>
      </c>
      <c r="G57" s="4" t="n">
        <f aca="false">COUNTIFS(Filas!$A$2:$A$648,$A57,Filas!$B$2:$B$648,$B57,Filas!$N$2:$N$648,"mixto")</f>
        <v>0</v>
      </c>
      <c r="H57" s="4" t="n">
        <f aca="false">COUNTIFS(Filas!$A$2:$A$648,$A57,Filas!$B$2:$B$648,$B57,Filas!$S$2:$S$648,"cita encontrada*")+COUNTIFS(Filas!$A$2:$A$648,$A57,Filas!$B$2:$B$648,$B57,Filas!$S$2:$S$648,"página existe*")</f>
        <v>1</v>
      </c>
      <c r="I57" s="4" t="n">
        <f aca="false">COUNTIFS(Filas!$A$2:$A$648,$A57,Filas!$B$2:$B$648,$B57,Filas!$S$2:$S$648,"cita no encontrada*")+COUNTIFS(Filas!$A$2:$A$648,$A57,Filas!$B$2:$B$648,$B57,Filas!$S$2:$S$648,"página no accesible*")</f>
        <v>0</v>
      </c>
    </row>
    <row r="58" customFormat="false" ht="15" hidden="false" customHeight="false" outlineLevel="0" collapsed="false">
      <c r="A58" s="4" t="s">
        <v>1198</v>
      </c>
      <c r="B58" s="4" t="s">
        <v>1511</v>
      </c>
      <c r="C58" s="4" t="n">
        <f aca="false">COUNTIFS(Filas!$A$2:$A$648,$A58,Filas!$B$2:$B$648,$B58)</f>
        <v>3</v>
      </c>
      <c r="D58" s="4" t="n">
        <f aca="false">COUNTIFS(Filas!$A$2:$A$648,$A58,Filas!$B$2:$B$648,$B58,Filas!$N$2:$N$648,"mejora")</f>
        <v>3</v>
      </c>
      <c r="E58" s="4" t="n">
        <f aca="false">COUNTIFS(Filas!$A$2:$A$648,$A58,Filas!$B$2:$B$648,$B58,Filas!$N$2:$N$648,"sin cambio")</f>
        <v>0</v>
      </c>
      <c r="F58" s="4" t="n">
        <f aca="false">COUNTIFS(Filas!$A$2:$A$648,$A58,Filas!$B$2:$B$648,$B58,Filas!$N$2:$N$648,"empeora")</f>
        <v>0</v>
      </c>
      <c r="G58" s="4" t="n">
        <f aca="false">COUNTIFS(Filas!$A$2:$A$648,$A58,Filas!$B$2:$B$648,$B58,Filas!$N$2:$N$648,"mixto")</f>
        <v>0</v>
      </c>
      <c r="H58" s="4" t="n">
        <f aca="false">COUNTIFS(Filas!$A$2:$A$648,$A58,Filas!$B$2:$B$648,$B58,Filas!$S$2:$S$648,"cita encontrada*")+COUNTIFS(Filas!$A$2:$A$648,$A58,Filas!$B$2:$B$648,$B58,Filas!$S$2:$S$648,"página existe*")</f>
        <v>3</v>
      </c>
      <c r="I58" s="4" t="n">
        <f aca="false">COUNTIFS(Filas!$A$2:$A$648,$A58,Filas!$B$2:$B$648,$B58,Filas!$S$2:$S$648,"cita no encontrada*")+COUNTIFS(Filas!$A$2:$A$648,$A58,Filas!$B$2:$B$648,$B58,Filas!$S$2:$S$648,"página no accesible*")</f>
        <v>0</v>
      </c>
    </row>
    <row r="59" customFormat="false" ht="15" hidden="false" customHeight="false" outlineLevel="0" collapsed="false">
      <c r="A59" s="4" t="s">
        <v>1198</v>
      </c>
      <c r="B59" s="4" t="s">
        <v>1553</v>
      </c>
      <c r="C59" s="4" t="n">
        <f aca="false">COUNTIFS(Filas!$A$2:$A$648,$A59,Filas!$B$2:$B$648,$B59)</f>
        <v>4</v>
      </c>
      <c r="D59" s="4" t="n">
        <f aca="false">COUNTIFS(Filas!$A$2:$A$648,$A59,Filas!$B$2:$B$648,$B59,Filas!$N$2:$N$648,"mejora")</f>
        <v>3</v>
      </c>
      <c r="E59" s="4" t="n">
        <f aca="false">COUNTIFS(Filas!$A$2:$A$648,$A59,Filas!$B$2:$B$648,$B59,Filas!$N$2:$N$648,"sin cambio")</f>
        <v>0</v>
      </c>
      <c r="F59" s="4" t="n">
        <f aca="false">COUNTIFS(Filas!$A$2:$A$648,$A59,Filas!$B$2:$B$648,$B59,Filas!$N$2:$N$648,"empeora")</f>
        <v>0</v>
      </c>
      <c r="G59" s="4" t="n">
        <f aca="false">COUNTIFS(Filas!$A$2:$A$648,$A59,Filas!$B$2:$B$648,$B59,Filas!$N$2:$N$648,"mixto")</f>
        <v>0</v>
      </c>
      <c r="H59" s="4" t="n">
        <f aca="false">COUNTIFS(Filas!$A$2:$A$648,$A59,Filas!$B$2:$B$648,$B59,Filas!$S$2:$S$648,"cita encontrada*")+COUNTIFS(Filas!$A$2:$A$648,$A59,Filas!$B$2:$B$648,$B59,Filas!$S$2:$S$648,"página existe*")</f>
        <v>4</v>
      </c>
      <c r="I59" s="4" t="n">
        <f aca="false">COUNTIFS(Filas!$A$2:$A$648,$A59,Filas!$B$2:$B$648,$B59,Filas!$S$2:$S$648,"cita no encontrada*")+COUNTIFS(Filas!$A$2:$A$648,$A59,Filas!$B$2:$B$648,$B59,Filas!$S$2:$S$648,"página no accesible*")</f>
        <v>0</v>
      </c>
    </row>
    <row r="60" customFormat="false" ht="15" hidden="false" customHeight="false" outlineLevel="0" collapsed="false">
      <c r="A60" s="4" t="s">
        <v>1198</v>
      </c>
      <c r="B60" s="4" t="s">
        <v>1609</v>
      </c>
      <c r="C60" s="4" t="n">
        <f aca="false">COUNTIFS(Filas!$A$2:$A$648,$A60,Filas!$B$2:$B$648,$B60)</f>
        <v>3</v>
      </c>
      <c r="D60" s="4" t="n">
        <f aca="false">COUNTIFS(Filas!$A$2:$A$648,$A60,Filas!$B$2:$B$648,$B60,Filas!$N$2:$N$648,"mejora")</f>
        <v>2</v>
      </c>
      <c r="E60" s="4" t="n">
        <f aca="false">COUNTIFS(Filas!$A$2:$A$648,$A60,Filas!$B$2:$B$648,$B60,Filas!$N$2:$N$648,"sin cambio")</f>
        <v>0</v>
      </c>
      <c r="F60" s="4" t="n">
        <f aca="false">COUNTIFS(Filas!$A$2:$A$648,$A60,Filas!$B$2:$B$648,$B60,Filas!$N$2:$N$648,"empeora")</f>
        <v>0</v>
      </c>
      <c r="G60" s="4" t="n">
        <f aca="false">COUNTIFS(Filas!$A$2:$A$648,$A60,Filas!$B$2:$B$648,$B60,Filas!$N$2:$N$648,"mixto")</f>
        <v>1</v>
      </c>
      <c r="H60" s="4" t="n">
        <f aca="false">COUNTIFS(Filas!$A$2:$A$648,$A60,Filas!$B$2:$B$648,$B60,Filas!$S$2:$S$648,"cita encontrada*")+COUNTIFS(Filas!$A$2:$A$648,$A60,Filas!$B$2:$B$648,$B60,Filas!$S$2:$S$648,"página existe*")</f>
        <v>3</v>
      </c>
      <c r="I60" s="4" t="n">
        <f aca="false">COUNTIFS(Filas!$A$2:$A$648,$A60,Filas!$B$2:$B$648,$B60,Filas!$S$2:$S$648,"cita no encontrada*")+COUNTIFS(Filas!$A$2:$A$648,$A60,Filas!$B$2:$B$648,$B60,Filas!$S$2:$S$648,"página no accesible*")</f>
        <v>0</v>
      </c>
    </row>
    <row r="61" customFormat="false" ht="15" hidden="false" customHeight="false" outlineLevel="0" collapsed="false">
      <c r="A61" s="4" t="s">
        <v>1198</v>
      </c>
      <c r="B61" s="4" t="s">
        <v>1646</v>
      </c>
      <c r="C61" s="4" t="n">
        <f aca="false">COUNTIFS(Filas!$A$2:$A$648,$A61,Filas!$B$2:$B$648,$B61)</f>
        <v>1</v>
      </c>
      <c r="D61" s="4" t="n">
        <f aca="false">COUNTIFS(Filas!$A$2:$A$648,$A61,Filas!$B$2:$B$648,$B61,Filas!$N$2:$N$648,"mejora")</f>
        <v>0</v>
      </c>
      <c r="E61" s="4" t="n">
        <f aca="false">COUNTIFS(Filas!$A$2:$A$648,$A61,Filas!$B$2:$B$648,$B61,Filas!$N$2:$N$648,"sin cambio")</f>
        <v>0</v>
      </c>
      <c r="F61" s="4" t="n">
        <f aca="false">COUNTIFS(Filas!$A$2:$A$648,$A61,Filas!$B$2:$B$648,$B61,Filas!$N$2:$N$648,"empeora")</f>
        <v>0</v>
      </c>
      <c r="G61" s="4" t="n">
        <f aca="false">COUNTIFS(Filas!$A$2:$A$648,$A61,Filas!$B$2:$B$648,$B61,Filas!$N$2:$N$648,"mixto")</f>
        <v>0</v>
      </c>
      <c r="H61" s="4" t="n">
        <f aca="false">COUNTIFS(Filas!$A$2:$A$648,$A61,Filas!$B$2:$B$648,$B61,Filas!$S$2:$S$648,"cita encontrada*")+COUNTIFS(Filas!$A$2:$A$648,$A61,Filas!$B$2:$B$648,$B61,Filas!$S$2:$S$648,"página existe*")</f>
        <v>1</v>
      </c>
      <c r="I61" s="4" t="n">
        <f aca="false">COUNTIFS(Filas!$A$2:$A$648,$A61,Filas!$B$2:$B$648,$B61,Filas!$S$2:$S$648,"cita no encontrada*")+COUNTIFS(Filas!$A$2:$A$648,$A61,Filas!$B$2:$B$648,$B61,Filas!$S$2:$S$648,"página no accesible*")</f>
        <v>0</v>
      </c>
    </row>
    <row r="62" customFormat="false" ht="15" hidden="false" customHeight="false" outlineLevel="0" collapsed="false">
      <c r="A62" s="4" t="s">
        <v>1198</v>
      </c>
      <c r="B62" s="4" t="s">
        <v>1661</v>
      </c>
      <c r="C62" s="4" t="n">
        <f aca="false">COUNTIFS(Filas!$A$2:$A$648,$A62,Filas!$B$2:$B$648,$B62)</f>
        <v>6</v>
      </c>
      <c r="D62" s="4" t="n">
        <f aca="false">COUNTIFS(Filas!$A$2:$A$648,$A62,Filas!$B$2:$B$648,$B62,Filas!$N$2:$N$648,"mejora")</f>
        <v>4</v>
      </c>
      <c r="E62" s="4" t="n">
        <f aca="false">COUNTIFS(Filas!$A$2:$A$648,$A62,Filas!$B$2:$B$648,$B62,Filas!$N$2:$N$648,"sin cambio")</f>
        <v>0</v>
      </c>
      <c r="F62" s="4" t="n">
        <f aca="false">COUNTIFS(Filas!$A$2:$A$648,$A62,Filas!$B$2:$B$648,$B62,Filas!$N$2:$N$648,"empeora")</f>
        <v>0</v>
      </c>
      <c r="G62" s="4" t="n">
        <f aca="false">COUNTIFS(Filas!$A$2:$A$648,$A62,Filas!$B$2:$B$648,$B62,Filas!$N$2:$N$648,"mixto")</f>
        <v>1</v>
      </c>
      <c r="H62" s="4" t="n">
        <f aca="false">COUNTIFS(Filas!$A$2:$A$648,$A62,Filas!$B$2:$B$648,$B62,Filas!$S$2:$S$648,"cita encontrada*")+COUNTIFS(Filas!$A$2:$A$648,$A62,Filas!$B$2:$B$648,$B62,Filas!$S$2:$S$648,"página existe*")</f>
        <v>6</v>
      </c>
      <c r="I62" s="4" t="n">
        <f aca="false">COUNTIFS(Filas!$A$2:$A$648,$A62,Filas!$B$2:$B$648,$B62,Filas!$S$2:$S$648,"cita no encontrada*")+COUNTIFS(Filas!$A$2:$A$648,$A62,Filas!$B$2:$B$648,$B62,Filas!$S$2:$S$648,"página no accesible*")</f>
        <v>0</v>
      </c>
    </row>
    <row r="63" customFormat="false" ht="15" hidden="false" customHeight="false" outlineLevel="0" collapsed="false">
      <c r="A63" s="4" t="s">
        <v>1198</v>
      </c>
      <c r="B63" s="4" t="s">
        <v>1710</v>
      </c>
      <c r="C63" s="4" t="n">
        <f aca="false">COUNTIFS(Filas!$A$2:$A$648,$A63,Filas!$B$2:$B$648,$B63)</f>
        <v>2</v>
      </c>
      <c r="D63" s="4" t="n">
        <f aca="false">COUNTIFS(Filas!$A$2:$A$648,$A63,Filas!$B$2:$B$648,$B63,Filas!$N$2:$N$648,"mejora")</f>
        <v>2</v>
      </c>
      <c r="E63" s="4" t="n">
        <f aca="false">COUNTIFS(Filas!$A$2:$A$648,$A63,Filas!$B$2:$B$648,$B63,Filas!$N$2:$N$648,"sin cambio")</f>
        <v>0</v>
      </c>
      <c r="F63" s="4" t="n">
        <f aca="false">COUNTIFS(Filas!$A$2:$A$648,$A63,Filas!$B$2:$B$648,$B63,Filas!$N$2:$N$648,"empeora")</f>
        <v>0</v>
      </c>
      <c r="G63" s="4" t="n">
        <f aca="false">COUNTIFS(Filas!$A$2:$A$648,$A63,Filas!$B$2:$B$648,$B63,Filas!$N$2:$N$648,"mixto")</f>
        <v>0</v>
      </c>
      <c r="H63" s="4" t="n">
        <f aca="false">COUNTIFS(Filas!$A$2:$A$648,$A63,Filas!$B$2:$B$648,$B63,Filas!$S$2:$S$648,"cita encontrada*")+COUNTIFS(Filas!$A$2:$A$648,$A63,Filas!$B$2:$B$648,$B63,Filas!$S$2:$S$648,"página existe*")</f>
        <v>2</v>
      </c>
      <c r="I63" s="4" t="n">
        <f aca="false">COUNTIFS(Filas!$A$2:$A$648,$A63,Filas!$B$2:$B$648,$B63,Filas!$S$2:$S$648,"cita no encontrada*")+COUNTIFS(Filas!$A$2:$A$648,$A63,Filas!$B$2:$B$648,$B63,Filas!$S$2:$S$648,"página no accesible*")</f>
        <v>0</v>
      </c>
    </row>
    <row r="64" customFormat="false" ht="15" hidden="false" customHeight="false" outlineLevel="0" collapsed="false">
      <c r="A64" s="4" t="s">
        <v>1198</v>
      </c>
      <c r="B64" s="4" t="s">
        <v>1764</v>
      </c>
      <c r="C64" s="4" t="n">
        <f aca="false">COUNTIFS(Filas!$A$2:$A$648,$A64,Filas!$B$2:$B$648,$B64)</f>
        <v>1</v>
      </c>
      <c r="D64" s="4" t="n">
        <f aca="false">COUNTIFS(Filas!$A$2:$A$648,$A64,Filas!$B$2:$B$648,$B64,Filas!$N$2:$N$648,"mejora")</f>
        <v>0</v>
      </c>
      <c r="E64" s="4" t="n">
        <f aca="false">COUNTIFS(Filas!$A$2:$A$648,$A64,Filas!$B$2:$B$648,$B64,Filas!$N$2:$N$648,"sin cambio")</f>
        <v>0</v>
      </c>
      <c r="F64" s="4" t="n">
        <f aca="false">COUNTIFS(Filas!$A$2:$A$648,$A64,Filas!$B$2:$B$648,$B64,Filas!$N$2:$N$648,"empeora")</f>
        <v>0</v>
      </c>
      <c r="G64" s="4" t="n">
        <f aca="false">COUNTIFS(Filas!$A$2:$A$648,$A64,Filas!$B$2:$B$648,$B64,Filas!$N$2:$N$648,"mixto")</f>
        <v>1</v>
      </c>
      <c r="H64" s="4" t="n">
        <f aca="false">COUNTIFS(Filas!$A$2:$A$648,$A64,Filas!$B$2:$B$648,$B64,Filas!$S$2:$S$648,"cita encontrada*")+COUNTIFS(Filas!$A$2:$A$648,$A64,Filas!$B$2:$B$648,$B64,Filas!$S$2:$S$648,"página existe*")</f>
        <v>1</v>
      </c>
      <c r="I64" s="4" t="n">
        <f aca="false">COUNTIFS(Filas!$A$2:$A$648,$A64,Filas!$B$2:$B$648,$B64,Filas!$S$2:$S$648,"cita no encontrada*")+COUNTIFS(Filas!$A$2:$A$648,$A64,Filas!$B$2:$B$648,$B64,Filas!$S$2:$S$648,"página no accesible*")</f>
        <v>0</v>
      </c>
    </row>
    <row r="65" customFormat="false" ht="15" hidden="false" customHeight="false" outlineLevel="0" collapsed="false">
      <c r="A65" s="4" t="s">
        <v>1198</v>
      </c>
      <c r="B65" s="4" t="s">
        <v>1778</v>
      </c>
      <c r="C65" s="4" t="n">
        <f aca="false">COUNTIFS(Filas!$A$2:$A$648,$A65,Filas!$B$2:$B$648,$B65)</f>
        <v>1</v>
      </c>
      <c r="D65" s="4" t="n">
        <f aca="false">COUNTIFS(Filas!$A$2:$A$648,$A65,Filas!$B$2:$B$648,$B65,Filas!$N$2:$N$648,"mejora")</f>
        <v>1</v>
      </c>
      <c r="E65" s="4" t="n">
        <f aca="false">COUNTIFS(Filas!$A$2:$A$648,$A65,Filas!$B$2:$B$648,$B65,Filas!$N$2:$N$648,"sin cambio")</f>
        <v>0</v>
      </c>
      <c r="F65" s="4" t="n">
        <f aca="false">COUNTIFS(Filas!$A$2:$A$648,$A65,Filas!$B$2:$B$648,$B65,Filas!$N$2:$N$648,"empeora")</f>
        <v>0</v>
      </c>
      <c r="G65" s="4" t="n">
        <f aca="false">COUNTIFS(Filas!$A$2:$A$648,$A65,Filas!$B$2:$B$648,$B65,Filas!$N$2:$N$648,"mixto")</f>
        <v>0</v>
      </c>
      <c r="H65" s="4" t="n">
        <f aca="false">COUNTIFS(Filas!$A$2:$A$648,$A65,Filas!$B$2:$B$648,$B65,Filas!$S$2:$S$648,"cita encontrada*")+COUNTIFS(Filas!$A$2:$A$648,$A65,Filas!$B$2:$B$648,$B65,Filas!$S$2:$S$648,"página existe*")</f>
        <v>1</v>
      </c>
      <c r="I65" s="4" t="n">
        <f aca="false">COUNTIFS(Filas!$A$2:$A$648,$A65,Filas!$B$2:$B$648,$B65,Filas!$S$2:$S$648,"cita no encontrada*")+COUNTIFS(Filas!$A$2:$A$648,$A65,Filas!$B$2:$B$648,$B65,Filas!$S$2:$S$648,"página no accesible*")</f>
        <v>0</v>
      </c>
    </row>
    <row r="66" customFormat="false" ht="15" hidden="false" customHeight="false" outlineLevel="0" collapsed="false">
      <c r="A66" s="4" t="s">
        <v>1793</v>
      </c>
      <c r="B66" s="4" t="s">
        <v>1794</v>
      </c>
      <c r="C66" s="4" t="n">
        <f aca="false">COUNTIFS(Filas!$A$2:$A$648,$A66,Filas!$B$2:$B$648,$B66)</f>
        <v>4</v>
      </c>
      <c r="D66" s="4" t="n">
        <f aca="false">COUNTIFS(Filas!$A$2:$A$648,$A66,Filas!$B$2:$B$648,$B66,Filas!$N$2:$N$648,"mejora")</f>
        <v>1</v>
      </c>
      <c r="E66" s="4" t="n">
        <f aca="false">COUNTIFS(Filas!$A$2:$A$648,$A66,Filas!$B$2:$B$648,$B66,Filas!$N$2:$N$648,"sin cambio")</f>
        <v>1</v>
      </c>
      <c r="F66" s="4" t="n">
        <f aca="false">COUNTIFS(Filas!$A$2:$A$648,$A66,Filas!$B$2:$B$648,$B66,Filas!$N$2:$N$648,"empeora")</f>
        <v>1</v>
      </c>
      <c r="G66" s="4" t="n">
        <f aca="false">COUNTIFS(Filas!$A$2:$A$648,$A66,Filas!$B$2:$B$648,$B66,Filas!$N$2:$N$648,"mixto")</f>
        <v>1</v>
      </c>
      <c r="H66" s="4" t="n">
        <f aca="false">COUNTIFS(Filas!$A$2:$A$648,$A66,Filas!$B$2:$B$648,$B66,Filas!$S$2:$S$648,"cita encontrada*")+COUNTIFS(Filas!$A$2:$A$648,$A66,Filas!$B$2:$B$648,$B66,Filas!$S$2:$S$648,"página existe*")</f>
        <v>4</v>
      </c>
      <c r="I66" s="4" t="n">
        <f aca="false">COUNTIFS(Filas!$A$2:$A$648,$A66,Filas!$B$2:$B$648,$B66,Filas!$S$2:$S$648,"cita no encontrada*")+COUNTIFS(Filas!$A$2:$A$648,$A66,Filas!$B$2:$B$648,$B66,Filas!$S$2:$S$648,"página no accesible*")</f>
        <v>0</v>
      </c>
    </row>
    <row r="67" customFormat="false" ht="15" hidden="false" customHeight="false" outlineLevel="0" collapsed="false">
      <c r="A67" s="4" t="s">
        <v>1793</v>
      </c>
      <c r="B67" s="4" t="s">
        <v>1839</v>
      </c>
      <c r="C67" s="4" t="n">
        <f aca="false">COUNTIFS(Filas!$A$2:$A$648,$A67,Filas!$B$2:$B$648,$B67)</f>
        <v>4</v>
      </c>
      <c r="D67" s="4" t="n">
        <f aca="false">COUNTIFS(Filas!$A$2:$A$648,$A67,Filas!$B$2:$B$648,$B67,Filas!$N$2:$N$648,"mejora")</f>
        <v>4</v>
      </c>
      <c r="E67" s="4" t="n">
        <f aca="false">COUNTIFS(Filas!$A$2:$A$648,$A67,Filas!$B$2:$B$648,$B67,Filas!$N$2:$N$648,"sin cambio")</f>
        <v>0</v>
      </c>
      <c r="F67" s="4" t="n">
        <f aca="false">COUNTIFS(Filas!$A$2:$A$648,$A67,Filas!$B$2:$B$648,$B67,Filas!$N$2:$N$648,"empeora")</f>
        <v>0</v>
      </c>
      <c r="G67" s="4" t="n">
        <f aca="false">COUNTIFS(Filas!$A$2:$A$648,$A67,Filas!$B$2:$B$648,$B67,Filas!$N$2:$N$648,"mixto")</f>
        <v>0</v>
      </c>
      <c r="H67" s="4" t="n">
        <f aca="false">COUNTIFS(Filas!$A$2:$A$648,$A67,Filas!$B$2:$B$648,$B67,Filas!$S$2:$S$648,"cita encontrada*")+COUNTIFS(Filas!$A$2:$A$648,$A67,Filas!$B$2:$B$648,$B67,Filas!$S$2:$S$648,"página existe*")</f>
        <v>4</v>
      </c>
      <c r="I67" s="4" t="n">
        <f aca="false">COUNTIFS(Filas!$A$2:$A$648,$A67,Filas!$B$2:$B$648,$B67,Filas!$S$2:$S$648,"cita no encontrada*")+COUNTIFS(Filas!$A$2:$A$648,$A67,Filas!$B$2:$B$648,$B67,Filas!$S$2:$S$648,"página no accesible*")</f>
        <v>0</v>
      </c>
    </row>
    <row r="68" customFormat="false" ht="15" hidden="false" customHeight="false" outlineLevel="0" collapsed="false">
      <c r="A68" s="4" t="s">
        <v>1793</v>
      </c>
      <c r="B68" s="4" t="s">
        <v>1892</v>
      </c>
      <c r="C68" s="4" t="n">
        <f aca="false">COUNTIFS(Filas!$A$2:$A$648,$A68,Filas!$B$2:$B$648,$B68)</f>
        <v>3</v>
      </c>
      <c r="D68" s="4" t="n">
        <f aca="false">COUNTIFS(Filas!$A$2:$A$648,$A68,Filas!$B$2:$B$648,$B68,Filas!$N$2:$N$648,"mejora")</f>
        <v>2</v>
      </c>
      <c r="E68" s="4" t="n">
        <f aca="false">COUNTIFS(Filas!$A$2:$A$648,$A68,Filas!$B$2:$B$648,$B68,Filas!$N$2:$N$648,"sin cambio")</f>
        <v>0</v>
      </c>
      <c r="F68" s="4" t="n">
        <f aca="false">COUNTIFS(Filas!$A$2:$A$648,$A68,Filas!$B$2:$B$648,$B68,Filas!$N$2:$N$648,"empeora")</f>
        <v>0</v>
      </c>
      <c r="G68" s="4" t="n">
        <f aca="false">COUNTIFS(Filas!$A$2:$A$648,$A68,Filas!$B$2:$B$648,$B68,Filas!$N$2:$N$648,"mixto")</f>
        <v>1</v>
      </c>
      <c r="H68" s="4" t="n">
        <f aca="false">COUNTIFS(Filas!$A$2:$A$648,$A68,Filas!$B$2:$B$648,$B68,Filas!$S$2:$S$648,"cita encontrada*")+COUNTIFS(Filas!$A$2:$A$648,$A68,Filas!$B$2:$B$648,$B68,Filas!$S$2:$S$648,"página existe*")</f>
        <v>3</v>
      </c>
      <c r="I68" s="4" t="n">
        <f aca="false">COUNTIFS(Filas!$A$2:$A$648,$A68,Filas!$B$2:$B$648,$B68,Filas!$S$2:$S$648,"cita no encontrada*")+COUNTIFS(Filas!$A$2:$A$648,$A68,Filas!$B$2:$B$648,$B68,Filas!$S$2:$S$648,"página no accesible*")</f>
        <v>0</v>
      </c>
    </row>
    <row r="69" customFormat="false" ht="15" hidden="false" customHeight="false" outlineLevel="0" collapsed="false">
      <c r="A69" s="4" t="s">
        <v>1793</v>
      </c>
      <c r="B69" s="4" t="s">
        <v>1943</v>
      </c>
      <c r="C69" s="4" t="n">
        <f aca="false">COUNTIFS(Filas!$A$2:$A$648,$A69,Filas!$B$2:$B$648,$B69)</f>
        <v>2</v>
      </c>
      <c r="D69" s="4" t="n">
        <f aca="false">COUNTIFS(Filas!$A$2:$A$648,$A69,Filas!$B$2:$B$648,$B69,Filas!$N$2:$N$648,"mejora")</f>
        <v>1</v>
      </c>
      <c r="E69" s="4" t="n">
        <f aca="false">COUNTIFS(Filas!$A$2:$A$648,$A69,Filas!$B$2:$B$648,$B69,Filas!$N$2:$N$648,"sin cambio")</f>
        <v>0</v>
      </c>
      <c r="F69" s="4" t="n">
        <f aca="false">COUNTIFS(Filas!$A$2:$A$648,$A69,Filas!$B$2:$B$648,$B69,Filas!$N$2:$N$648,"empeora")</f>
        <v>1</v>
      </c>
      <c r="G69" s="4" t="n">
        <f aca="false">COUNTIFS(Filas!$A$2:$A$648,$A69,Filas!$B$2:$B$648,$B69,Filas!$N$2:$N$648,"mixto")</f>
        <v>0</v>
      </c>
      <c r="H69" s="4" t="n">
        <f aca="false">COUNTIFS(Filas!$A$2:$A$648,$A69,Filas!$B$2:$B$648,$B69,Filas!$S$2:$S$648,"cita encontrada*")+COUNTIFS(Filas!$A$2:$A$648,$A69,Filas!$B$2:$B$648,$B69,Filas!$S$2:$S$648,"página existe*")</f>
        <v>2</v>
      </c>
      <c r="I69" s="4" t="n">
        <f aca="false">COUNTIFS(Filas!$A$2:$A$648,$A69,Filas!$B$2:$B$648,$B69,Filas!$S$2:$S$648,"cita no encontrada*")+COUNTIFS(Filas!$A$2:$A$648,$A69,Filas!$B$2:$B$648,$B69,Filas!$S$2:$S$648,"página no accesible*")</f>
        <v>0</v>
      </c>
    </row>
    <row r="70" customFormat="false" ht="15" hidden="false" customHeight="false" outlineLevel="0" collapsed="false">
      <c r="A70" s="4" t="s">
        <v>1793</v>
      </c>
      <c r="B70" s="4" t="s">
        <v>1972</v>
      </c>
      <c r="C70" s="4" t="n">
        <f aca="false">COUNTIFS(Filas!$A$2:$A$648,$A70,Filas!$B$2:$B$648,$B70)</f>
        <v>1</v>
      </c>
      <c r="D70" s="4" t="n">
        <f aca="false">COUNTIFS(Filas!$A$2:$A$648,$A70,Filas!$B$2:$B$648,$B70,Filas!$N$2:$N$648,"mejora")</f>
        <v>0</v>
      </c>
      <c r="E70" s="4" t="n">
        <f aca="false">COUNTIFS(Filas!$A$2:$A$648,$A70,Filas!$B$2:$B$648,$B70,Filas!$N$2:$N$648,"sin cambio")</f>
        <v>1</v>
      </c>
      <c r="F70" s="4" t="n">
        <f aca="false">COUNTIFS(Filas!$A$2:$A$648,$A70,Filas!$B$2:$B$648,$B70,Filas!$N$2:$N$648,"empeora")</f>
        <v>0</v>
      </c>
      <c r="G70" s="4" t="n">
        <f aca="false">COUNTIFS(Filas!$A$2:$A$648,$A70,Filas!$B$2:$B$648,$B70,Filas!$N$2:$N$648,"mixto")</f>
        <v>0</v>
      </c>
      <c r="H70" s="4" t="n">
        <f aca="false">COUNTIFS(Filas!$A$2:$A$648,$A70,Filas!$B$2:$B$648,$B70,Filas!$S$2:$S$648,"cita encontrada*")+COUNTIFS(Filas!$A$2:$A$648,$A70,Filas!$B$2:$B$648,$B70,Filas!$S$2:$S$648,"página existe*")</f>
        <v>1</v>
      </c>
      <c r="I70" s="4" t="n">
        <f aca="false">COUNTIFS(Filas!$A$2:$A$648,$A70,Filas!$B$2:$B$648,$B70,Filas!$S$2:$S$648,"cita no encontrada*")+COUNTIFS(Filas!$A$2:$A$648,$A70,Filas!$B$2:$B$648,$B70,Filas!$S$2:$S$648,"página no accesible*")</f>
        <v>0</v>
      </c>
    </row>
    <row r="71" customFormat="false" ht="15" hidden="false" customHeight="false" outlineLevel="0" collapsed="false">
      <c r="A71" s="4" t="s">
        <v>1793</v>
      </c>
      <c r="B71" s="4" t="s">
        <v>1987</v>
      </c>
      <c r="C71" s="4" t="n">
        <f aca="false">COUNTIFS(Filas!$A$2:$A$648,$A71,Filas!$B$2:$B$648,$B71)</f>
        <v>1</v>
      </c>
      <c r="D71" s="4" t="n">
        <f aca="false">COUNTIFS(Filas!$A$2:$A$648,$A71,Filas!$B$2:$B$648,$B71,Filas!$N$2:$N$648,"mejora")</f>
        <v>1</v>
      </c>
      <c r="E71" s="4" t="n">
        <f aca="false">COUNTIFS(Filas!$A$2:$A$648,$A71,Filas!$B$2:$B$648,$B71,Filas!$N$2:$N$648,"sin cambio")</f>
        <v>0</v>
      </c>
      <c r="F71" s="4" t="n">
        <f aca="false">COUNTIFS(Filas!$A$2:$A$648,$A71,Filas!$B$2:$B$648,$B71,Filas!$N$2:$N$648,"empeora")</f>
        <v>0</v>
      </c>
      <c r="G71" s="4" t="n">
        <f aca="false">COUNTIFS(Filas!$A$2:$A$648,$A71,Filas!$B$2:$B$648,$B71,Filas!$N$2:$N$648,"mixto")</f>
        <v>0</v>
      </c>
      <c r="H71" s="4" t="n">
        <f aca="false">COUNTIFS(Filas!$A$2:$A$648,$A71,Filas!$B$2:$B$648,$B71,Filas!$S$2:$S$648,"cita encontrada*")+COUNTIFS(Filas!$A$2:$A$648,$A71,Filas!$B$2:$B$648,$B71,Filas!$S$2:$S$648,"página existe*")</f>
        <v>1</v>
      </c>
      <c r="I71" s="4" t="n">
        <f aca="false">COUNTIFS(Filas!$A$2:$A$648,$A71,Filas!$B$2:$B$648,$B71,Filas!$S$2:$S$648,"cita no encontrada*")+COUNTIFS(Filas!$A$2:$A$648,$A71,Filas!$B$2:$B$648,$B71,Filas!$S$2:$S$648,"página no accesible*")</f>
        <v>0</v>
      </c>
    </row>
    <row r="72" customFormat="false" ht="15" hidden="false" customHeight="false" outlineLevel="0" collapsed="false">
      <c r="A72" s="4" t="s">
        <v>1793</v>
      </c>
      <c r="B72" s="4" t="s">
        <v>2000</v>
      </c>
      <c r="C72" s="4" t="n">
        <f aca="false">COUNTIFS(Filas!$A$2:$A$648,$A72,Filas!$B$2:$B$648,$B72)</f>
        <v>1</v>
      </c>
      <c r="D72" s="4" t="n">
        <f aca="false">COUNTIFS(Filas!$A$2:$A$648,$A72,Filas!$B$2:$B$648,$B72,Filas!$N$2:$N$648,"mejora")</f>
        <v>1</v>
      </c>
      <c r="E72" s="4" t="n">
        <f aca="false">COUNTIFS(Filas!$A$2:$A$648,$A72,Filas!$B$2:$B$648,$B72,Filas!$N$2:$N$648,"sin cambio")</f>
        <v>0</v>
      </c>
      <c r="F72" s="4" t="n">
        <f aca="false">COUNTIFS(Filas!$A$2:$A$648,$A72,Filas!$B$2:$B$648,$B72,Filas!$N$2:$N$648,"empeora")</f>
        <v>0</v>
      </c>
      <c r="G72" s="4" t="n">
        <f aca="false">COUNTIFS(Filas!$A$2:$A$648,$A72,Filas!$B$2:$B$648,$B72,Filas!$N$2:$N$648,"mixto")</f>
        <v>0</v>
      </c>
      <c r="H72" s="4" t="n">
        <f aca="false">COUNTIFS(Filas!$A$2:$A$648,$A72,Filas!$B$2:$B$648,$B72,Filas!$S$2:$S$648,"cita encontrada*")+COUNTIFS(Filas!$A$2:$A$648,$A72,Filas!$B$2:$B$648,$B72,Filas!$S$2:$S$648,"página existe*")</f>
        <v>1</v>
      </c>
      <c r="I72" s="4" t="n">
        <f aca="false">COUNTIFS(Filas!$A$2:$A$648,$A72,Filas!$B$2:$B$648,$B72,Filas!$S$2:$S$648,"cita no encontrada*")+COUNTIFS(Filas!$A$2:$A$648,$A72,Filas!$B$2:$B$648,$B72,Filas!$S$2:$S$648,"página no accesible*")</f>
        <v>0</v>
      </c>
    </row>
    <row r="73" customFormat="false" ht="15" hidden="false" customHeight="false" outlineLevel="0" collapsed="false">
      <c r="A73" s="4" t="s">
        <v>1793</v>
      </c>
      <c r="B73" s="4" t="s">
        <v>2013</v>
      </c>
      <c r="C73" s="4" t="n">
        <f aca="false">COUNTIFS(Filas!$A$2:$A$648,$A73,Filas!$B$2:$B$648,$B73)</f>
        <v>2</v>
      </c>
      <c r="D73" s="4" t="n">
        <f aca="false">COUNTIFS(Filas!$A$2:$A$648,$A73,Filas!$B$2:$B$648,$B73,Filas!$N$2:$N$648,"mejora")</f>
        <v>1</v>
      </c>
      <c r="E73" s="4" t="n">
        <f aca="false">COUNTIFS(Filas!$A$2:$A$648,$A73,Filas!$B$2:$B$648,$B73,Filas!$N$2:$N$648,"sin cambio")</f>
        <v>0</v>
      </c>
      <c r="F73" s="4" t="n">
        <f aca="false">COUNTIFS(Filas!$A$2:$A$648,$A73,Filas!$B$2:$B$648,$B73,Filas!$N$2:$N$648,"empeora")</f>
        <v>0</v>
      </c>
      <c r="G73" s="4" t="n">
        <f aca="false">COUNTIFS(Filas!$A$2:$A$648,$A73,Filas!$B$2:$B$648,$B73,Filas!$N$2:$N$648,"mixto")</f>
        <v>1</v>
      </c>
      <c r="H73" s="4" t="n">
        <f aca="false">COUNTIFS(Filas!$A$2:$A$648,$A73,Filas!$B$2:$B$648,$B73,Filas!$S$2:$S$648,"cita encontrada*")+COUNTIFS(Filas!$A$2:$A$648,$A73,Filas!$B$2:$B$648,$B73,Filas!$S$2:$S$648,"página existe*")</f>
        <v>2</v>
      </c>
      <c r="I73" s="4" t="n">
        <f aca="false">COUNTIFS(Filas!$A$2:$A$648,$A73,Filas!$B$2:$B$648,$B73,Filas!$S$2:$S$648,"cita no encontrada*")+COUNTIFS(Filas!$A$2:$A$648,$A73,Filas!$B$2:$B$648,$B73,Filas!$S$2:$S$648,"página no accesible*")</f>
        <v>0</v>
      </c>
    </row>
    <row r="74" customFormat="false" ht="15" hidden="false" customHeight="false" outlineLevel="0" collapsed="false">
      <c r="A74" s="4" t="s">
        <v>1793</v>
      </c>
      <c r="B74" s="4" t="s">
        <v>2038</v>
      </c>
      <c r="C74" s="4" t="n">
        <f aca="false">COUNTIFS(Filas!$A$2:$A$648,$A74,Filas!$B$2:$B$648,$B74)</f>
        <v>1</v>
      </c>
      <c r="D74" s="4" t="n">
        <f aca="false">COUNTIFS(Filas!$A$2:$A$648,$A74,Filas!$B$2:$B$648,$B74,Filas!$N$2:$N$648,"mejora")</f>
        <v>1</v>
      </c>
      <c r="E74" s="4" t="n">
        <f aca="false">COUNTIFS(Filas!$A$2:$A$648,$A74,Filas!$B$2:$B$648,$B74,Filas!$N$2:$N$648,"sin cambio")</f>
        <v>0</v>
      </c>
      <c r="F74" s="4" t="n">
        <f aca="false">COUNTIFS(Filas!$A$2:$A$648,$A74,Filas!$B$2:$B$648,$B74,Filas!$N$2:$N$648,"empeora")</f>
        <v>0</v>
      </c>
      <c r="G74" s="4" t="n">
        <f aca="false">COUNTIFS(Filas!$A$2:$A$648,$A74,Filas!$B$2:$B$648,$B74,Filas!$N$2:$N$648,"mixto")</f>
        <v>0</v>
      </c>
      <c r="H74" s="4" t="n">
        <f aca="false">COUNTIFS(Filas!$A$2:$A$648,$A74,Filas!$B$2:$B$648,$B74,Filas!$S$2:$S$648,"cita encontrada*")+COUNTIFS(Filas!$A$2:$A$648,$A74,Filas!$B$2:$B$648,$B74,Filas!$S$2:$S$648,"página existe*")</f>
        <v>1</v>
      </c>
      <c r="I74" s="4" t="n">
        <f aca="false">COUNTIFS(Filas!$A$2:$A$648,$A74,Filas!$B$2:$B$648,$B74,Filas!$S$2:$S$648,"cita no encontrada*")+COUNTIFS(Filas!$A$2:$A$648,$A74,Filas!$B$2:$B$648,$B74,Filas!$S$2:$S$648,"página no accesible*")</f>
        <v>0</v>
      </c>
    </row>
    <row r="75" customFormat="false" ht="15" hidden="false" customHeight="false" outlineLevel="0" collapsed="false">
      <c r="A75" s="4" t="s">
        <v>1793</v>
      </c>
      <c r="B75" s="4" t="s">
        <v>2055</v>
      </c>
      <c r="C75" s="4" t="n">
        <f aca="false">COUNTIFS(Filas!$A$2:$A$648,$A75,Filas!$B$2:$B$648,$B75)</f>
        <v>4</v>
      </c>
      <c r="D75" s="4" t="n">
        <f aca="false">COUNTIFS(Filas!$A$2:$A$648,$A75,Filas!$B$2:$B$648,$B75,Filas!$N$2:$N$648,"mejora")</f>
        <v>0</v>
      </c>
      <c r="E75" s="4" t="n">
        <f aca="false">COUNTIFS(Filas!$A$2:$A$648,$A75,Filas!$B$2:$B$648,$B75,Filas!$N$2:$N$648,"sin cambio")</f>
        <v>0</v>
      </c>
      <c r="F75" s="4" t="n">
        <f aca="false">COUNTIFS(Filas!$A$2:$A$648,$A75,Filas!$B$2:$B$648,$B75,Filas!$N$2:$N$648,"empeora")</f>
        <v>0</v>
      </c>
      <c r="G75" s="4" t="n">
        <f aca="false">COUNTIFS(Filas!$A$2:$A$648,$A75,Filas!$B$2:$B$648,$B75,Filas!$N$2:$N$648,"mixto")</f>
        <v>1</v>
      </c>
      <c r="H75" s="4" t="n">
        <f aca="false">COUNTIFS(Filas!$A$2:$A$648,$A75,Filas!$B$2:$B$648,$B75,Filas!$S$2:$S$648,"cita encontrada*")+COUNTIFS(Filas!$A$2:$A$648,$A75,Filas!$B$2:$B$648,$B75,Filas!$S$2:$S$648,"página existe*")</f>
        <v>4</v>
      </c>
      <c r="I75" s="4" t="n">
        <f aca="false">COUNTIFS(Filas!$A$2:$A$648,$A75,Filas!$B$2:$B$648,$B75,Filas!$S$2:$S$648,"cita no encontrada*")+COUNTIFS(Filas!$A$2:$A$648,$A75,Filas!$B$2:$B$648,$B75,Filas!$S$2:$S$648,"página no accesible*")</f>
        <v>0</v>
      </c>
    </row>
    <row r="76" customFormat="false" ht="15" hidden="false" customHeight="false" outlineLevel="0" collapsed="false">
      <c r="A76" s="4" t="s">
        <v>1793</v>
      </c>
      <c r="B76" s="4" t="s">
        <v>2107</v>
      </c>
      <c r="C76" s="4" t="n">
        <f aca="false">COUNTIFS(Filas!$A$2:$A$648,$A76,Filas!$B$2:$B$648,$B76)</f>
        <v>1</v>
      </c>
      <c r="D76" s="4" t="n">
        <f aca="false">COUNTIFS(Filas!$A$2:$A$648,$A76,Filas!$B$2:$B$648,$B76,Filas!$N$2:$N$648,"mejora")</f>
        <v>0</v>
      </c>
      <c r="E76" s="4" t="n">
        <f aca="false">COUNTIFS(Filas!$A$2:$A$648,$A76,Filas!$B$2:$B$648,$B76,Filas!$N$2:$N$648,"sin cambio")</f>
        <v>0</v>
      </c>
      <c r="F76" s="4" t="n">
        <f aca="false">COUNTIFS(Filas!$A$2:$A$648,$A76,Filas!$B$2:$B$648,$B76,Filas!$N$2:$N$648,"empeora")</f>
        <v>0</v>
      </c>
      <c r="G76" s="4" t="n">
        <f aca="false">COUNTIFS(Filas!$A$2:$A$648,$A76,Filas!$B$2:$B$648,$B76,Filas!$N$2:$N$648,"mixto")</f>
        <v>0</v>
      </c>
      <c r="H76" s="4" t="n">
        <f aca="false">COUNTIFS(Filas!$A$2:$A$648,$A76,Filas!$B$2:$B$648,$B76,Filas!$S$2:$S$648,"cita encontrada*")+COUNTIFS(Filas!$A$2:$A$648,$A76,Filas!$B$2:$B$648,$B76,Filas!$S$2:$S$648,"página existe*")</f>
        <v>1</v>
      </c>
      <c r="I76" s="4" t="n">
        <f aca="false">COUNTIFS(Filas!$A$2:$A$648,$A76,Filas!$B$2:$B$648,$B76,Filas!$S$2:$S$648,"cita no encontrada*")+COUNTIFS(Filas!$A$2:$A$648,$A76,Filas!$B$2:$B$648,$B76,Filas!$S$2:$S$648,"página no accesible*")</f>
        <v>0</v>
      </c>
    </row>
    <row r="77" customFormat="false" ht="15" hidden="false" customHeight="false" outlineLevel="0" collapsed="false">
      <c r="A77" s="4" t="s">
        <v>1793</v>
      </c>
      <c r="B77" s="4" t="s">
        <v>2122</v>
      </c>
      <c r="C77" s="4" t="n">
        <f aca="false">COUNTIFS(Filas!$A$2:$A$648,$A77,Filas!$B$2:$B$648,$B77)</f>
        <v>1</v>
      </c>
      <c r="D77" s="4" t="n">
        <f aca="false">COUNTIFS(Filas!$A$2:$A$648,$A77,Filas!$B$2:$B$648,$B77,Filas!$N$2:$N$648,"mejora")</f>
        <v>0</v>
      </c>
      <c r="E77" s="4" t="n">
        <f aca="false">COUNTIFS(Filas!$A$2:$A$648,$A77,Filas!$B$2:$B$648,$B77,Filas!$N$2:$N$648,"sin cambio")</f>
        <v>0</v>
      </c>
      <c r="F77" s="4" t="n">
        <f aca="false">COUNTIFS(Filas!$A$2:$A$648,$A77,Filas!$B$2:$B$648,$B77,Filas!$N$2:$N$648,"empeora")</f>
        <v>1</v>
      </c>
      <c r="G77" s="4" t="n">
        <f aca="false">COUNTIFS(Filas!$A$2:$A$648,$A77,Filas!$B$2:$B$648,$B77,Filas!$N$2:$N$648,"mixto")</f>
        <v>0</v>
      </c>
      <c r="H77" s="4" t="n">
        <f aca="false">COUNTIFS(Filas!$A$2:$A$648,$A77,Filas!$B$2:$B$648,$B77,Filas!$S$2:$S$648,"cita encontrada*")+COUNTIFS(Filas!$A$2:$A$648,$A77,Filas!$B$2:$B$648,$B77,Filas!$S$2:$S$648,"página existe*")</f>
        <v>1</v>
      </c>
      <c r="I77" s="4" t="n">
        <f aca="false">COUNTIFS(Filas!$A$2:$A$648,$A77,Filas!$B$2:$B$648,$B77,Filas!$S$2:$S$648,"cita no encontrada*")+COUNTIFS(Filas!$A$2:$A$648,$A77,Filas!$B$2:$B$648,$B77,Filas!$S$2:$S$648,"página no accesible*")</f>
        <v>0</v>
      </c>
    </row>
    <row r="78" customFormat="false" ht="15" hidden="false" customHeight="false" outlineLevel="0" collapsed="false">
      <c r="A78" s="4" t="s">
        <v>1793</v>
      </c>
      <c r="B78" s="4" t="s">
        <v>2135</v>
      </c>
      <c r="C78" s="4" t="n">
        <f aca="false">COUNTIFS(Filas!$A$2:$A$648,$A78,Filas!$B$2:$B$648,$B78)</f>
        <v>1</v>
      </c>
      <c r="D78" s="4" t="n">
        <f aca="false">COUNTIFS(Filas!$A$2:$A$648,$A78,Filas!$B$2:$B$648,$B78,Filas!$N$2:$N$648,"mejora")</f>
        <v>0</v>
      </c>
      <c r="E78" s="4" t="n">
        <f aca="false">COUNTIFS(Filas!$A$2:$A$648,$A78,Filas!$B$2:$B$648,$B78,Filas!$N$2:$N$648,"sin cambio")</f>
        <v>0</v>
      </c>
      <c r="F78" s="4" t="n">
        <f aca="false">COUNTIFS(Filas!$A$2:$A$648,$A78,Filas!$B$2:$B$648,$B78,Filas!$N$2:$N$648,"empeora")</f>
        <v>0</v>
      </c>
      <c r="G78" s="4" t="n">
        <f aca="false">COUNTIFS(Filas!$A$2:$A$648,$A78,Filas!$B$2:$B$648,$B78,Filas!$N$2:$N$648,"mixto")</f>
        <v>0</v>
      </c>
      <c r="H78" s="4" t="n">
        <f aca="false">COUNTIFS(Filas!$A$2:$A$648,$A78,Filas!$B$2:$B$648,$B78,Filas!$S$2:$S$648,"cita encontrada*")+COUNTIFS(Filas!$A$2:$A$648,$A78,Filas!$B$2:$B$648,$B78,Filas!$S$2:$S$648,"página existe*")</f>
        <v>1</v>
      </c>
      <c r="I78" s="4" t="n">
        <f aca="false">COUNTIFS(Filas!$A$2:$A$648,$A78,Filas!$B$2:$B$648,$B78,Filas!$S$2:$S$648,"cita no encontrada*")+COUNTIFS(Filas!$A$2:$A$648,$A78,Filas!$B$2:$B$648,$B78,Filas!$S$2:$S$648,"página no accesible*")</f>
        <v>0</v>
      </c>
    </row>
    <row r="79" customFormat="false" ht="15" hidden="false" customHeight="false" outlineLevel="0" collapsed="false">
      <c r="A79" s="4" t="s">
        <v>1793</v>
      </c>
      <c r="B79" s="4" t="s">
        <v>2148</v>
      </c>
      <c r="C79" s="4" t="n">
        <f aca="false">COUNTIFS(Filas!$A$2:$A$648,$A79,Filas!$B$2:$B$648,$B79)</f>
        <v>1</v>
      </c>
      <c r="D79" s="4" t="n">
        <f aca="false">COUNTIFS(Filas!$A$2:$A$648,$A79,Filas!$B$2:$B$648,$B79,Filas!$N$2:$N$648,"mejora")</f>
        <v>0</v>
      </c>
      <c r="E79" s="4" t="n">
        <f aca="false">COUNTIFS(Filas!$A$2:$A$648,$A79,Filas!$B$2:$B$648,$B79,Filas!$N$2:$N$648,"sin cambio")</f>
        <v>0</v>
      </c>
      <c r="F79" s="4" t="n">
        <f aca="false">COUNTIFS(Filas!$A$2:$A$648,$A79,Filas!$B$2:$B$648,$B79,Filas!$N$2:$N$648,"empeora")</f>
        <v>0</v>
      </c>
      <c r="G79" s="4" t="n">
        <f aca="false">COUNTIFS(Filas!$A$2:$A$648,$A79,Filas!$B$2:$B$648,$B79,Filas!$N$2:$N$648,"mixto")</f>
        <v>0</v>
      </c>
      <c r="H79" s="4" t="n">
        <f aca="false">COUNTIFS(Filas!$A$2:$A$648,$A79,Filas!$B$2:$B$648,$B79,Filas!$S$2:$S$648,"cita encontrada*")+COUNTIFS(Filas!$A$2:$A$648,$A79,Filas!$B$2:$B$648,$B79,Filas!$S$2:$S$648,"página existe*")</f>
        <v>1</v>
      </c>
      <c r="I79" s="4" t="n">
        <f aca="false">COUNTIFS(Filas!$A$2:$A$648,$A79,Filas!$B$2:$B$648,$B79,Filas!$S$2:$S$648,"cita no encontrada*")+COUNTIFS(Filas!$A$2:$A$648,$A79,Filas!$B$2:$B$648,$B79,Filas!$S$2:$S$648,"página no accesible*")</f>
        <v>0</v>
      </c>
    </row>
    <row r="80" customFormat="false" ht="15" hidden="false" customHeight="false" outlineLevel="0" collapsed="false">
      <c r="A80" s="4" t="s">
        <v>1793</v>
      </c>
      <c r="B80" s="4" t="s">
        <v>2160</v>
      </c>
      <c r="C80" s="4" t="n">
        <f aca="false">COUNTIFS(Filas!$A$2:$A$648,$A80,Filas!$B$2:$B$648,$B80)</f>
        <v>1</v>
      </c>
      <c r="D80" s="4" t="n">
        <f aca="false">COUNTIFS(Filas!$A$2:$A$648,$A80,Filas!$B$2:$B$648,$B80,Filas!$N$2:$N$648,"mejora")</f>
        <v>0</v>
      </c>
      <c r="E80" s="4" t="n">
        <f aca="false">COUNTIFS(Filas!$A$2:$A$648,$A80,Filas!$B$2:$B$648,$B80,Filas!$N$2:$N$648,"sin cambio")</f>
        <v>0</v>
      </c>
      <c r="F80" s="4" t="n">
        <f aca="false">COUNTIFS(Filas!$A$2:$A$648,$A80,Filas!$B$2:$B$648,$B80,Filas!$N$2:$N$648,"empeora")</f>
        <v>0</v>
      </c>
      <c r="G80" s="4" t="n">
        <f aca="false">COUNTIFS(Filas!$A$2:$A$648,$A80,Filas!$B$2:$B$648,$B80,Filas!$N$2:$N$648,"mixto")</f>
        <v>1</v>
      </c>
      <c r="H80" s="4" t="n">
        <f aca="false">COUNTIFS(Filas!$A$2:$A$648,$A80,Filas!$B$2:$B$648,$B80,Filas!$S$2:$S$648,"cita encontrada*")+COUNTIFS(Filas!$A$2:$A$648,$A80,Filas!$B$2:$B$648,$B80,Filas!$S$2:$S$648,"página existe*")</f>
        <v>1</v>
      </c>
      <c r="I80" s="4" t="n">
        <f aca="false">COUNTIFS(Filas!$A$2:$A$648,$A80,Filas!$B$2:$B$648,$B80,Filas!$S$2:$S$648,"cita no encontrada*")+COUNTIFS(Filas!$A$2:$A$648,$A80,Filas!$B$2:$B$648,$B80,Filas!$S$2:$S$648,"página no accesible*")</f>
        <v>0</v>
      </c>
    </row>
    <row r="81" customFormat="false" ht="15" hidden="false" customHeight="false" outlineLevel="0" collapsed="false">
      <c r="A81" s="4" t="s">
        <v>1793</v>
      </c>
      <c r="B81" s="4" t="s">
        <v>2174</v>
      </c>
      <c r="C81" s="4" t="n">
        <f aca="false">COUNTIFS(Filas!$A$2:$A$648,$A81,Filas!$B$2:$B$648,$B81)</f>
        <v>1</v>
      </c>
      <c r="D81" s="4" t="n">
        <f aca="false">COUNTIFS(Filas!$A$2:$A$648,$A81,Filas!$B$2:$B$648,$B81,Filas!$N$2:$N$648,"mejora")</f>
        <v>0</v>
      </c>
      <c r="E81" s="4" t="n">
        <f aca="false">COUNTIFS(Filas!$A$2:$A$648,$A81,Filas!$B$2:$B$648,$B81,Filas!$N$2:$N$648,"sin cambio")</f>
        <v>1</v>
      </c>
      <c r="F81" s="4" t="n">
        <f aca="false">COUNTIFS(Filas!$A$2:$A$648,$A81,Filas!$B$2:$B$648,$B81,Filas!$N$2:$N$648,"empeora")</f>
        <v>0</v>
      </c>
      <c r="G81" s="4" t="n">
        <f aca="false">COUNTIFS(Filas!$A$2:$A$648,$A81,Filas!$B$2:$B$648,$B81,Filas!$N$2:$N$648,"mixto")</f>
        <v>0</v>
      </c>
      <c r="H81" s="4" t="n">
        <f aca="false">COUNTIFS(Filas!$A$2:$A$648,$A81,Filas!$B$2:$B$648,$B81,Filas!$S$2:$S$648,"cita encontrada*")+COUNTIFS(Filas!$A$2:$A$648,$A81,Filas!$B$2:$B$648,$B81,Filas!$S$2:$S$648,"página existe*")</f>
        <v>1</v>
      </c>
      <c r="I81" s="4" t="n">
        <f aca="false">COUNTIFS(Filas!$A$2:$A$648,$A81,Filas!$B$2:$B$648,$B81,Filas!$S$2:$S$648,"cita no encontrada*")+COUNTIFS(Filas!$A$2:$A$648,$A81,Filas!$B$2:$B$648,$B81,Filas!$S$2:$S$648,"página no accesible*")</f>
        <v>0</v>
      </c>
    </row>
    <row r="82" customFormat="false" ht="15" hidden="false" customHeight="false" outlineLevel="0" collapsed="false">
      <c r="A82" s="4" t="s">
        <v>1793</v>
      </c>
      <c r="B82" s="4" t="s">
        <v>2186</v>
      </c>
      <c r="C82" s="4" t="n">
        <f aca="false">COUNTIFS(Filas!$A$2:$A$648,$A82,Filas!$B$2:$B$648,$B82)</f>
        <v>1</v>
      </c>
      <c r="D82" s="4" t="n">
        <f aca="false">COUNTIFS(Filas!$A$2:$A$648,$A82,Filas!$B$2:$B$648,$B82,Filas!$N$2:$N$648,"mejora")</f>
        <v>0</v>
      </c>
      <c r="E82" s="4" t="n">
        <f aca="false">COUNTIFS(Filas!$A$2:$A$648,$A82,Filas!$B$2:$B$648,$B82,Filas!$N$2:$N$648,"sin cambio")</f>
        <v>0</v>
      </c>
      <c r="F82" s="4" t="n">
        <f aca="false">COUNTIFS(Filas!$A$2:$A$648,$A82,Filas!$B$2:$B$648,$B82,Filas!$N$2:$N$648,"empeora")</f>
        <v>0</v>
      </c>
      <c r="G82" s="4" t="n">
        <f aca="false">COUNTIFS(Filas!$A$2:$A$648,$A82,Filas!$B$2:$B$648,$B82,Filas!$N$2:$N$648,"mixto")</f>
        <v>1</v>
      </c>
      <c r="H82" s="4" t="n">
        <f aca="false">COUNTIFS(Filas!$A$2:$A$648,$A82,Filas!$B$2:$B$648,$B82,Filas!$S$2:$S$648,"cita encontrada*")+COUNTIFS(Filas!$A$2:$A$648,$A82,Filas!$B$2:$B$648,$B82,Filas!$S$2:$S$648,"página existe*")</f>
        <v>1</v>
      </c>
      <c r="I82" s="4" t="n">
        <f aca="false">COUNTIFS(Filas!$A$2:$A$648,$A82,Filas!$B$2:$B$648,$B82,Filas!$S$2:$S$648,"cita no encontrada*")+COUNTIFS(Filas!$A$2:$A$648,$A82,Filas!$B$2:$B$648,$B82,Filas!$S$2:$S$648,"página no accesible*")</f>
        <v>0</v>
      </c>
    </row>
    <row r="83" customFormat="false" ht="15" hidden="false" customHeight="false" outlineLevel="0" collapsed="false">
      <c r="A83" s="4" t="s">
        <v>1793</v>
      </c>
      <c r="B83" s="4" t="s">
        <v>2199</v>
      </c>
      <c r="C83" s="4" t="n">
        <f aca="false">COUNTIFS(Filas!$A$2:$A$648,$A83,Filas!$B$2:$B$648,$B83)</f>
        <v>1</v>
      </c>
      <c r="D83" s="4" t="n">
        <f aca="false">COUNTIFS(Filas!$A$2:$A$648,$A83,Filas!$B$2:$B$648,$B83,Filas!$N$2:$N$648,"mejora")</f>
        <v>0</v>
      </c>
      <c r="E83" s="4" t="n">
        <f aca="false">COUNTIFS(Filas!$A$2:$A$648,$A83,Filas!$B$2:$B$648,$B83,Filas!$N$2:$N$648,"sin cambio")</f>
        <v>0</v>
      </c>
      <c r="F83" s="4" t="n">
        <f aca="false">COUNTIFS(Filas!$A$2:$A$648,$A83,Filas!$B$2:$B$648,$B83,Filas!$N$2:$N$648,"empeora")</f>
        <v>0</v>
      </c>
      <c r="G83" s="4" t="n">
        <f aca="false">COUNTIFS(Filas!$A$2:$A$648,$A83,Filas!$B$2:$B$648,$B83,Filas!$N$2:$N$648,"mixto")</f>
        <v>1</v>
      </c>
      <c r="H83" s="4" t="n">
        <f aca="false">COUNTIFS(Filas!$A$2:$A$648,$A83,Filas!$B$2:$B$648,$B83,Filas!$S$2:$S$648,"cita encontrada*")+COUNTIFS(Filas!$A$2:$A$648,$A83,Filas!$B$2:$B$648,$B83,Filas!$S$2:$S$648,"página existe*")</f>
        <v>1</v>
      </c>
      <c r="I83" s="4" t="n">
        <f aca="false">COUNTIFS(Filas!$A$2:$A$648,$A83,Filas!$B$2:$B$648,$B83,Filas!$S$2:$S$648,"cita no encontrada*")+COUNTIFS(Filas!$A$2:$A$648,$A83,Filas!$B$2:$B$648,$B83,Filas!$S$2:$S$648,"página no accesible*")</f>
        <v>0</v>
      </c>
    </row>
    <row r="84" customFormat="false" ht="15" hidden="false" customHeight="false" outlineLevel="0" collapsed="false">
      <c r="A84" s="4" t="s">
        <v>1793</v>
      </c>
      <c r="B84" s="4" t="s">
        <v>2212</v>
      </c>
      <c r="C84" s="4" t="n">
        <f aca="false">COUNTIFS(Filas!$A$2:$A$648,$A84,Filas!$B$2:$B$648,$B84)</f>
        <v>1</v>
      </c>
      <c r="D84" s="4" t="n">
        <f aca="false">COUNTIFS(Filas!$A$2:$A$648,$A84,Filas!$B$2:$B$648,$B84,Filas!$N$2:$N$648,"mejora")</f>
        <v>0</v>
      </c>
      <c r="E84" s="4" t="n">
        <f aca="false">COUNTIFS(Filas!$A$2:$A$648,$A84,Filas!$B$2:$B$648,$B84,Filas!$N$2:$N$648,"sin cambio")</f>
        <v>0</v>
      </c>
      <c r="F84" s="4" t="n">
        <f aca="false">COUNTIFS(Filas!$A$2:$A$648,$A84,Filas!$B$2:$B$648,$B84,Filas!$N$2:$N$648,"empeora")</f>
        <v>0</v>
      </c>
      <c r="G84" s="4" t="n">
        <f aca="false">COUNTIFS(Filas!$A$2:$A$648,$A84,Filas!$B$2:$B$648,$B84,Filas!$N$2:$N$648,"mixto")</f>
        <v>1</v>
      </c>
      <c r="H84" s="4" t="n">
        <f aca="false">COUNTIFS(Filas!$A$2:$A$648,$A84,Filas!$B$2:$B$648,$B84,Filas!$S$2:$S$648,"cita encontrada*")+COUNTIFS(Filas!$A$2:$A$648,$A84,Filas!$B$2:$B$648,$B84,Filas!$S$2:$S$648,"página existe*")</f>
        <v>1</v>
      </c>
      <c r="I84" s="4" t="n">
        <f aca="false">COUNTIFS(Filas!$A$2:$A$648,$A84,Filas!$B$2:$B$648,$B84,Filas!$S$2:$S$648,"cita no encontrada*")+COUNTIFS(Filas!$A$2:$A$648,$A84,Filas!$B$2:$B$648,$B84,Filas!$S$2:$S$648,"página no accesible*")</f>
        <v>0</v>
      </c>
    </row>
    <row r="85" customFormat="false" ht="15" hidden="false" customHeight="false" outlineLevel="0" collapsed="false">
      <c r="A85" s="4" t="s">
        <v>1793</v>
      </c>
      <c r="B85" s="4" t="s">
        <v>2225</v>
      </c>
      <c r="C85" s="4" t="n">
        <f aca="false">COUNTIFS(Filas!$A$2:$A$648,$A85,Filas!$B$2:$B$648,$B85)</f>
        <v>2</v>
      </c>
      <c r="D85" s="4" t="n">
        <f aca="false">COUNTIFS(Filas!$A$2:$A$648,$A85,Filas!$B$2:$B$648,$B85,Filas!$N$2:$N$648,"mejora")</f>
        <v>2</v>
      </c>
      <c r="E85" s="4" t="n">
        <f aca="false">COUNTIFS(Filas!$A$2:$A$648,$A85,Filas!$B$2:$B$648,$B85,Filas!$N$2:$N$648,"sin cambio")</f>
        <v>0</v>
      </c>
      <c r="F85" s="4" t="n">
        <f aca="false">COUNTIFS(Filas!$A$2:$A$648,$A85,Filas!$B$2:$B$648,$B85,Filas!$N$2:$N$648,"empeora")</f>
        <v>0</v>
      </c>
      <c r="G85" s="4" t="n">
        <f aca="false">COUNTIFS(Filas!$A$2:$A$648,$A85,Filas!$B$2:$B$648,$B85,Filas!$N$2:$N$648,"mixto")</f>
        <v>0</v>
      </c>
      <c r="H85" s="4" t="n">
        <f aca="false">COUNTIFS(Filas!$A$2:$A$648,$A85,Filas!$B$2:$B$648,$B85,Filas!$S$2:$S$648,"cita encontrada*")+COUNTIFS(Filas!$A$2:$A$648,$A85,Filas!$B$2:$B$648,$B85,Filas!$S$2:$S$648,"página existe*")</f>
        <v>2</v>
      </c>
      <c r="I85" s="4" t="n">
        <f aca="false">COUNTIFS(Filas!$A$2:$A$648,$A85,Filas!$B$2:$B$648,$B85,Filas!$S$2:$S$648,"cita no encontrada*")+COUNTIFS(Filas!$A$2:$A$648,$A85,Filas!$B$2:$B$648,$B85,Filas!$S$2:$S$648,"página no accesible*")</f>
        <v>0</v>
      </c>
    </row>
    <row r="86" customFormat="false" ht="15" hidden="false" customHeight="false" outlineLevel="0" collapsed="false">
      <c r="A86" s="4" t="s">
        <v>1793</v>
      </c>
      <c r="B86" s="4" t="s">
        <v>2252</v>
      </c>
      <c r="C86" s="4" t="n">
        <f aca="false">COUNTIFS(Filas!$A$2:$A$648,$A86,Filas!$B$2:$B$648,$B86)</f>
        <v>1</v>
      </c>
      <c r="D86" s="4" t="n">
        <f aca="false">COUNTIFS(Filas!$A$2:$A$648,$A86,Filas!$B$2:$B$648,$B86,Filas!$N$2:$N$648,"mejora")</f>
        <v>0</v>
      </c>
      <c r="E86" s="4" t="n">
        <f aca="false">COUNTIFS(Filas!$A$2:$A$648,$A86,Filas!$B$2:$B$648,$B86,Filas!$N$2:$N$648,"sin cambio")</f>
        <v>0</v>
      </c>
      <c r="F86" s="4" t="n">
        <f aca="false">COUNTIFS(Filas!$A$2:$A$648,$A86,Filas!$B$2:$B$648,$B86,Filas!$N$2:$N$648,"empeora")</f>
        <v>0</v>
      </c>
      <c r="G86" s="4" t="n">
        <f aca="false">COUNTIFS(Filas!$A$2:$A$648,$A86,Filas!$B$2:$B$648,$B86,Filas!$N$2:$N$648,"mixto")</f>
        <v>0</v>
      </c>
      <c r="H86" s="4" t="n">
        <f aca="false">COUNTIFS(Filas!$A$2:$A$648,$A86,Filas!$B$2:$B$648,$B86,Filas!$S$2:$S$648,"cita encontrada*")+COUNTIFS(Filas!$A$2:$A$648,$A86,Filas!$B$2:$B$648,$B86,Filas!$S$2:$S$648,"página existe*")</f>
        <v>1</v>
      </c>
      <c r="I86" s="4" t="n">
        <f aca="false">COUNTIFS(Filas!$A$2:$A$648,$A86,Filas!$B$2:$B$648,$B86,Filas!$S$2:$S$648,"cita no encontrada*")+COUNTIFS(Filas!$A$2:$A$648,$A86,Filas!$B$2:$B$648,$B86,Filas!$S$2:$S$648,"página no accesible*")</f>
        <v>0</v>
      </c>
    </row>
    <row r="87" customFormat="false" ht="15" hidden="false" customHeight="false" outlineLevel="0" collapsed="false">
      <c r="A87" s="4" t="s">
        <v>1793</v>
      </c>
      <c r="B87" s="4" t="s">
        <v>2267</v>
      </c>
      <c r="C87" s="4" t="n">
        <f aca="false">COUNTIFS(Filas!$A$2:$A$648,$A87,Filas!$B$2:$B$648,$B87)</f>
        <v>1</v>
      </c>
      <c r="D87" s="4" t="n">
        <f aca="false">COUNTIFS(Filas!$A$2:$A$648,$A87,Filas!$B$2:$B$648,$B87,Filas!$N$2:$N$648,"mejora")</f>
        <v>1</v>
      </c>
      <c r="E87" s="4" t="n">
        <f aca="false">COUNTIFS(Filas!$A$2:$A$648,$A87,Filas!$B$2:$B$648,$B87,Filas!$N$2:$N$648,"sin cambio")</f>
        <v>0</v>
      </c>
      <c r="F87" s="4" t="n">
        <f aca="false">COUNTIFS(Filas!$A$2:$A$648,$A87,Filas!$B$2:$B$648,$B87,Filas!$N$2:$N$648,"empeora")</f>
        <v>0</v>
      </c>
      <c r="G87" s="4" t="n">
        <f aca="false">COUNTIFS(Filas!$A$2:$A$648,$A87,Filas!$B$2:$B$648,$B87,Filas!$N$2:$N$648,"mixto")</f>
        <v>0</v>
      </c>
      <c r="H87" s="4" t="n">
        <f aca="false">COUNTIFS(Filas!$A$2:$A$648,$A87,Filas!$B$2:$B$648,$B87,Filas!$S$2:$S$648,"cita encontrada*")+COUNTIFS(Filas!$A$2:$A$648,$A87,Filas!$B$2:$B$648,$B87,Filas!$S$2:$S$648,"página existe*")</f>
        <v>1</v>
      </c>
      <c r="I87" s="4" t="n">
        <f aca="false">COUNTIFS(Filas!$A$2:$A$648,$A87,Filas!$B$2:$B$648,$B87,Filas!$S$2:$S$648,"cita no encontrada*")+COUNTIFS(Filas!$A$2:$A$648,$A87,Filas!$B$2:$B$648,$B87,Filas!$S$2:$S$648,"página no accesible*")</f>
        <v>0</v>
      </c>
    </row>
    <row r="88" customFormat="false" ht="15" hidden="false" customHeight="false" outlineLevel="0" collapsed="false">
      <c r="A88" s="4" t="s">
        <v>1793</v>
      </c>
      <c r="B88" s="4" t="s">
        <v>2279</v>
      </c>
      <c r="C88" s="4" t="n">
        <f aca="false">COUNTIFS(Filas!$A$2:$A$648,$A88,Filas!$B$2:$B$648,$B88)</f>
        <v>2</v>
      </c>
      <c r="D88" s="4" t="n">
        <f aca="false">COUNTIFS(Filas!$A$2:$A$648,$A88,Filas!$B$2:$B$648,$B88,Filas!$N$2:$N$648,"mejora")</f>
        <v>2</v>
      </c>
      <c r="E88" s="4" t="n">
        <f aca="false">COUNTIFS(Filas!$A$2:$A$648,$A88,Filas!$B$2:$B$648,$B88,Filas!$N$2:$N$648,"sin cambio")</f>
        <v>0</v>
      </c>
      <c r="F88" s="4" t="n">
        <f aca="false">COUNTIFS(Filas!$A$2:$A$648,$A88,Filas!$B$2:$B$648,$B88,Filas!$N$2:$N$648,"empeora")</f>
        <v>0</v>
      </c>
      <c r="G88" s="4" t="n">
        <f aca="false">COUNTIFS(Filas!$A$2:$A$648,$A88,Filas!$B$2:$B$648,$B88,Filas!$N$2:$N$648,"mixto")</f>
        <v>0</v>
      </c>
      <c r="H88" s="4" t="n">
        <f aca="false">COUNTIFS(Filas!$A$2:$A$648,$A88,Filas!$B$2:$B$648,$B88,Filas!$S$2:$S$648,"cita encontrada*")+COUNTIFS(Filas!$A$2:$A$648,$A88,Filas!$B$2:$B$648,$B88,Filas!$S$2:$S$648,"página existe*")</f>
        <v>2</v>
      </c>
      <c r="I88" s="4" t="n">
        <f aca="false">COUNTIFS(Filas!$A$2:$A$648,$A88,Filas!$B$2:$B$648,$B88,Filas!$S$2:$S$648,"cita no encontrada*")+COUNTIFS(Filas!$A$2:$A$648,$A88,Filas!$B$2:$B$648,$B88,Filas!$S$2:$S$648,"página no accesible*")</f>
        <v>0</v>
      </c>
    </row>
    <row r="89" customFormat="false" ht="15" hidden="false" customHeight="false" outlineLevel="0" collapsed="false">
      <c r="A89" s="4" t="s">
        <v>1793</v>
      </c>
      <c r="B89" s="4" t="s">
        <v>2301</v>
      </c>
      <c r="C89" s="4" t="n">
        <f aca="false">COUNTIFS(Filas!$A$2:$A$648,$A89,Filas!$B$2:$B$648,$B89)</f>
        <v>1</v>
      </c>
      <c r="D89" s="4" t="n">
        <f aca="false">COUNTIFS(Filas!$A$2:$A$648,$A89,Filas!$B$2:$B$648,$B89,Filas!$N$2:$N$648,"mejora")</f>
        <v>1</v>
      </c>
      <c r="E89" s="4" t="n">
        <f aca="false">COUNTIFS(Filas!$A$2:$A$648,$A89,Filas!$B$2:$B$648,$B89,Filas!$N$2:$N$648,"sin cambio")</f>
        <v>0</v>
      </c>
      <c r="F89" s="4" t="n">
        <f aca="false">COUNTIFS(Filas!$A$2:$A$648,$A89,Filas!$B$2:$B$648,$B89,Filas!$N$2:$N$648,"empeora")</f>
        <v>0</v>
      </c>
      <c r="G89" s="4" t="n">
        <f aca="false">COUNTIFS(Filas!$A$2:$A$648,$A89,Filas!$B$2:$B$648,$B89,Filas!$N$2:$N$648,"mixto")</f>
        <v>0</v>
      </c>
      <c r="H89" s="4" t="n">
        <f aca="false">COUNTIFS(Filas!$A$2:$A$648,$A89,Filas!$B$2:$B$648,$B89,Filas!$S$2:$S$648,"cita encontrada*")+COUNTIFS(Filas!$A$2:$A$648,$A89,Filas!$B$2:$B$648,$B89,Filas!$S$2:$S$648,"página existe*")</f>
        <v>1</v>
      </c>
      <c r="I89" s="4" t="n">
        <f aca="false">COUNTIFS(Filas!$A$2:$A$648,$A89,Filas!$B$2:$B$648,$B89,Filas!$S$2:$S$648,"cita no encontrada*")+COUNTIFS(Filas!$A$2:$A$648,$A89,Filas!$B$2:$B$648,$B89,Filas!$S$2:$S$648,"página no accesible*")</f>
        <v>0</v>
      </c>
    </row>
    <row r="90" customFormat="false" ht="15" hidden="false" customHeight="false" outlineLevel="0" collapsed="false">
      <c r="A90" s="4" t="s">
        <v>1793</v>
      </c>
      <c r="B90" s="4" t="s">
        <v>2314</v>
      </c>
      <c r="C90" s="4" t="n">
        <f aca="false">COUNTIFS(Filas!$A$2:$A$648,$A90,Filas!$B$2:$B$648,$B90)</f>
        <v>1</v>
      </c>
      <c r="D90" s="4" t="n">
        <f aca="false">COUNTIFS(Filas!$A$2:$A$648,$A90,Filas!$B$2:$B$648,$B90,Filas!$N$2:$N$648,"mejora")</f>
        <v>0</v>
      </c>
      <c r="E90" s="4" t="n">
        <f aca="false">COUNTIFS(Filas!$A$2:$A$648,$A90,Filas!$B$2:$B$648,$B90,Filas!$N$2:$N$648,"sin cambio")</f>
        <v>0</v>
      </c>
      <c r="F90" s="4" t="n">
        <f aca="false">COUNTIFS(Filas!$A$2:$A$648,$A90,Filas!$B$2:$B$648,$B90,Filas!$N$2:$N$648,"empeora")</f>
        <v>1</v>
      </c>
      <c r="G90" s="4" t="n">
        <f aca="false">COUNTIFS(Filas!$A$2:$A$648,$A90,Filas!$B$2:$B$648,$B90,Filas!$N$2:$N$648,"mixto")</f>
        <v>0</v>
      </c>
      <c r="H90" s="4" t="n">
        <f aca="false">COUNTIFS(Filas!$A$2:$A$648,$A90,Filas!$B$2:$B$648,$B90,Filas!$S$2:$S$648,"cita encontrada*")+COUNTIFS(Filas!$A$2:$A$648,$A90,Filas!$B$2:$B$648,$B90,Filas!$S$2:$S$648,"página existe*")</f>
        <v>1</v>
      </c>
      <c r="I90" s="4" t="n">
        <f aca="false">COUNTIFS(Filas!$A$2:$A$648,$A90,Filas!$B$2:$B$648,$B90,Filas!$S$2:$S$648,"cita no encontrada*")+COUNTIFS(Filas!$A$2:$A$648,$A90,Filas!$B$2:$B$648,$B90,Filas!$S$2:$S$648,"página no accesible*")</f>
        <v>0</v>
      </c>
    </row>
    <row r="91" customFormat="false" ht="15" hidden="false" customHeight="false" outlineLevel="0" collapsed="false">
      <c r="A91" s="4" t="s">
        <v>1793</v>
      </c>
      <c r="B91" s="4" t="s">
        <v>2328</v>
      </c>
      <c r="C91" s="4" t="n">
        <f aca="false">COUNTIFS(Filas!$A$2:$A$648,$A91,Filas!$B$2:$B$648,$B91)</f>
        <v>1</v>
      </c>
      <c r="D91" s="4" t="n">
        <f aca="false">COUNTIFS(Filas!$A$2:$A$648,$A91,Filas!$B$2:$B$648,$B91,Filas!$N$2:$N$648,"mejora")</f>
        <v>1</v>
      </c>
      <c r="E91" s="4" t="n">
        <f aca="false">COUNTIFS(Filas!$A$2:$A$648,$A91,Filas!$B$2:$B$648,$B91,Filas!$N$2:$N$648,"sin cambio")</f>
        <v>0</v>
      </c>
      <c r="F91" s="4" t="n">
        <f aca="false">COUNTIFS(Filas!$A$2:$A$648,$A91,Filas!$B$2:$B$648,$B91,Filas!$N$2:$N$648,"empeora")</f>
        <v>0</v>
      </c>
      <c r="G91" s="4" t="n">
        <f aca="false">COUNTIFS(Filas!$A$2:$A$648,$A91,Filas!$B$2:$B$648,$B91,Filas!$N$2:$N$648,"mixto")</f>
        <v>0</v>
      </c>
      <c r="H91" s="4" t="n">
        <f aca="false">COUNTIFS(Filas!$A$2:$A$648,$A91,Filas!$B$2:$B$648,$B91,Filas!$S$2:$S$648,"cita encontrada*")+COUNTIFS(Filas!$A$2:$A$648,$A91,Filas!$B$2:$B$648,$B91,Filas!$S$2:$S$648,"página existe*")</f>
        <v>1</v>
      </c>
      <c r="I91" s="4" t="n">
        <f aca="false">COUNTIFS(Filas!$A$2:$A$648,$A91,Filas!$B$2:$B$648,$B91,Filas!$S$2:$S$648,"cita no encontrada*")+COUNTIFS(Filas!$A$2:$A$648,$A91,Filas!$B$2:$B$648,$B91,Filas!$S$2:$S$648,"página no accesible*")</f>
        <v>0</v>
      </c>
    </row>
    <row r="92" customFormat="false" ht="15" hidden="false" customHeight="false" outlineLevel="0" collapsed="false">
      <c r="A92" s="4" t="s">
        <v>1793</v>
      </c>
      <c r="B92" s="4" t="s">
        <v>2338</v>
      </c>
      <c r="C92" s="4" t="n">
        <f aca="false">COUNTIFS(Filas!$A$2:$A$648,$A92,Filas!$B$2:$B$648,$B92)</f>
        <v>1</v>
      </c>
      <c r="D92" s="4" t="n">
        <f aca="false">COUNTIFS(Filas!$A$2:$A$648,$A92,Filas!$B$2:$B$648,$B92,Filas!$N$2:$N$648,"mejora")</f>
        <v>0</v>
      </c>
      <c r="E92" s="4" t="n">
        <f aca="false">COUNTIFS(Filas!$A$2:$A$648,$A92,Filas!$B$2:$B$648,$B92,Filas!$N$2:$N$648,"sin cambio")</f>
        <v>0</v>
      </c>
      <c r="F92" s="4" t="n">
        <f aca="false">COUNTIFS(Filas!$A$2:$A$648,$A92,Filas!$B$2:$B$648,$B92,Filas!$N$2:$N$648,"empeora")</f>
        <v>0</v>
      </c>
      <c r="G92" s="4" t="n">
        <f aca="false">COUNTIFS(Filas!$A$2:$A$648,$A92,Filas!$B$2:$B$648,$B92,Filas!$N$2:$N$648,"mixto")</f>
        <v>0</v>
      </c>
      <c r="H92" s="4" t="n">
        <f aca="false">COUNTIFS(Filas!$A$2:$A$648,$A92,Filas!$B$2:$B$648,$B92,Filas!$S$2:$S$648,"cita encontrada*")+COUNTIFS(Filas!$A$2:$A$648,$A92,Filas!$B$2:$B$648,$B92,Filas!$S$2:$S$648,"página existe*")</f>
        <v>1</v>
      </c>
      <c r="I92" s="4" t="n">
        <f aca="false">COUNTIFS(Filas!$A$2:$A$648,$A92,Filas!$B$2:$B$648,$B92,Filas!$S$2:$S$648,"cita no encontrada*")+COUNTIFS(Filas!$A$2:$A$648,$A92,Filas!$B$2:$B$648,$B92,Filas!$S$2:$S$648,"página no accesible*")</f>
        <v>0</v>
      </c>
    </row>
    <row r="93" customFormat="false" ht="15" hidden="false" customHeight="false" outlineLevel="0" collapsed="false">
      <c r="A93" s="4" t="s">
        <v>2350</v>
      </c>
      <c r="B93" s="4" t="s">
        <v>2351</v>
      </c>
      <c r="C93" s="4" t="n">
        <f aca="false">COUNTIFS(Filas!$A$2:$A$648,$A93,Filas!$B$2:$B$648,$B93)</f>
        <v>2</v>
      </c>
      <c r="D93" s="4" t="n">
        <f aca="false">COUNTIFS(Filas!$A$2:$A$648,$A93,Filas!$B$2:$B$648,$B93,Filas!$N$2:$N$648,"mejora")</f>
        <v>2</v>
      </c>
      <c r="E93" s="4" t="n">
        <f aca="false">COUNTIFS(Filas!$A$2:$A$648,$A93,Filas!$B$2:$B$648,$B93,Filas!$N$2:$N$648,"sin cambio")</f>
        <v>0</v>
      </c>
      <c r="F93" s="4" t="n">
        <f aca="false">COUNTIFS(Filas!$A$2:$A$648,$A93,Filas!$B$2:$B$648,$B93,Filas!$N$2:$N$648,"empeora")</f>
        <v>0</v>
      </c>
      <c r="G93" s="4" t="n">
        <f aca="false">COUNTIFS(Filas!$A$2:$A$648,$A93,Filas!$B$2:$B$648,$B93,Filas!$N$2:$N$648,"mixto")</f>
        <v>0</v>
      </c>
      <c r="H93" s="4" t="n">
        <f aca="false">COUNTIFS(Filas!$A$2:$A$648,$A93,Filas!$B$2:$B$648,$B93,Filas!$S$2:$S$648,"cita encontrada*")+COUNTIFS(Filas!$A$2:$A$648,$A93,Filas!$B$2:$B$648,$B93,Filas!$S$2:$S$648,"página existe*")</f>
        <v>2</v>
      </c>
      <c r="I93" s="4" t="n">
        <f aca="false">COUNTIFS(Filas!$A$2:$A$648,$A93,Filas!$B$2:$B$648,$B93,Filas!$S$2:$S$648,"cita no encontrada*")+COUNTIFS(Filas!$A$2:$A$648,$A93,Filas!$B$2:$B$648,$B93,Filas!$S$2:$S$648,"página no accesible*")</f>
        <v>0</v>
      </c>
    </row>
    <row r="94" customFormat="false" ht="15" hidden="false" customHeight="false" outlineLevel="0" collapsed="false">
      <c r="A94" s="4" t="s">
        <v>2350</v>
      </c>
      <c r="B94" s="4" t="s">
        <v>2365</v>
      </c>
      <c r="C94" s="4" t="n">
        <f aca="false">COUNTIFS(Filas!$A$2:$A$648,$A94,Filas!$B$2:$B$648,$B94)</f>
        <v>6</v>
      </c>
      <c r="D94" s="4" t="n">
        <f aca="false">COUNTIFS(Filas!$A$2:$A$648,$A94,Filas!$B$2:$B$648,$B94,Filas!$N$2:$N$648,"mejora")</f>
        <v>3</v>
      </c>
      <c r="E94" s="4" t="n">
        <f aca="false">COUNTIFS(Filas!$A$2:$A$648,$A94,Filas!$B$2:$B$648,$B94,Filas!$N$2:$N$648,"sin cambio")</f>
        <v>0</v>
      </c>
      <c r="F94" s="4" t="n">
        <f aca="false">COUNTIFS(Filas!$A$2:$A$648,$A94,Filas!$B$2:$B$648,$B94,Filas!$N$2:$N$648,"empeora")</f>
        <v>0</v>
      </c>
      <c r="G94" s="4" t="n">
        <f aca="false">COUNTIFS(Filas!$A$2:$A$648,$A94,Filas!$B$2:$B$648,$B94,Filas!$N$2:$N$648,"mixto")</f>
        <v>2</v>
      </c>
      <c r="H94" s="4" t="n">
        <f aca="false">COUNTIFS(Filas!$A$2:$A$648,$A94,Filas!$B$2:$B$648,$B94,Filas!$S$2:$S$648,"cita encontrada*")+COUNTIFS(Filas!$A$2:$A$648,$A94,Filas!$B$2:$B$648,$B94,Filas!$S$2:$S$648,"página existe*")</f>
        <v>6</v>
      </c>
      <c r="I94" s="4" t="n">
        <f aca="false">COUNTIFS(Filas!$A$2:$A$648,$A94,Filas!$B$2:$B$648,$B94,Filas!$S$2:$S$648,"cita no encontrada*")+COUNTIFS(Filas!$A$2:$A$648,$A94,Filas!$B$2:$B$648,$B94,Filas!$S$2:$S$648,"página no accesible*")</f>
        <v>0</v>
      </c>
    </row>
    <row r="95" customFormat="false" ht="15" hidden="false" customHeight="false" outlineLevel="0" collapsed="false">
      <c r="A95" s="4" t="s">
        <v>2350</v>
      </c>
      <c r="B95" s="4" t="s">
        <v>2379</v>
      </c>
      <c r="C95" s="4" t="n">
        <f aca="false">COUNTIFS(Filas!$A$2:$A$648,$A95,Filas!$B$2:$B$648,$B95)</f>
        <v>10</v>
      </c>
      <c r="D95" s="4" t="n">
        <f aca="false">COUNTIFS(Filas!$A$2:$A$648,$A95,Filas!$B$2:$B$648,$B95,Filas!$N$2:$N$648,"mejora")</f>
        <v>7</v>
      </c>
      <c r="E95" s="4" t="n">
        <f aca="false">COUNTIFS(Filas!$A$2:$A$648,$A95,Filas!$B$2:$B$648,$B95,Filas!$N$2:$N$648,"sin cambio")</f>
        <v>1</v>
      </c>
      <c r="F95" s="4" t="n">
        <f aca="false">COUNTIFS(Filas!$A$2:$A$648,$A95,Filas!$B$2:$B$648,$B95,Filas!$N$2:$N$648,"empeora")</f>
        <v>0</v>
      </c>
      <c r="G95" s="4" t="n">
        <f aca="false">COUNTIFS(Filas!$A$2:$A$648,$A95,Filas!$B$2:$B$648,$B95,Filas!$N$2:$N$648,"mixto")</f>
        <v>0</v>
      </c>
      <c r="H95" s="4" t="n">
        <f aca="false">COUNTIFS(Filas!$A$2:$A$648,$A95,Filas!$B$2:$B$648,$B95,Filas!$S$2:$S$648,"cita encontrada*")+COUNTIFS(Filas!$A$2:$A$648,$A95,Filas!$B$2:$B$648,$B95,Filas!$S$2:$S$648,"página existe*")</f>
        <v>10</v>
      </c>
      <c r="I95" s="4" t="n">
        <f aca="false">COUNTIFS(Filas!$A$2:$A$648,$A95,Filas!$B$2:$B$648,$B95,Filas!$S$2:$S$648,"cita no encontrada*")+COUNTIFS(Filas!$A$2:$A$648,$A95,Filas!$B$2:$B$648,$B95,Filas!$S$2:$S$648,"página no accesible*")</f>
        <v>0</v>
      </c>
    </row>
    <row r="96" customFormat="false" ht="15" hidden="false" customHeight="false" outlineLevel="0" collapsed="false">
      <c r="A96" s="4" t="s">
        <v>2350</v>
      </c>
      <c r="B96" s="4" t="s">
        <v>2447</v>
      </c>
      <c r="C96" s="4" t="n">
        <f aca="false">COUNTIFS(Filas!$A$2:$A$648,$A96,Filas!$B$2:$B$648,$B96)</f>
        <v>4</v>
      </c>
      <c r="D96" s="4" t="n">
        <f aca="false">COUNTIFS(Filas!$A$2:$A$648,$A96,Filas!$B$2:$B$648,$B96,Filas!$N$2:$N$648,"mejora")</f>
        <v>2</v>
      </c>
      <c r="E96" s="4" t="n">
        <f aca="false">COUNTIFS(Filas!$A$2:$A$648,$A96,Filas!$B$2:$B$648,$B96,Filas!$N$2:$N$648,"sin cambio")</f>
        <v>0</v>
      </c>
      <c r="F96" s="4" t="n">
        <f aca="false">COUNTIFS(Filas!$A$2:$A$648,$A96,Filas!$B$2:$B$648,$B96,Filas!$N$2:$N$648,"empeora")</f>
        <v>0</v>
      </c>
      <c r="G96" s="4" t="n">
        <f aca="false">COUNTIFS(Filas!$A$2:$A$648,$A96,Filas!$B$2:$B$648,$B96,Filas!$N$2:$N$648,"mixto")</f>
        <v>1</v>
      </c>
      <c r="H96" s="4" t="n">
        <f aca="false">COUNTIFS(Filas!$A$2:$A$648,$A96,Filas!$B$2:$B$648,$B96,Filas!$S$2:$S$648,"cita encontrada*")+COUNTIFS(Filas!$A$2:$A$648,$A96,Filas!$B$2:$B$648,$B96,Filas!$S$2:$S$648,"página existe*")</f>
        <v>4</v>
      </c>
      <c r="I96" s="4" t="n">
        <f aca="false">COUNTIFS(Filas!$A$2:$A$648,$A96,Filas!$B$2:$B$648,$B96,Filas!$S$2:$S$648,"cita no encontrada*")+COUNTIFS(Filas!$A$2:$A$648,$A96,Filas!$B$2:$B$648,$B96,Filas!$S$2:$S$648,"página no accesible*")</f>
        <v>0</v>
      </c>
    </row>
    <row r="97" customFormat="false" ht="15" hidden="false" customHeight="false" outlineLevel="0" collapsed="false">
      <c r="A97" s="4" t="s">
        <v>2350</v>
      </c>
      <c r="B97" s="4" t="s">
        <v>2494</v>
      </c>
      <c r="C97" s="4" t="n">
        <f aca="false">COUNTIFS(Filas!$A$2:$A$648,$A97,Filas!$B$2:$B$648,$B97)</f>
        <v>1</v>
      </c>
      <c r="D97" s="4" t="n">
        <f aca="false">COUNTIFS(Filas!$A$2:$A$648,$A97,Filas!$B$2:$B$648,$B97,Filas!$N$2:$N$648,"mejora")</f>
        <v>1</v>
      </c>
      <c r="E97" s="4" t="n">
        <f aca="false">COUNTIFS(Filas!$A$2:$A$648,$A97,Filas!$B$2:$B$648,$B97,Filas!$N$2:$N$648,"sin cambio")</f>
        <v>0</v>
      </c>
      <c r="F97" s="4" t="n">
        <f aca="false">COUNTIFS(Filas!$A$2:$A$648,$A97,Filas!$B$2:$B$648,$B97,Filas!$N$2:$N$648,"empeora")</f>
        <v>0</v>
      </c>
      <c r="G97" s="4" t="n">
        <f aca="false">COUNTIFS(Filas!$A$2:$A$648,$A97,Filas!$B$2:$B$648,$B97,Filas!$N$2:$N$648,"mixto")</f>
        <v>0</v>
      </c>
      <c r="H97" s="4" t="n">
        <f aca="false">COUNTIFS(Filas!$A$2:$A$648,$A97,Filas!$B$2:$B$648,$B97,Filas!$S$2:$S$648,"cita encontrada*")+COUNTIFS(Filas!$A$2:$A$648,$A97,Filas!$B$2:$B$648,$B97,Filas!$S$2:$S$648,"página existe*")</f>
        <v>1</v>
      </c>
      <c r="I97" s="4" t="n">
        <f aca="false">COUNTIFS(Filas!$A$2:$A$648,$A97,Filas!$B$2:$B$648,$B97,Filas!$S$2:$S$648,"cita no encontrada*")+COUNTIFS(Filas!$A$2:$A$648,$A97,Filas!$B$2:$B$648,$B97,Filas!$S$2:$S$648,"página no accesible*")</f>
        <v>0</v>
      </c>
    </row>
    <row r="98" customFormat="false" ht="15" hidden="false" customHeight="false" outlineLevel="0" collapsed="false">
      <c r="A98" s="4" t="s">
        <v>2350</v>
      </c>
      <c r="B98" s="4" t="s">
        <v>2505</v>
      </c>
      <c r="C98" s="4" t="n">
        <f aca="false">COUNTIFS(Filas!$A$2:$A$648,$A98,Filas!$B$2:$B$648,$B98)</f>
        <v>3</v>
      </c>
      <c r="D98" s="4" t="n">
        <f aca="false">COUNTIFS(Filas!$A$2:$A$648,$A98,Filas!$B$2:$B$648,$B98,Filas!$N$2:$N$648,"mejora")</f>
        <v>2</v>
      </c>
      <c r="E98" s="4" t="n">
        <f aca="false">COUNTIFS(Filas!$A$2:$A$648,$A98,Filas!$B$2:$B$648,$B98,Filas!$N$2:$N$648,"sin cambio")</f>
        <v>0</v>
      </c>
      <c r="F98" s="4" t="n">
        <f aca="false">COUNTIFS(Filas!$A$2:$A$648,$A98,Filas!$B$2:$B$648,$B98,Filas!$N$2:$N$648,"empeora")</f>
        <v>0</v>
      </c>
      <c r="G98" s="4" t="n">
        <f aca="false">COUNTIFS(Filas!$A$2:$A$648,$A98,Filas!$B$2:$B$648,$B98,Filas!$N$2:$N$648,"mixto")</f>
        <v>0</v>
      </c>
      <c r="H98" s="4" t="n">
        <f aca="false">COUNTIFS(Filas!$A$2:$A$648,$A98,Filas!$B$2:$B$648,$B98,Filas!$S$2:$S$648,"cita encontrada*")+COUNTIFS(Filas!$A$2:$A$648,$A98,Filas!$B$2:$B$648,$B98,Filas!$S$2:$S$648,"página existe*")</f>
        <v>3</v>
      </c>
      <c r="I98" s="4" t="n">
        <f aca="false">COUNTIFS(Filas!$A$2:$A$648,$A98,Filas!$B$2:$B$648,$B98,Filas!$S$2:$S$648,"cita no encontrada*")+COUNTIFS(Filas!$A$2:$A$648,$A98,Filas!$B$2:$B$648,$B98,Filas!$S$2:$S$648,"página no accesible*")</f>
        <v>0</v>
      </c>
    </row>
    <row r="99" customFormat="false" ht="15" hidden="false" customHeight="false" outlineLevel="0" collapsed="false">
      <c r="A99" s="4" t="s">
        <v>2350</v>
      </c>
      <c r="B99" s="4" t="s">
        <v>2531</v>
      </c>
      <c r="C99" s="4" t="n">
        <f aca="false">COUNTIFS(Filas!$A$2:$A$648,$A99,Filas!$B$2:$B$648,$B99)</f>
        <v>1</v>
      </c>
      <c r="D99" s="4" t="n">
        <f aca="false">COUNTIFS(Filas!$A$2:$A$648,$A99,Filas!$B$2:$B$648,$B99,Filas!$N$2:$N$648,"mejora")</f>
        <v>1</v>
      </c>
      <c r="E99" s="4" t="n">
        <f aca="false">COUNTIFS(Filas!$A$2:$A$648,$A99,Filas!$B$2:$B$648,$B99,Filas!$N$2:$N$648,"sin cambio")</f>
        <v>0</v>
      </c>
      <c r="F99" s="4" t="n">
        <f aca="false">COUNTIFS(Filas!$A$2:$A$648,$A99,Filas!$B$2:$B$648,$B99,Filas!$N$2:$N$648,"empeora")</f>
        <v>0</v>
      </c>
      <c r="G99" s="4" t="n">
        <f aca="false">COUNTIFS(Filas!$A$2:$A$648,$A99,Filas!$B$2:$B$648,$B99,Filas!$N$2:$N$648,"mixto")</f>
        <v>0</v>
      </c>
      <c r="H99" s="4" t="n">
        <f aca="false">COUNTIFS(Filas!$A$2:$A$648,$A99,Filas!$B$2:$B$648,$B99,Filas!$S$2:$S$648,"cita encontrada*")+COUNTIFS(Filas!$A$2:$A$648,$A99,Filas!$B$2:$B$648,$B99,Filas!$S$2:$S$648,"página existe*")</f>
        <v>1</v>
      </c>
      <c r="I99" s="4" t="n">
        <f aca="false">COUNTIFS(Filas!$A$2:$A$648,$A99,Filas!$B$2:$B$648,$B99,Filas!$S$2:$S$648,"cita no encontrada*")+COUNTIFS(Filas!$A$2:$A$648,$A99,Filas!$B$2:$B$648,$B99,Filas!$S$2:$S$648,"página no accesible*")</f>
        <v>0</v>
      </c>
    </row>
    <row r="100" customFormat="false" ht="15" hidden="false" customHeight="false" outlineLevel="0" collapsed="false">
      <c r="A100" s="4" t="s">
        <v>2350</v>
      </c>
      <c r="B100" s="4" t="s">
        <v>2576</v>
      </c>
      <c r="C100" s="4" t="n">
        <f aca="false">COUNTIFS(Filas!$A$2:$A$648,$A100,Filas!$B$2:$B$648,$B100)</f>
        <v>1</v>
      </c>
      <c r="D100" s="4" t="n">
        <f aca="false">COUNTIFS(Filas!$A$2:$A$648,$A100,Filas!$B$2:$B$648,$B100,Filas!$N$2:$N$648,"mejora")</f>
        <v>1</v>
      </c>
      <c r="E100" s="4" t="n">
        <f aca="false">COUNTIFS(Filas!$A$2:$A$648,$A100,Filas!$B$2:$B$648,$B100,Filas!$N$2:$N$648,"sin cambio")</f>
        <v>0</v>
      </c>
      <c r="F100" s="4" t="n">
        <f aca="false">COUNTIFS(Filas!$A$2:$A$648,$A100,Filas!$B$2:$B$648,$B100,Filas!$N$2:$N$648,"empeora")</f>
        <v>0</v>
      </c>
      <c r="G100" s="4" t="n">
        <f aca="false">COUNTIFS(Filas!$A$2:$A$648,$A100,Filas!$B$2:$B$648,$B100,Filas!$N$2:$N$648,"mixto")</f>
        <v>0</v>
      </c>
      <c r="H100" s="4" t="n">
        <f aca="false">COUNTIFS(Filas!$A$2:$A$648,$A100,Filas!$B$2:$B$648,$B100,Filas!$S$2:$S$648,"cita encontrada*")+COUNTIFS(Filas!$A$2:$A$648,$A100,Filas!$B$2:$B$648,$B100,Filas!$S$2:$S$648,"página existe*")</f>
        <v>1</v>
      </c>
      <c r="I100" s="4" t="n">
        <f aca="false">COUNTIFS(Filas!$A$2:$A$648,$A100,Filas!$B$2:$B$648,$B100,Filas!$S$2:$S$648,"cita no encontrada*")+COUNTIFS(Filas!$A$2:$A$648,$A100,Filas!$B$2:$B$648,$B100,Filas!$S$2:$S$648,"página no accesible*")</f>
        <v>0</v>
      </c>
    </row>
    <row r="101" customFormat="false" ht="15" hidden="false" customHeight="false" outlineLevel="0" collapsed="false">
      <c r="A101" s="4" t="s">
        <v>2350</v>
      </c>
      <c r="B101" s="4" t="s">
        <v>2600</v>
      </c>
      <c r="C101" s="4" t="n">
        <f aca="false">COUNTIFS(Filas!$A$2:$A$648,$A101,Filas!$B$2:$B$648,$B101)</f>
        <v>5</v>
      </c>
      <c r="D101" s="4" t="n">
        <f aca="false">COUNTIFS(Filas!$A$2:$A$648,$A101,Filas!$B$2:$B$648,$B101,Filas!$N$2:$N$648,"mejora")</f>
        <v>2</v>
      </c>
      <c r="E101" s="4" t="n">
        <f aca="false">COUNTIFS(Filas!$A$2:$A$648,$A101,Filas!$B$2:$B$648,$B101,Filas!$N$2:$N$648,"sin cambio")</f>
        <v>2</v>
      </c>
      <c r="F101" s="4" t="n">
        <f aca="false">COUNTIFS(Filas!$A$2:$A$648,$A101,Filas!$B$2:$B$648,$B101,Filas!$N$2:$N$648,"empeora")</f>
        <v>0</v>
      </c>
      <c r="G101" s="4" t="n">
        <f aca="false">COUNTIFS(Filas!$A$2:$A$648,$A101,Filas!$B$2:$B$648,$B101,Filas!$N$2:$N$648,"mixto")</f>
        <v>1</v>
      </c>
      <c r="H101" s="4" t="n">
        <f aca="false">COUNTIFS(Filas!$A$2:$A$648,$A101,Filas!$B$2:$B$648,$B101,Filas!$S$2:$S$648,"cita encontrada*")+COUNTIFS(Filas!$A$2:$A$648,$A101,Filas!$B$2:$B$648,$B101,Filas!$S$2:$S$648,"página existe*")</f>
        <v>5</v>
      </c>
      <c r="I101" s="4" t="n">
        <f aca="false">COUNTIFS(Filas!$A$2:$A$648,$A101,Filas!$B$2:$B$648,$B101,Filas!$S$2:$S$648,"cita no encontrada*")+COUNTIFS(Filas!$A$2:$A$648,$A101,Filas!$B$2:$B$648,$B101,Filas!$S$2:$S$648,"página no accesible*")</f>
        <v>0</v>
      </c>
    </row>
    <row r="102" customFormat="false" ht="15" hidden="false" customHeight="false" outlineLevel="0" collapsed="false">
      <c r="A102" s="4" t="s">
        <v>2350</v>
      </c>
      <c r="B102" s="4" t="s">
        <v>2664</v>
      </c>
      <c r="C102" s="4" t="n">
        <f aca="false">COUNTIFS(Filas!$A$2:$A$648,$A102,Filas!$B$2:$B$648,$B102)</f>
        <v>2</v>
      </c>
      <c r="D102" s="4" t="n">
        <f aca="false">COUNTIFS(Filas!$A$2:$A$648,$A102,Filas!$B$2:$B$648,$B102,Filas!$N$2:$N$648,"mejora")</f>
        <v>1</v>
      </c>
      <c r="E102" s="4" t="n">
        <f aca="false">COUNTIFS(Filas!$A$2:$A$648,$A102,Filas!$B$2:$B$648,$B102,Filas!$N$2:$N$648,"sin cambio")</f>
        <v>0</v>
      </c>
      <c r="F102" s="4" t="n">
        <f aca="false">COUNTIFS(Filas!$A$2:$A$648,$A102,Filas!$B$2:$B$648,$B102,Filas!$N$2:$N$648,"empeora")</f>
        <v>0</v>
      </c>
      <c r="G102" s="4" t="n">
        <f aca="false">COUNTIFS(Filas!$A$2:$A$648,$A102,Filas!$B$2:$B$648,$B102,Filas!$N$2:$N$648,"mixto")</f>
        <v>1</v>
      </c>
      <c r="H102" s="4" t="n">
        <f aca="false">COUNTIFS(Filas!$A$2:$A$648,$A102,Filas!$B$2:$B$648,$B102,Filas!$S$2:$S$648,"cita encontrada*")+COUNTIFS(Filas!$A$2:$A$648,$A102,Filas!$B$2:$B$648,$B102,Filas!$S$2:$S$648,"página existe*")</f>
        <v>2</v>
      </c>
      <c r="I102" s="4" t="n">
        <f aca="false">COUNTIFS(Filas!$A$2:$A$648,$A102,Filas!$B$2:$B$648,$B102,Filas!$S$2:$S$648,"cita no encontrada*")+COUNTIFS(Filas!$A$2:$A$648,$A102,Filas!$B$2:$B$648,$B102,Filas!$S$2:$S$648,"página no accesible*")</f>
        <v>0</v>
      </c>
    </row>
    <row r="103" customFormat="false" ht="15" hidden="false" customHeight="false" outlineLevel="0" collapsed="false">
      <c r="A103" s="4" t="s">
        <v>2350</v>
      </c>
      <c r="B103" s="4" t="s">
        <v>2689</v>
      </c>
      <c r="C103" s="4" t="n">
        <f aca="false">COUNTIFS(Filas!$A$2:$A$648,$A103,Filas!$B$2:$B$648,$B103)</f>
        <v>2</v>
      </c>
      <c r="D103" s="4" t="n">
        <f aca="false">COUNTIFS(Filas!$A$2:$A$648,$A103,Filas!$B$2:$B$648,$B103,Filas!$N$2:$N$648,"mejora")</f>
        <v>0</v>
      </c>
      <c r="E103" s="4" t="n">
        <f aca="false">COUNTIFS(Filas!$A$2:$A$648,$A103,Filas!$B$2:$B$648,$B103,Filas!$N$2:$N$648,"sin cambio")</f>
        <v>0</v>
      </c>
      <c r="F103" s="4" t="n">
        <f aca="false">COUNTIFS(Filas!$A$2:$A$648,$A103,Filas!$B$2:$B$648,$B103,Filas!$N$2:$N$648,"empeora")</f>
        <v>0</v>
      </c>
      <c r="G103" s="4" t="n">
        <f aca="false">COUNTIFS(Filas!$A$2:$A$648,$A103,Filas!$B$2:$B$648,$B103,Filas!$N$2:$N$648,"mixto")</f>
        <v>2</v>
      </c>
      <c r="H103" s="4" t="n">
        <f aca="false">COUNTIFS(Filas!$A$2:$A$648,$A103,Filas!$B$2:$B$648,$B103,Filas!$S$2:$S$648,"cita encontrada*")+COUNTIFS(Filas!$A$2:$A$648,$A103,Filas!$B$2:$B$648,$B103,Filas!$S$2:$S$648,"página existe*")</f>
        <v>2</v>
      </c>
      <c r="I103" s="4" t="n">
        <f aca="false">COUNTIFS(Filas!$A$2:$A$648,$A103,Filas!$B$2:$B$648,$B103,Filas!$S$2:$S$648,"cita no encontrada*")+COUNTIFS(Filas!$A$2:$A$648,$A103,Filas!$B$2:$B$648,$B103,Filas!$S$2:$S$648,"página no accesible*")</f>
        <v>0</v>
      </c>
    </row>
    <row r="104" customFormat="false" ht="15" hidden="false" customHeight="false" outlineLevel="0" collapsed="false">
      <c r="A104" s="4" t="s">
        <v>2350</v>
      </c>
      <c r="B104" s="4" t="s">
        <v>2713</v>
      </c>
      <c r="C104" s="4" t="n">
        <f aca="false">COUNTIFS(Filas!$A$2:$A$648,$A104,Filas!$B$2:$B$648,$B104)</f>
        <v>1</v>
      </c>
      <c r="D104" s="4" t="n">
        <f aca="false">COUNTIFS(Filas!$A$2:$A$648,$A104,Filas!$B$2:$B$648,$B104,Filas!$N$2:$N$648,"mejora")</f>
        <v>0</v>
      </c>
      <c r="E104" s="4" t="n">
        <f aca="false">COUNTIFS(Filas!$A$2:$A$648,$A104,Filas!$B$2:$B$648,$B104,Filas!$N$2:$N$648,"sin cambio")</f>
        <v>1</v>
      </c>
      <c r="F104" s="4" t="n">
        <f aca="false">COUNTIFS(Filas!$A$2:$A$648,$A104,Filas!$B$2:$B$648,$B104,Filas!$N$2:$N$648,"empeora")</f>
        <v>0</v>
      </c>
      <c r="G104" s="4" t="n">
        <f aca="false">COUNTIFS(Filas!$A$2:$A$648,$A104,Filas!$B$2:$B$648,$B104,Filas!$N$2:$N$648,"mixto")</f>
        <v>0</v>
      </c>
      <c r="H104" s="4" t="n">
        <f aca="false">COUNTIFS(Filas!$A$2:$A$648,$A104,Filas!$B$2:$B$648,$B104,Filas!$S$2:$S$648,"cita encontrada*")+COUNTIFS(Filas!$A$2:$A$648,$A104,Filas!$B$2:$B$648,$B104,Filas!$S$2:$S$648,"página existe*")</f>
        <v>1</v>
      </c>
      <c r="I104" s="4" t="n">
        <f aca="false">COUNTIFS(Filas!$A$2:$A$648,$A104,Filas!$B$2:$B$648,$B104,Filas!$S$2:$S$648,"cita no encontrada*")+COUNTIFS(Filas!$A$2:$A$648,$A104,Filas!$B$2:$B$648,$B104,Filas!$S$2:$S$648,"página no accesible*")</f>
        <v>0</v>
      </c>
    </row>
    <row r="105" customFormat="false" ht="15" hidden="false" customHeight="false" outlineLevel="0" collapsed="false">
      <c r="A105" s="4" t="s">
        <v>2350</v>
      </c>
      <c r="B105" s="4" t="s">
        <v>2728</v>
      </c>
      <c r="C105" s="4" t="n">
        <f aca="false">COUNTIFS(Filas!$A$2:$A$648,$A105,Filas!$B$2:$B$648,$B105)</f>
        <v>1</v>
      </c>
      <c r="D105" s="4" t="n">
        <f aca="false">COUNTIFS(Filas!$A$2:$A$648,$A105,Filas!$B$2:$B$648,$B105,Filas!$N$2:$N$648,"mejora")</f>
        <v>0</v>
      </c>
      <c r="E105" s="4" t="n">
        <f aca="false">COUNTIFS(Filas!$A$2:$A$648,$A105,Filas!$B$2:$B$648,$B105,Filas!$N$2:$N$648,"sin cambio")</f>
        <v>0</v>
      </c>
      <c r="F105" s="4" t="n">
        <f aca="false">COUNTIFS(Filas!$A$2:$A$648,$A105,Filas!$B$2:$B$648,$B105,Filas!$N$2:$N$648,"empeora")</f>
        <v>0</v>
      </c>
      <c r="G105" s="4" t="n">
        <f aca="false">COUNTIFS(Filas!$A$2:$A$648,$A105,Filas!$B$2:$B$648,$B105,Filas!$N$2:$N$648,"mixto")</f>
        <v>1</v>
      </c>
      <c r="H105" s="4" t="n">
        <f aca="false">COUNTIFS(Filas!$A$2:$A$648,$A105,Filas!$B$2:$B$648,$B105,Filas!$S$2:$S$648,"cita encontrada*")+COUNTIFS(Filas!$A$2:$A$648,$A105,Filas!$B$2:$B$648,$B105,Filas!$S$2:$S$648,"página existe*")</f>
        <v>1</v>
      </c>
      <c r="I105" s="4" t="n">
        <f aca="false">COUNTIFS(Filas!$A$2:$A$648,$A105,Filas!$B$2:$B$648,$B105,Filas!$S$2:$S$648,"cita no encontrada*")+COUNTIFS(Filas!$A$2:$A$648,$A105,Filas!$B$2:$B$648,$B105,Filas!$S$2:$S$648,"página no accesible*")</f>
        <v>0</v>
      </c>
    </row>
    <row r="106" customFormat="false" ht="15" hidden="false" customHeight="false" outlineLevel="0" collapsed="false">
      <c r="A106" s="4" t="s">
        <v>2350</v>
      </c>
      <c r="B106" s="4" t="s">
        <v>2740</v>
      </c>
      <c r="C106" s="4" t="n">
        <f aca="false">COUNTIFS(Filas!$A$2:$A$648,$A106,Filas!$B$2:$B$648,$B106)</f>
        <v>2</v>
      </c>
      <c r="D106" s="4" t="n">
        <f aca="false">COUNTIFS(Filas!$A$2:$A$648,$A106,Filas!$B$2:$B$648,$B106,Filas!$N$2:$N$648,"mejora")</f>
        <v>2</v>
      </c>
      <c r="E106" s="4" t="n">
        <f aca="false">COUNTIFS(Filas!$A$2:$A$648,$A106,Filas!$B$2:$B$648,$B106,Filas!$N$2:$N$648,"sin cambio")</f>
        <v>0</v>
      </c>
      <c r="F106" s="4" t="n">
        <f aca="false">COUNTIFS(Filas!$A$2:$A$648,$A106,Filas!$B$2:$B$648,$B106,Filas!$N$2:$N$648,"empeora")</f>
        <v>0</v>
      </c>
      <c r="G106" s="4" t="n">
        <f aca="false">COUNTIFS(Filas!$A$2:$A$648,$A106,Filas!$B$2:$B$648,$B106,Filas!$N$2:$N$648,"mixto")</f>
        <v>0</v>
      </c>
      <c r="H106" s="4" t="n">
        <f aca="false">COUNTIFS(Filas!$A$2:$A$648,$A106,Filas!$B$2:$B$648,$B106,Filas!$S$2:$S$648,"cita encontrada*")+COUNTIFS(Filas!$A$2:$A$648,$A106,Filas!$B$2:$B$648,$B106,Filas!$S$2:$S$648,"página existe*")</f>
        <v>2</v>
      </c>
      <c r="I106" s="4" t="n">
        <f aca="false">COUNTIFS(Filas!$A$2:$A$648,$A106,Filas!$B$2:$B$648,$B106,Filas!$S$2:$S$648,"cita no encontrada*")+COUNTIFS(Filas!$A$2:$A$648,$A106,Filas!$B$2:$B$648,$B106,Filas!$S$2:$S$648,"página no accesible*")</f>
        <v>0</v>
      </c>
    </row>
    <row r="107" customFormat="false" ht="15" hidden="false" customHeight="false" outlineLevel="0" collapsed="false">
      <c r="A107" s="4" t="s">
        <v>2350</v>
      </c>
      <c r="B107" s="4" t="s">
        <v>2762</v>
      </c>
      <c r="C107" s="4" t="n">
        <f aca="false">COUNTIFS(Filas!$A$2:$A$648,$A107,Filas!$B$2:$B$648,$B107)</f>
        <v>1</v>
      </c>
      <c r="D107" s="4" t="n">
        <f aca="false">COUNTIFS(Filas!$A$2:$A$648,$A107,Filas!$B$2:$B$648,$B107,Filas!$N$2:$N$648,"mejora")</f>
        <v>1</v>
      </c>
      <c r="E107" s="4" t="n">
        <f aca="false">COUNTIFS(Filas!$A$2:$A$648,$A107,Filas!$B$2:$B$648,$B107,Filas!$N$2:$N$648,"sin cambio")</f>
        <v>0</v>
      </c>
      <c r="F107" s="4" t="n">
        <f aca="false">COUNTIFS(Filas!$A$2:$A$648,$A107,Filas!$B$2:$B$648,$B107,Filas!$N$2:$N$648,"empeora")</f>
        <v>0</v>
      </c>
      <c r="G107" s="4" t="n">
        <f aca="false">COUNTIFS(Filas!$A$2:$A$648,$A107,Filas!$B$2:$B$648,$B107,Filas!$N$2:$N$648,"mixto")</f>
        <v>0</v>
      </c>
      <c r="H107" s="4" t="n">
        <f aca="false">COUNTIFS(Filas!$A$2:$A$648,$A107,Filas!$B$2:$B$648,$B107,Filas!$S$2:$S$648,"cita encontrada*")+COUNTIFS(Filas!$A$2:$A$648,$A107,Filas!$B$2:$B$648,$B107,Filas!$S$2:$S$648,"página existe*")</f>
        <v>1</v>
      </c>
      <c r="I107" s="4" t="n">
        <f aca="false">COUNTIFS(Filas!$A$2:$A$648,$A107,Filas!$B$2:$B$648,$B107,Filas!$S$2:$S$648,"cita no encontrada*")+COUNTIFS(Filas!$A$2:$A$648,$A107,Filas!$B$2:$B$648,$B107,Filas!$S$2:$S$648,"página no accesible*")</f>
        <v>0</v>
      </c>
    </row>
    <row r="108" customFormat="false" ht="15" hidden="false" customHeight="false" outlineLevel="0" collapsed="false">
      <c r="A108" s="4" t="s">
        <v>2350</v>
      </c>
      <c r="B108" s="4" t="s">
        <v>2810</v>
      </c>
      <c r="C108" s="4" t="n">
        <f aca="false">COUNTIFS(Filas!$A$2:$A$648,$A108,Filas!$B$2:$B$648,$B108)</f>
        <v>2</v>
      </c>
      <c r="D108" s="4" t="n">
        <f aca="false">COUNTIFS(Filas!$A$2:$A$648,$A108,Filas!$B$2:$B$648,$B108,Filas!$N$2:$N$648,"mejora")</f>
        <v>2</v>
      </c>
      <c r="E108" s="4" t="n">
        <f aca="false">COUNTIFS(Filas!$A$2:$A$648,$A108,Filas!$B$2:$B$648,$B108,Filas!$N$2:$N$648,"sin cambio")</f>
        <v>0</v>
      </c>
      <c r="F108" s="4" t="n">
        <f aca="false">COUNTIFS(Filas!$A$2:$A$648,$A108,Filas!$B$2:$B$648,$B108,Filas!$N$2:$N$648,"empeora")</f>
        <v>0</v>
      </c>
      <c r="G108" s="4" t="n">
        <f aca="false">COUNTIFS(Filas!$A$2:$A$648,$A108,Filas!$B$2:$B$648,$B108,Filas!$N$2:$N$648,"mixto")</f>
        <v>0</v>
      </c>
      <c r="H108" s="4" t="n">
        <f aca="false">COUNTIFS(Filas!$A$2:$A$648,$A108,Filas!$B$2:$B$648,$B108,Filas!$S$2:$S$648,"cita encontrada*")+COUNTIFS(Filas!$A$2:$A$648,$A108,Filas!$B$2:$B$648,$B108,Filas!$S$2:$S$648,"página existe*")</f>
        <v>2</v>
      </c>
      <c r="I108" s="4" t="n">
        <f aca="false">COUNTIFS(Filas!$A$2:$A$648,$A108,Filas!$B$2:$B$648,$B108,Filas!$S$2:$S$648,"cita no encontrada*")+COUNTIFS(Filas!$A$2:$A$648,$A108,Filas!$B$2:$B$648,$B108,Filas!$S$2:$S$648,"página no accesible*")</f>
        <v>0</v>
      </c>
    </row>
    <row r="109" customFormat="false" ht="15" hidden="false" customHeight="false" outlineLevel="0" collapsed="false">
      <c r="A109" s="4" t="s">
        <v>2350</v>
      </c>
      <c r="B109" s="4" t="s">
        <v>2832</v>
      </c>
      <c r="C109" s="4" t="n">
        <f aca="false">COUNTIFS(Filas!$A$2:$A$648,$A109,Filas!$B$2:$B$648,$B109)</f>
        <v>1</v>
      </c>
      <c r="D109" s="4" t="n">
        <f aca="false">COUNTIFS(Filas!$A$2:$A$648,$A109,Filas!$B$2:$B$648,$B109,Filas!$N$2:$N$648,"mejora")</f>
        <v>1</v>
      </c>
      <c r="E109" s="4" t="n">
        <f aca="false">COUNTIFS(Filas!$A$2:$A$648,$A109,Filas!$B$2:$B$648,$B109,Filas!$N$2:$N$648,"sin cambio")</f>
        <v>0</v>
      </c>
      <c r="F109" s="4" t="n">
        <f aca="false">COUNTIFS(Filas!$A$2:$A$648,$A109,Filas!$B$2:$B$648,$B109,Filas!$N$2:$N$648,"empeora")</f>
        <v>0</v>
      </c>
      <c r="G109" s="4" t="n">
        <f aca="false">COUNTIFS(Filas!$A$2:$A$648,$A109,Filas!$B$2:$B$648,$B109,Filas!$N$2:$N$648,"mixto")</f>
        <v>0</v>
      </c>
      <c r="H109" s="4" t="n">
        <f aca="false">COUNTIFS(Filas!$A$2:$A$648,$A109,Filas!$B$2:$B$648,$B109,Filas!$S$2:$S$648,"cita encontrada*")+COUNTIFS(Filas!$A$2:$A$648,$A109,Filas!$B$2:$B$648,$B109,Filas!$S$2:$S$648,"página existe*")</f>
        <v>1</v>
      </c>
      <c r="I109" s="4" t="n">
        <f aca="false">COUNTIFS(Filas!$A$2:$A$648,$A109,Filas!$B$2:$B$648,$B109,Filas!$S$2:$S$648,"cita no encontrada*")+COUNTIFS(Filas!$A$2:$A$648,$A109,Filas!$B$2:$B$648,$B109,Filas!$S$2:$S$648,"página no accesible*")</f>
        <v>0</v>
      </c>
    </row>
    <row r="110" customFormat="false" ht="15" hidden="false" customHeight="false" outlineLevel="0" collapsed="false">
      <c r="A110" s="4" t="s">
        <v>2900</v>
      </c>
      <c r="B110" s="4" t="s">
        <v>2901</v>
      </c>
      <c r="C110" s="4" t="n">
        <f aca="false">COUNTIFS(Filas!$A$2:$A$648,$A110,Filas!$B$2:$B$648,$B110)</f>
        <v>9</v>
      </c>
      <c r="D110" s="4" t="n">
        <f aca="false">COUNTIFS(Filas!$A$2:$A$648,$A110,Filas!$B$2:$B$648,$B110,Filas!$N$2:$N$648,"mejora")</f>
        <v>7</v>
      </c>
      <c r="E110" s="4" t="n">
        <f aca="false">COUNTIFS(Filas!$A$2:$A$648,$A110,Filas!$B$2:$B$648,$B110,Filas!$N$2:$N$648,"sin cambio")</f>
        <v>0</v>
      </c>
      <c r="F110" s="4" t="n">
        <f aca="false">COUNTIFS(Filas!$A$2:$A$648,$A110,Filas!$B$2:$B$648,$B110,Filas!$N$2:$N$648,"empeora")</f>
        <v>0</v>
      </c>
      <c r="G110" s="4" t="n">
        <f aca="false">COUNTIFS(Filas!$A$2:$A$648,$A110,Filas!$B$2:$B$648,$B110,Filas!$N$2:$N$648,"mixto")</f>
        <v>1</v>
      </c>
      <c r="H110" s="4" t="n">
        <f aca="false">COUNTIFS(Filas!$A$2:$A$648,$A110,Filas!$B$2:$B$648,$B110,Filas!$S$2:$S$648,"cita encontrada*")+COUNTIFS(Filas!$A$2:$A$648,$A110,Filas!$B$2:$B$648,$B110,Filas!$S$2:$S$648,"página existe*")</f>
        <v>9</v>
      </c>
      <c r="I110" s="4" t="n">
        <f aca="false">COUNTIFS(Filas!$A$2:$A$648,$A110,Filas!$B$2:$B$648,$B110,Filas!$S$2:$S$648,"cita no encontrada*")+COUNTIFS(Filas!$A$2:$A$648,$A110,Filas!$B$2:$B$648,$B110,Filas!$S$2:$S$648,"página no accesible*")</f>
        <v>0</v>
      </c>
    </row>
    <row r="111" customFormat="false" ht="15" hidden="false" customHeight="false" outlineLevel="0" collapsed="false">
      <c r="A111" s="4" t="s">
        <v>2900</v>
      </c>
      <c r="B111" s="4" t="s">
        <v>2985</v>
      </c>
      <c r="C111" s="4" t="n">
        <f aca="false">COUNTIFS(Filas!$A$2:$A$648,$A111,Filas!$B$2:$B$648,$B111)</f>
        <v>1</v>
      </c>
      <c r="D111" s="4" t="n">
        <f aca="false">COUNTIFS(Filas!$A$2:$A$648,$A111,Filas!$B$2:$B$648,$B111,Filas!$N$2:$N$648,"mejora")</f>
        <v>1</v>
      </c>
      <c r="E111" s="4" t="n">
        <f aca="false">COUNTIFS(Filas!$A$2:$A$648,$A111,Filas!$B$2:$B$648,$B111,Filas!$N$2:$N$648,"sin cambio")</f>
        <v>0</v>
      </c>
      <c r="F111" s="4" t="n">
        <f aca="false">COUNTIFS(Filas!$A$2:$A$648,$A111,Filas!$B$2:$B$648,$B111,Filas!$N$2:$N$648,"empeora")</f>
        <v>0</v>
      </c>
      <c r="G111" s="4" t="n">
        <f aca="false">COUNTIFS(Filas!$A$2:$A$648,$A111,Filas!$B$2:$B$648,$B111,Filas!$N$2:$N$648,"mixto")</f>
        <v>0</v>
      </c>
      <c r="H111" s="4" t="n">
        <f aca="false">COUNTIFS(Filas!$A$2:$A$648,$A111,Filas!$B$2:$B$648,$B111,Filas!$S$2:$S$648,"cita encontrada*")+COUNTIFS(Filas!$A$2:$A$648,$A111,Filas!$B$2:$B$648,$B111,Filas!$S$2:$S$648,"página existe*")</f>
        <v>1</v>
      </c>
      <c r="I111" s="4" t="n">
        <f aca="false">COUNTIFS(Filas!$A$2:$A$648,$A111,Filas!$B$2:$B$648,$B111,Filas!$S$2:$S$648,"cita no encontrada*")+COUNTIFS(Filas!$A$2:$A$648,$A111,Filas!$B$2:$B$648,$B111,Filas!$S$2:$S$648,"página no accesible*")</f>
        <v>0</v>
      </c>
    </row>
    <row r="112" customFormat="false" ht="15" hidden="false" customHeight="false" outlineLevel="0" collapsed="false">
      <c r="A112" s="4" t="s">
        <v>2900</v>
      </c>
      <c r="B112" s="4" t="s">
        <v>3027</v>
      </c>
      <c r="C112" s="4" t="n">
        <f aca="false">COUNTIFS(Filas!$A$2:$A$648,$A112,Filas!$B$2:$B$648,$B112)</f>
        <v>3</v>
      </c>
      <c r="D112" s="4" t="n">
        <f aca="false">COUNTIFS(Filas!$A$2:$A$648,$A112,Filas!$B$2:$B$648,$B112,Filas!$N$2:$N$648,"mejora")</f>
        <v>2</v>
      </c>
      <c r="E112" s="4" t="n">
        <f aca="false">COUNTIFS(Filas!$A$2:$A$648,$A112,Filas!$B$2:$B$648,$B112,Filas!$N$2:$N$648,"sin cambio")</f>
        <v>0</v>
      </c>
      <c r="F112" s="4" t="n">
        <f aca="false">COUNTIFS(Filas!$A$2:$A$648,$A112,Filas!$B$2:$B$648,$B112,Filas!$N$2:$N$648,"empeora")</f>
        <v>0</v>
      </c>
      <c r="G112" s="4" t="n">
        <f aca="false">COUNTIFS(Filas!$A$2:$A$648,$A112,Filas!$B$2:$B$648,$B112,Filas!$N$2:$N$648,"mixto")</f>
        <v>1</v>
      </c>
      <c r="H112" s="4" t="n">
        <f aca="false">COUNTIFS(Filas!$A$2:$A$648,$A112,Filas!$B$2:$B$648,$B112,Filas!$S$2:$S$648,"cita encontrada*")+COUNTIFS(Filas!$A$2:$A$648,$A112,Filas!$B$2:$B$648,$B112,Filas!$S$2:$S$648,"página existe*")</f>
        <v>3</v>
      </c>
      <c r="I112" s="4" t="n">
        <f aca="false">COUNTIFS(Filas!$A$2:$A$648,$A112,Filas!$B$2:$B$648,$B112,Filas!$S$2:$S$648,"cita no encontrada*")+COUNTIFS(Filas!$A$2:$A$648,$A112,Filas!$B$2:$B$648,$B112,Filas!$S$2:$S$648,"página no accesible*")</f>
        <v>0</v>
      </c>
    </row>
    <row r="113" customFormat="false" ht="15" hidden="false" customHeight="false" outlineLevel="0" collapsed="false">
      <c r="A113" s="4" t="s">
        <v>2900</v>
      </c>
      <c r="B113" s="4" t="s">
        <v>2531</v>
      </c>
      <c r="C113" s="4" t="n">
        <f aca="false">COUNTIFS(Filas!$A$2:$A$648,$A113,Filas!$B$2:$B$648,$B113)</f>
        <v>9</v>
      </c>
      <c r="D113" s="4" t="n">
        <f aca="false">COUNTIFS(Filas!$A$2:$A$648,$A113,Filas!$B$2:$B$648,$B113,Filas!$N$2:$N$648,"mejora")</f>
        <v>4</v>
      </c>
      <c r="E113" s="4" t="n">
        <f aca="false">COUNTIFS(Filas!$A$2:$A$648,$A113,Filas!$B$2:$B$648,$B113,Filas!$N$2:$N$648,"sin cambio")</f>
        <v>0</v>
      </c>
      <c r="F113" s="4" t="n">
        <f aca="false">COUNTIFS(Filas!$A$2:$A$648,$A113,Filas!$B$2:$B$648,$B113,Filas!$N$2:$N$648,"empeora")</f>
        <v>0</v>
      </c>
      <c r="G113" s="4" t="n">
        <f aca="false">COUNTIFS(Filas!$A$2:$A$648,$A113,Filas!$B$2:$B$648,$B113,Filas!$N$2:$N$648,"mixto")</f>
        <v>3</v>
      </c>
      <c r="H113" s="4" t="n">
        <f aca="false">COUNTIFS(Filas!$A$2:$A$648,$A113,Filas!$B$2:$B$648,$B113,Filas!$S$2:$S$648,"cita encontrada*")+COUNTIFS(Filas!$A$2:$A$648,$A113,Filas!$B$2:$B$648,$B113,Filas!$S$2:$S$648,"página existe*")</f>
        <v>8</v>
      </c>
      <c r="I113" s="4" t="n">
        <f aca="false">COUNTIFS(Filas!$A$2:$A$648,$A113,Filas!$B$2:$B$648,$B113,Filas!$S$2:$S$648,"cita no encontrada*")+COUNTIFS(Filas!$A$2:$A$648,$A113,Filas!$B$2:$B$648,$B113,Filas!$S$2:$S$648,"página no accesible*")</f>
        <v>1</v>
      </c>
    </row>
    <row r="114" customFormat="false" ht="15" hidden="false" customHeight="false" outlineLevel="0" collapsed="false">
      <c r="A114" s="4" t="s">
        <v>2900</v>
      </c>
      <c r="B114" s="4" t="s">
        <v>3165</v>
      </c>
      <c r="C114" s="4" t="n">
        <f aca="false">COUNTIFS(Filas!$A$2:$A$648,$A114,Filas!$B$2:$B$648,$B114)</f>
        <v>7</v>
      </c>
      <c r="D114" s="4" t="n">
        <f aca="false">COUNTIFS(Filas!$A$2:$A$648,$A114,Filas!$B$2:$B$648,$B114,Filas!$N$2:$N$648,"mejora")</f>
        <v>4</v>
      </c>
      <c r="E114" s="4" t="n">
        <f aca="false">COUNTIFS(Filas!$A$2:$A$648,$A114,Filas!$B$2:$B$648,$B114,Filas!$N$2:$N$648,"sin cambio")</f>
        <v>0</v>
      </c>
      <c r="F114" s="4" t="n">
        <f aca="false">COUNTIFS(Filas!$A$2:$A$648,$A114,Filas!$B$2:$B$648,$B114,Filas!$N$2:$N$648,"empeora")</f>
        <v>1</v>
      </c>
      <c r="G114" s="4" t="n">
        <f aca="false">COUNTIFS(Filas!$A$2:$A$648,$A114,Filas!$B$2:$B$648,$B114,Filas!$N$2:$N$648,"mixto")</f>
        <v>0</v>
      </c>
      <c r="H114" s="4" t="n">
        <f aca="false">COUNTIFS(Filas!$A$2:$A$648,$A114,Filas!$B$2:$B$648,$B114,Filas!$S$2:$S$648,"cita encontrada*")+COUNTIFS(Filas!$A$2:$A$648,$A114,Filas!$B$2:$B$648,$B114,Filas!$S$2:$S$648,"página existe*")</f>
        <v>7</v>
      </c>
      <c r="I114" s="4" t="n">
        <f aca="false">COUNTIFS(Filas!$A$2:$A$648,$A114,Filas!$B$2:$B$648,$B114,Filas!$S$2:$S$648,"cita no encontrada*")+COUNTIFS(Filas!$A$2:$A$648,$A114,Filas!$B$2:$B$648,$B114,Filas!$S$2:$S$648,"página no accesible*")</f>
        <v>0</v>
      </c>
    </row>
    <row r="115" customFormat="false" ht="15" hidden="false" customHeight="false" outlineLevel="0" collapsed="false">
      <c r="A115" s="4" t="s">
        <v>2900</v>
      </c>
      <c r="B115" s="4" t="s">
        <v>3250</v>
      </c>
      <c r="C115" s="4" t="n">
        <f aca="false">COUNTIFS(Filas!$A$2:$A$648,$A115,Filas!$B$2:$B$648,$B115)</f>
        <v>1</v>
      </c>
      <c r="D115" s="4" t="n">
        <f aca="false">COUNTIFS(Filas!$A$2:$A$648,$A115,Filas!$B$2:$B$648,$B115,Filas!$N$2:$N$648,"mejora")</f>
        <v>1</v>
      </c>
      <c r="E115" s="4" t="n">
        <f aca="false">COUNTIFS(Filas!$A$2:$A$648,$A115,Filas!$B$2:$B$648,$B115,Filas!$N$2:$N$648,"sin cambio")</f>
        <v>0</v>
      </c>
      <c r="F115" s="4" t="n">
        <f aca="false">COUNTIFS(Filas!$A$2:$A$648,$A115,Filas!$B$2:$B$648,$B115,Filas!$N$2:$N$648,"empeora")</f>
        <v>0</v>
      </c>
      <c r="G115" s="4" t="n">
        <f aca="false">COUNTIFS(Filas!$A$2:$A$648,$A115,Filas!$B$2:$B$648,$B115,Filas!$N$2:$N$648,"mixto")</f>
        <v>0</v>
      </c>
      <c r="H115" s="4" t="n">
        <f aca="false">COUNTIFS(Filas!$A$2:$A$648,$A115,Filas!$B$2:$B$648,$B115,Filas!$S$2:$S$648,"cita encontrada*")+COUNTIFS(Filas!$A$2:$A$648,$A115,Filas!$B$2:$B$648,$B115,Filas!$S$2:$S$648,"página existe*")</f>
        <v>1</v>
      </c>
      <c r="I115" s="4" t="n">
        <f aca="false">COUNTIFS(Filas!$A$2:$A$648,$A115,Filas!$B$2:$B$648,$B115,Filas!$S$2:$S$648,"cita no encontrada*")+COUNTIFS(Filas!$A$2:$A$648,$A115,Filas!$B$2:$B$648,$B115,Filas!$S$2:$S$648,"página no accesible*")</f>
        <v>0</v>
      </c>
    </row>
    <row r="116" customFormat="false" ht="15" hidden="false" customHeight="false" outlineLevel="0" collapsed="false">
      <c r="A116" s="4" t="s">
        <v>2900</v>
      </c>
      <c r="B116" s="4" t="s">
        <v>3265</v>
      </c>
      <c r="C116" s="4" t="n">
        <f aca="false">COUNTIFS(Filas!$A$2:$A$648,$A116,Filas!$B$2:$B$648,$B116)</f>
        <v>1</v>
      </c>
      <c r="D116" s="4" t="n">
        <f aca="false">COUNTIFS(Filas!$A$2:$A$648,$A116,Filas!$B$2:$B$648,$B116,Filas!$N$2:$N$648,"mejora")</f>
        <v>0</v>
      </c>
      <c r="E116" s="4" t="n">
        <f aca="false">COUNTIFS(Filas!$A$2:$A$648,$A116,Filas!$B$2:$B$648,$B116,Filas!$N$2:$N$648,"sin cambio")</f>
        <v>0</v>
      </c>
      <c r="F116" s="4" t="n">
        <f aca="false">COUNTIFS(Filas!$A$2:$A$648,$A116,Filas!$B$2:$B$648,$B116,Filas!$N$2:$N$648,"empeora")</f>
        <v>0</v>
      </c>
      <c r="G116" s="4" t="n">
        <f aca="false">COUNTIFS(Filas!$A$2:$A$648,$A116,Filas!$B$2:$B$648,$B116,Filas!$N$2:$N$648,"mixto")</f>
        <v>1</v>
      </c>
      <c r="H116" s="4" t="n">
        <f aca="false">COUNTIFS(Filas!$A$2:$A$648,$A116,Filas!$B$2:$B$648,$B116,Filas!$S$2:$S$648,"cita encontrada*")+COUNTIFS(Filas!$A$2:$A$648,$A116,Filas!$B$2:$B$648,$B116,Filas!$S$2:$S$648,"página existe*")</f>
        <v>1</v>
      </c>
      <c r="I116" s="4" t="n">
        <f aca="false">COUNTIFS(Filas!$A$2:$A$648,$A116,Filas!$B$2:$B$648,$B116,Filas!$S$2:$S$648,"cita no encontrada*")+COUNTIFS(Filas!$A$2:$A$648,$A116,Filas!$B$2:$B$648,$B116,Filas!$S$2:$S$648,"página no accesible*")</f>
        <v>0</v>
      </c>
    </row>
    <row r="117" customFormat="false" ht="15" hidden="false" customHeight="false" outlineLevel="0" collapsed="false">
      <c r="A117" s="4" t="s">
        <v>2900</v>
      </c>
      <c r="B117" s="4" t="s">
        <v>3278</v>
      </c>
      <c r="C117" s="4" t="n">
        <f aca="false">COUNTIFS(Filas!$A$2:$A$648,$A117,Filas!$B$2:$B$648,$B117)</f>
        <v>2</v>
      </c>
      <c r="D117" s="4" t="n">
        <f aca="false">COUNTIFS(Filas!$A$2:$A$648,$A117,Filas!$B$2:$B$648,$B117,Filas!$N$2:$N$648,"mejora")</f>
        <v>1</v>
      </c>
      <c r="E117" s="4" t="n">
        <f aca="false">COUNTIFS(Filas!$A$2:$A$648,$A117,Filas!$B$2:$B$648,$B117,Filas!$N$2:$N$648,"sin cambio")</f>
        <v>0</v>
      </c>
      <c r="F117" s="4" t="n">
        <f aca="false">COUNTIFS(Filas!$A$2:$A$648,$A117,Filas!$B$2:$B$648,$B117,Filas!$N$2:$N$648,"empeora")</f>
        <v>0</v>
      </c>
      <c r="G117" s="4" t="n">
        <f aca="false">COUNTIFS(Filas!$A$2:$A$648,$A117,Filas!$B$2:$B$648,$B117,Filas!$N$2:$N$648,"mixto")</f>
        <v>1</v>
      </c>
      <c r="H117" s="4" t="n">
        <f aca="false">COUNTIFS(Filas!$A$2:$A$648,$A117,Filas!$B$2:$B$648,$B117,Filas!$S$2:$S$648,"cita encontrada*")+COUNTIFS(Filas!$A$2:$A$648,$A117,Filas!$B$2:$B$648,$B117,Filas!$S$2:$S$648,"página existe*")</f>
        <v>2</v>
      </c>
      <c r="I117" s="4" t="n">
        <f aca="false">COUNTIFS(Filas!$A$2:$A$648,$A117,Filas!$B$2:$B$648,$B117,Filas!$S$2:$S$648,"cita no encontrada*")+COUNTIFS(Filas!$A$2:$A$648,$A117,Filas!$B$2:$B$648,$B117,Filas!$S$2:$S$648,"página no accesible*")</f>
        <v>0</v>
      </c>
    </row>
    <row r="118" customFormat="false" ht="15" hidden="false" customHeight="false" outlineLevel="0" collapsed="false">
      <c r="A118" s="4" t="s">
        <v>2900</v>
      </c>
      <c r="B118" s="4" t="s">
        <v>3304</v>
      </c>
      <c r="C118" s="4" t="n">
        <f aca="false">COUNTIFS(Filas!$A$2:$A$648,$A118,Filas!$B$2:$B$648,$B118)</f>
        <v>2</v>
      </c>
      <c r="D118" s="4" t="n">
        <f aca="false">COUNTIFS(Filas!$A$2:$A$648,$A118,Filas!$B$2:$B$648,$B118,Filas!$N$2:$N$648,"mejora")</f>
        <v>1</v>
      </c>
      <c r="E118" s="4" t="n">
        <f aca="false">COUNTIFS(Filas!$A$2:$A$648,$A118,Filas!$B$2:$B$648,$B118,Filas!$N$2:$N$648,"sin cambio")</f>
        <v>0</v>
      </c>
      <c r="F118" s="4" t="n">
        <f aca="false">COUNTIFS(Filas!$A$2:$A$648,$A118,Filas!$B$2:$B$648,$B118,Filas!$N$2:$N$648,"empeora")</f>
        <v>0</v>
      </c>
      <c r="G118" s="4" t="n">
        <f aca="false">COUNTIFS(Filas!$A$2:$A$648,$A118,Filas!$B$2:$B$648,$B118,Filas!$N$2:$N$648,"mixto")</f>
        <v>0</v>
      </c>
      <c r="H118" s="4" t="n">
        <f aca="false">COUNTIFS(Filas!$A$2:$A$648,$A118,Filas!$B$2:$B$648,$B118,Filas!$S$2:$S$648,"cita encontrada*")+COUNTIFS(Filas!$A$2:$A$648,$A118,Filas!$B$2:$B$648,$B118,Filas!$S$2:$S$648,"página existe*")</f>
        <v>2</v>
      </c>
      <c r="I118" s="4" t="n">
        <f aca="false">COUNTIFS(Filas!$A$2:$A$648,$A118,Filas!$B$2:$B$648,$B118,Filas!$S$2:$S$648,"cita no encontrada*")+COUNTIFS(Filas!$A$2:$A$648,$A118,Filas!$B$2:$B$648,$B118,Filas!$S$2:$S$648,"página no accesible*")</f>
        <v>0</v>
      </c>
    </row>
    <row r="119" customFormat="false" ht="15" hidden="false" customHeight="false" outlineLevel="0" collapsed="false">
      <c r="A119" s="4" t="s">
        <v>2900</v>
      </c>
      <c r="B119" s="4" t="s">
        <v>3329</v>
      </c>
      <c r="C119" s="4" t="n">
        <f aca="false">COUNTIFS(Filas!$A$2:$A$648,$A119,Filas!$B$2:$B$648,$B119)</f>
        <v>1</v>
      </c>
      <c r="D119" s="4" t="n">
        <f aca="false">COUNTIFS(Filas!$A$2:$A$648,$A119,Filas!$B$2:$B$648,$B119,Filas!$N$2:$N$648,"mejora")</f>
        <v>1</v>
      </c>
      <c r="E119" s="4" t="n">
        <f aca="false">COUNTIFS(Filas!$A$2:$A$648,$A119,Filas!$B$2:$B$648,$B119,Filas!$N$2:$N$648,"sin cambio")</f>
        <v>0</v>
      </c>
      <c r="F119" s="4" t="n">
        <f aca="false">COUNTIFS(Filas!$A$2:$A$648,$A119,Filas!$B$2:$B$648,$B119,Filas!$N$2:$N$648,"empeora")</f>
        <v>0</v>
      </c>
      <c r="G119" s="4" t="n">
        <f aca="false">COUNTIFS(Filas!$A$2:$A$648,$A119,Filas!$B$2:$B$648,$B119,Filas!$N$2:$N$648,"mixto")</f>
        <v>0</v>
      </c>
      <c r="H119" s="4" t="n">
        <f aca="false">COUNTIFS(Filas!$A$2:$A$648,$A119,Filas!$B$2:$B$648,$B119,Filas!$S$2:$S$648,"cita encontrada*")+COUNTIFS(Filas!$A$2:$A$648,$A119,Filas!$B$2:$B$648,$B119,Filas!$S$2:$S$648,"página existe*")</f>
        <v>1</v>
      </c>
      <c r="I119" s="4" t="n">
        <f aca="false">COUNTIFS(Filas!$A$2:$A$648,$A119,Filas!$B$2:$B$648,$B119,Filas!$S$2:$S$648,"cita no encontrada*")+COUNTIFS(Filas!$A$2:$A$648,$A119,Filas!$B$2:$B$648,$B119,Filas!$S$2:$S$648,"página no accesible*")</f>
        <v>0</v>
      </c>
    </row>
    <row r="120" customFormat="false" ht="15" hidden="false" customHeight="false" outlineLevel="0" collapsed="false">
      <c r="A120" s="4" t="s">
        <v>2900</v>
      </c>
      <c r="B120" s="4" t="s">
        <v>3340</v>
      </c>
      <c r="C120" s="4" t="n">
        <f aca="false">COUNTIFS(Filas!$A$2:$A$648,$A120,Filas!$B$2:$B$648,$B120)</f>
        <v>1</v>
      </c>
      <c r="D120" s="4" t="n">
        <f aca="false">COUNTIFS(Filas!$A$2:$A$648,$A120,Filas!$B$2:$B$648,$B120,Filas!$N$2:$N$648,"mejora")</f>
        <v>1</v>
      </c>
      <c r="E120" s="4" t="n">
        <f aca="false">COUNTIFS(Filas!$A$2:$A$648,$A120,Filas!$B$2:$B$648,$B120,Filas!$N$2:$N$648,"sin cambio")</f>
        <v>0</v>
      </c>
      <c r="F120" s="4" t="n">
        <f aca="false">COUNTIFS(Filas!$A$2:$A$648,$A120,Filas!$B$2:$B$648,$B120,Filas!$N$2:$N$648,"empeora")</f>
        <v>0</v>
      </c>
      <c r="G120" s="4" t="n">
        <f aca="false">COUNTIFS(Filas!$A$2:$A$648,$A120,Filas!$B$2:$B$648,$B120,Filas!$N$2:$N$648,"mixto")</f>
        <v>0</v>
      </c>
      <c r="H120" s="4" t="n">
        <f aca="false">COUNTIFS(Filas!$A$2:$A$648,$A120,Filas!$B$2:$B$648,$B120,Filas!$S$2:$S$648,"cita encontrada*")+COUNTIFS(Filas!$A$2:$A$648,$A120,Filas!$B$2:$B$648,$B120,Filas!$S$2:$S$648,"página existe*")</f>
        <v>1</v>
      </c>
      <c r="I120" s="4" t="n">
        <f aca="false">COUNTIFS(Filas!$A$2:$A$648,$A120,Filas!$B$2:$B$648,$B120,Filas!$S$2:$S$648,"cita no encontrada*")+COUNTIFS(Filas!$A$2:$A$648,$A120,Filas!$B$2:$B$648,$B120,Filas!$S$2:$S$648,"página no accesible*")</f>
        <v>0</v>
      </c>
    </row>
    <row r="121" customFormat="false" ht="15" hidden="false" customHeight="false" outlineLevel="0" collapsed="false">
      <c r="A121" s="4" t="s">
        <v>2900</v>
      </c>
      <c r="B121" s="4" t="s">
        <v>3351</v>
      </c>
      <c r="C121" s="4" t="n">
        <f aca="false">COUNTIFS(Filas!$A$2:$A$648,$A121,Filas!$B$2:$B$648,$B121)</f>
        <v>1</v>
      </c>
      <c r="D121" s="4" t="n">
        <f aca="false">COUNTIFS(Filas!$A$2:$A$648,$A121,Filas!$B$2:$B$648,$B121,Filas!$N$2:$N$648,"mejora")</f>
        <v>1</v>
      </c>
      <c r="E121" s="4" t="n">
        <f aca="false">COUNTIFS(Filas!$A$2:$A$648,$A121,Filas!$B$2:$B$648,$B121,Filas!$N$2:$N$648,"sin cambio")</f>
        <v>0</v>
      </c>
      <c r="F121" s="4" t="n">
        <f aca="false">COUNTIFS(Filas!$A$2:$A$648,$A121,Filas!$B$2:$B$648,$B121,Filas!$N$2:$N$648,"empeora")</f>
        <v>0</v>
      </c>
      <c r="G121" s="4" t="n">
        <f aca="false">COUNTIFS(Filas!$A$2:$A$648,$A121,Filas!$B$2:$B$648,$B121,Filas!$N$2:$N$648,"mixto")</f>
        <v>0</v>
      </c>
      <c r="H121" s="4" t="n">
        <f aca="false">COUNTIFS(Filas!$A$2:$A$648,$A121,Filas!$B$2:$B$648,$B121,Filas!$S$2:$S$648,"cita encontrada*")+COUNTIFS(Filas!$A$2:$A$648,$A121,Filas!$B$2:$B$648,$B121,Filas!$S$2:$S$648,"página existe*")</f>
        <v>1</v>
      </c>
      <c r="I121" s="4" t="n">
        <f aca="false">COUNTIFS(Filas!$A$2:$A$648,$A121,Filas!$B$2:$B$648,$B121,Filas!$S$2:$S$648,"cita no encontrada*")+COUNTIFS(Filas!$A$2:$A$648,$A121,Filas!$B$2:$B$648,$B121,Filas!$S$2:$S$648,"página no accesible*")</f>
        <v>0</v>
      </c>
    </row>
    <row r="122" customFormat="false" ht="15" hidden="false" customHeight="false" outlineLevel="0" collapsed="false">
      <c r="A122" s="4" t="s">
        <v>2900</v>
      </c>
      <c r="B122" s="4" t="s">
        <v>3367</v>
      </c>
      <c r="C122" s="4" t="n">
        <f aca="false">COUNTIFS(Filas!$A$2:$A$648,$A122,Filas!$B$2:$B$648,$B122)</f>
        <v>1</v>
      </c>
      <c r="D122" s="4" t="n">
        <f aca="false">COUNTIFS(Filas!$A$2:$A$648,$A122,Filas!$B$2:$B$648,$B122,Filas!$N$2:$N$648,"mejora")</f>
        <v>1</v>
      </c>
      <c r="E122" s="4" t="n">
        <f aca="false">COUNTIFS(Filas!$A$2:$A$648,$A122,Filas!$B$2:$B$648,$B122,Filas!$N$2:$N$648,"sin cambio")</f>
        <v>0</v>
      </c>
      <c r="F122" s="4" t="n">
        <f aca="false">COUNTIFS(Filas!$A$2:$A$648,$A122,Filas!$B$2:$B$648,$B122,Filas!$N$2:$N$648,"empeora")</f>
        <v>0</v>
      </c>
      <c r="G122" s="4" t="n">
        <f aca="false">COUNTIFS(Filas!$A$2:$A$648,$A122,Filas!$B$2:$B$648,$B122,Filas!$N$2:$N$648,"mixto")</f>
        <v>0</v>
      </c>
      <c r="H122" s="4" t="n">
        <f aca="false">COUNTIFS(Filas!$A$2:$A$648,$A122,Filas!$B$2:$B$648,$B122,Filas!$S$2:$S$648,"cita encontrada*")+COUNTIFS(Filas!$A$2:$A$648,$A122,Filas!$B$2:$B$648,$B122,Filas!$S$2:$S$648,"página existe*")</f>
        <v>1</v>
      </c>
      <c r="I122" s="4" t="n">
        <f aca="false">COUNTIFS(Filas!$A$2:$A$648,$A122,Filas!$B$2:$B$648,$B122,Filas!$S$2:$S$648,"cita no encontrada*")+COUNTIFS(Filas!$A$2:$A$648,$A122,Filas!$B$2:$B$648,$B122,Filas!$S$2:$S$648,"página no accesible*")</f>
        <v>0</v>
      </c>
    </row>
    <row r="123" customFormat="false" ht="15" hidden="false" customHeight="false" outlineLevel="0" collapsed="false">
      <c r="A123" s="4" t="s">
        <v>2900</v>
      </c>
      <c r="B123" s="4" t="s">
        <v>3381</v>
      </c>
      <c r="C123" s="4" t="n">
        <f aca="false">COUNTIFS(Filas!$A$2:$A$648,$A123,Filas!$B$2:$B$648,$B123)</f>
        <v>2</v>
      </c>
      <c r="D123" s="4" t="n">
        <f aca="false">COUNTIFS(Filas!$A$2:$A$648,$A123,Filas!$B$2:$B$648,$B123,Filas!$N$2:$N$648,"mejora")</f>
        <v>2</v>
      </c>
      <c r="E123" s="4" t="n">
        <f aca="false">COUNTIFS(Filas!$A$2:$A$648,$A123,Filas!$B$2:$B$648,$B123,Filas!$N$2:$N$648,"sin cambio")</f>
        <v>0</v>
      </c>
      <c r="F123" s="4" t="n">
        <f aca="false">COUNTIFS(Filas!$A$2:$A$648,$A123,Filas!$B$2:$B$648,$B123,Filas!$N$2:$N$648,"empeora")</f>
        <v>0</v>
      </c>
      <c r="G123" s="4" t="n">
        <f aca="false">COUNTIFS(Filas!$A$2:$A$648,$A123,Filas!$B$2:$B$648,$B123,Filas!$N$2:$N$648,"mixto")</f>
        <v>0</v>
      </c>
      <c r="H123" s="4" t="n">
        <f aca="false">COUNTIFS(Filas!$A$2:$A$648,$A123,Filas!$B$2:$B$648,$B123,Filas!$S$2:$S$648,"cita encontrada*")+COUNTIFS(Filas!$A$2:$A$648,$A123,Filas!$B$2:$B$648,$B123,Filas!$S$2:$S$648,"página existe*")</f>
        <v>2</v>
      </c>
      <c r="I123" s="4" t="n">
        <f aca="false">COUNTIFS(Filas!$A$2:$A$648,$A123,Filas!$B$2:$B$648,$B123,Filas!$S$2:$S$648,"cita no encontrada*")+COUNTIFS(Filas!$A$2:$A$648,$A123,Filas!$B$2:$B$648,$B123,Filas!$S$2:$S$648,"página no accesible*")</f>
        <v>0</v>
      </c>
    </row>
    <row r="124" customFormat="false" ht="15" hidden="false" customHeight="false" outlineLevel="0" collapsed="false">
      <c r="A124" s="4" t="s">
        <v>2900</v>
      </c>
      <c r="B124" s="4" t="s">
        <v>3407</v>
      </c>
      <c r="C124" s="4" t="n">
        <f aca="false">COUNTIFS(Filas!$A$2:$A$648,$A124,Filas!$B$2:$B$648,$B124)</f>
        <v>1</v>
      </c>
      <c r="D124" s="4" t="n">
        <f aca="false">COUNTIFS(Filas!$A$2:$A$648,$A124,Filas!$B$2:$B$648,$B124,Filas!$N$2:$N$648,"mejora")</f>
        <v>0</v>
      </c>
      <c r="E124" s="4" t="n">
        <f aca="false">COUNTIFS(Filas!$A$2:$A$648,$A124,Filas!$B$2:$B$648,$B124,Filas!$N$2:$N$648,"sin cambio")</f>
        <v>1</v>
      </c>
      <c r="F124" s="4" t="n">
        <f aca="false">COUNTIFS(Filas!$A$2:$A$648,$A124,Filas!$B$2:$B$648,$B124,Filas!$N$2:$N$648,"empeora")</f>
        <v>0</v>
      </c>
      <c r="G124" s="4" t="n">
        <f aca="false">COUNTIFS(Filas!$A$2:$A$648,$A124,Filas!$B$2:$B$648,$B124,Filas!$N$2:$N$648,"mixto")</f>
        <v>0</v>
      </c>
      <c r="H124" s="4" t="n">
        <f aca="false">COUNTIFS(Filas!$A$2:$A$648,$A124,Filas!$B$2:$B$648,$B124,Filas!$S$2:$S$648,"cita encontrada*")+COUNTIFS(Filas!$A$2:$A$648,$A124,Filas!$B$2:$B$648,$B124,Filas!$S$2:$S$648,"página existe*")</f>
        <v>1</v>
      </c>
      <c r="I124" s="4" t="n">
        <f aca="false">COUNTIFS(Filas!$A$2:$A$648,$A124,Filas!$B$2:$B$648,$B124,Filas!$S$2:$S$648,"cita no encontrada*")+COUNTIFS(Filas!$A$2:$A$648,$A124,Filas!$B$2:$B$648,$B124,Filas!$S$2:$S$648,"página no accesible*")</f>
        <v>0</v>
      </c>
    </row>
    <row r="125" customFormat="false" ht="15" hidden="false" customHeight="false" outlineLevel="0" collapsed="false">
      <c r="A125" s="4" t="s">
        <v>2900</v>
      </c>
      <c r="B125" s="4" t="s">
        <v>3421</v>
      </c>
      <c r="C125" s="4" t="n">
        <f aca="false">COUNTIFS(Filas!$A$2:$A$648,$A125,Filas!$B$2:$B$648,$B125)</f>
        <v>2</v>
      </c>
      <c r="D125" s="4" t="n">
        <f aca="false">COUNTIFS(Filas!$A$2:$A$648,$A125,Filas!$B$2:$B$648,$B125,Filas!$N$2:$N$648,"mejora")</f>
        <v>1</v>
      </c>
      <c r="E125" s="4" t="n">
        <f aca="false">COUNTIFS(Filas!$A$2:$A$648,$A125,Filas!$B$2:$B$648,$B125,Filas!$N$2:$N$648,"sin cambio")</f>
        <v>1</v>
      </c>
      <c r="F125" s="4" t="n">
        <f aca="false">COUNTIFS(Filas!$A$2:$A$648,$A125,Filas!$B$2:$B$648,$B125,Filas!$N$2:$N$648,"empeora")</f>
        <v>0</v>
      </c>
      <c r="G125" s="4" t="n">
        <f aca="false">COUNTIFS(Filas!$A$2:$A$648,$A125,Filas!$B$2:$B$648,$B125,Filas!$N$2:$N$648,"mixto")</f>
        <v>0</v>
      </c>
      <c r="H125" s="4" t="n">
        <f aca="false">COUNTIFS(Filas!$A$2:$A$648,$A125,Filas!$B$2:$B$648,$B125,Filas!$S$2:$S$648,"cita encontrada*")+COUNTIFS(Filas!$A$2:$A$648,$A125,Filas!$B$2:$B$648,$B125,Filas!$S$2:$S$648,"página existe*")</f>
        <v>2</v>
      </c>
      <c r="I125" s="4" t="n">
        <f aca="false">COUNTIFS(Filas!$A$2:$A$648,$A125,Filas!$B$2:$B$648,$B125,Filas!$S$2:$S$648,"cita no encontrada*")+COUNTIFS(Filas!$A$2:$A$648,$A125,Filas!$B$2:$B$648,$B125,Filas!$S$2:$S$648,"página no accesible*")</f>
        <v>0</v>
      </c>
    </row>
    <row r="126" customFormat="false" ht="15" hidden="false" customHeight="false" outlineLevel="0" collapsed="false">
      <c r="A126" s="4" t="s">
        <v>2900</v>
      </c>
      <c r="B126" s="4" t="s">
        <v>3448</v>
      </c>
      <c r="C126" s="4" t="n">
        <f aca="false">COUNTIFS(Filas!$A$2:$A$648,$A126,Filas!$B$2:$B$648,$B126)</f>
        <v>1</v>
      </c>
      <c r="D126" s="4" t="n">
        <f aca="false">COUNTIFS(Filas!$A$2:$A$648,$A126,Filas!$B$2:$B$648,$B126,Filas!$N$2:$N$648,"mejora")</f>
        <v>0</v>
      </c>
      <c r="E126" s="4" t="n">
        <f aca="false">COUNTIFS(Filas!$A$2:$A$648,$A126,Filas!$B$2:$B$648,$B126,Filas!$N$2:$N$648,"sin cambio")</f>
        <v>0</v>
      </c>
      <c r="F126" s="4" t="n">
        <f aca="false">COUNTIFS(Filas!$A$2:$A$648,$A126,Filas!$B$2:$B$648,$B126,Filas!$N$2:$N$648,"empeora")</f>
        <v>0</v>
      </c>
      <c r="G126" s="4" t="n">
        <f aca="false">COUNTIFS(Filas!$A$2:$A$648,$A126,Filas!$B$2:$B$648,$B126,Filas!$N$2:$N$648,"mixto")</f>
        <v>0</v>
      </c>
      <c r="H126" s="4" t="n">
        <f aca="false">COUNTIFS(Filas!$A$2:$A$648,$A126,Filas!$B$2:$B$648,$B126,Filas!$S$2:$S$648,"cita encontrada*")+COUNTIFS(Filas!$A$2:$A$648,$A126,Filas!$B$2:$B$648,$B126,Filas!$S$2:$S$648,"página existe*")</f>
        <v>1</v>
      </c>
      <c r="I126" s="4" t="n">
        <f aca="false">COUNTIFS(Filas!$A$2:$A$648,$A126,Filas!$B$2:$B$648,$B126,Filas!$S$2:$S$648,"cita no encontrada*")+COUNTIFS(Filas!$A$2:$A$648,$A126,Filas!$B$2:$B$648,$B126,Filas!$S$2:$S$648,"página no accesible*")</f>
        <v>0</v>
      </c>
    </row>
    <row r="127" customFormat="false" ht="15" hidden="false" customHeight="false" outlineLevel="0" collapsed="false">
      <c r="A127" s="4" t="s">
        <v>3485</v>
      </c>
      <c r="B127" s="4" t="s">
        <v>3486</v>
      </c>
      <c r="C127" s="4" t="n">
        <f aca="false">COUNTIFS(Filas!$A$2:$A$648,$A127,Filas!$B$2:$B$648,$B127)</f>
        <v>4</v>
      </c>
      <c r="D127" s="4" t="n">
        <f aca="false">COUNTIFS(Filas!$A$2:$A$648,$A127,Filas!$B$2:$B$648,$B127,Filas!$N$2:$N$648,"mejora")</f>
        <v>2</v>
      </c>
      <c r="E127" s="4" t="n">
        <f aca="false">COUNTIFS(Filas!$A$2:$A$648,$A127,Filas!$B$2:$B$648,$B127,Filas!$N$2:$N$648,"sin cambio")</f>
        <v>1</v>
      </c>
      <c r="F127" s="4" t="n">
        <f aca="false">COUNTIFS(Filas!$A$2:$A$648,$A127,Filas!$B$2:$B$648,$B127,Filas!$N$2:$N$648,"empeora")</f>
        <v>0</v>
      </c>
      <c r="G127" s="4" t="n">
        <f aca="false">COUNTIFS(Filas!$A$2:$A$648,$A127,Filas!$B$2:$B$648,$B127,Filas!$N$2:$N$648,"mixto")</f>
        <v>1</v>
      </c>
      <c r="H127" s="4" t="n">
        <f aca="false">COUNTIFS(Filas!$A$2:$A$648,$A127,Filas!$B$2:$B$648,$B127,Filas!$S$2:$S$648,"cita encontrada*")+COUNTIFS(Filas!$A$2:$A$648,$A127,Filas!$B$2:$B$648,$B127,Filas!$S$2:$S$648,"página existe*")</f>
        <v>4</v>
      </c>
      <c r="I127" s="4" t="n">
        <f aca="false">COUNTIFS(Filas!$A$2:$A$648,$A127,Filas!$B$2:$B$648,$B127,Filas!$S$2:$S$648,"cita no encontrada*")+COUNTIFS(Filas!$A$2:$A$648,$A127,Filas!$B$2:$B$648,$B127,Filas!$S$2:$S$648,"página no accesible*")</f>
        <v>0</v>
      </c>
    </row>
    <row r="128" customFormat="false" ht="15" hidden="false" customHeight="false" outlineLevel="0" collapsed="false">
      <c r="A128" s="4" t="s">
        <v>3485</v>
      </c>
      <c r="B128" s="4" t="s">
        <v>3539</v>
      </c>
      <c r="C128" s="4" t="n">
        <f aca="false">COUNTIFS(Filas!$A$2:$A$648,$A128,Filas!$B$2:$B$648,$B128)</f>
        <v>4</v>
      </c>
      <c r="D128" s="4" t="n">
        <f aca="false">COUNTIFS(Filas!$A$2:$A$648,$A128,Filas!$B$2:$B$648,$B128,Filas!$N$2:$N$648,"mejora")</f>
        <v>3</v>
      </c>
      <c r="E128" s="4" t="n">
        <f aca="false">COUNTIFS(Filas!$A$2:$A$648,$A128,Filas!$B$2:$B$648,$B128,Filas!$N$2:$N$648,"sin cambio")</f>
        <v>1</v>
      </c>
      <c r="F128" s="4" t="n">
        <f aca="false">COUNTIFS(Filas!$A$2:$A$648,$A128,Filas!$B$2:$B$648,$B128,Filas!$N$2:$N$648,"empeora")</f>
        <v>0</v>
      </c>
      <c r="G128" s="4" t="n">
        <f aca="false">COUNTIFS(Filas!$A$2:$A$648,$A128,Filas!$B$2:$B$648,$B128,Filas!$N$2:$N$648,"mixto")</f>
        <v>0</v>
      </c>
      <c r="H128" s="4" t="n">
        <f aca="false">COUNTIFS(Filas!$A$2:$A$648,$A128,Filas!$B$2:$B$648,$B128,Filas!$S$2:$S$648,"cita encontrada*")+COUNTIFS(Filas!$A$2:$A$648,$A128,Filas!$B$2:$B$648,$B128,Filas!$S$2:$S$648,"página existe*")</f>
        <v>4</v>
      </c>
      <c r="I128" s="4" t="n">
        <f aca="false">COUNTIFS(Filas!$A$2:$A$648,$A128,Filas!$B$2:$B$648,$B128,Filas!$S$2:$S$648,"cita no encontrada*")+COUNTIFS(Filas!$A$2:$A$648,$A128,Filas!$B$2:$B$648,$B128,Filas!$S$2:$S$648,"página no accesible*")</f>
        <v>0</v>
      </c>
    </row>
    <row r="129" customFormat="false" ht="15" hidden="false" customHeight="false" outlineLevel="0" collapsed="false">
      <c r="A129" s="4" t="s">
        <v>3485</v>
      </c>
      <c r="B129" s="4" t="s">
        <v>3576</v>
      </c>
      <c r="C129" s="4" t="n">
        <f aca="false">COUNTIFS(Filas!$A$2:$A$648,$A129,Filas!$B$2:$B$648,$B129)</f>
        <v>1</v>
      </c>
      <c r="D129" s="4" t="n">
        <f aca="false">COUNTIFS(Filas!$A$2:$A$648,$A129,Filas!$B$2:$B$648,$B129,Filas!$N$2:$N$648,"mejora")</f>
        <v>1</v>
      </c>
      <c r="E129" s="4" t="n">
        <f aca="false">COUNTIFS(Filas!$A$2:$A$648,$A129,Filas!$B$2:$B$648,$B129,Filas!$N$2:$N$648,"sin cambio")</f>
        <v>0</v>
      </c>
      <c r="F129" s="4" t="n">
        <f aca="false">COUNTIFS(Filas!$A$2:$A$648,$A129,Filas!$B$2:$B$648,$B129,Filas!$N$2:$N$648,"empeora")</f>
        <v>0</v>
      </c>
      <c r="G129" s="4" t="n">
        <f aca="false">COUNTIFS(Filas!$A$2:$A$648,$A129,Filas!$B$2:$B$648,$B129,Filas!$N$2:$N$648,"mixto")</f>
        <v>0</v>
      </c>
      <c r="H129" s="4" t="n">
        <f aca="false">COUNTIFS(Filas!$A$2:$A$648,$A129,Filas!$B$2:$B$648,$B129,Filas!$S$2:$S$648,"cita encontrada*")+COUNTIFS(Filas!$A$2:$A$648,$A129,Filas!$B$2:$B$648,$B129,Filas!$S$2:$S$648,"página existe*")</f>
        <v>1</v>
      </c>
      <c r="I129" s="4" t="n">
        <f aca="false">COUNTIFS(Filas!$A$2:$A$648,$A129,Filas!$B$2:$B$648,$B129,Filas!$S$2:$S$648,"cita no encontrada*")+COUNTIFS(Filas!$A$2:$A$648,$A129,Filas!$B$2:$B$648,$B129,Filas!$S$2:$S$648,"página no accesible*")</f>
        <v>0</v>
      </c>
    </row>
    <row r="130" customFormat="false" ht="15" hidden="false" customHeight="false" outlineLevel="0" collapsed="false">
      <c r="A130" s="4" t="s">
        <v>3485</v>
      </c>
      <c r="B130" s="4" t="s">
        <v>3588</v>
      </c>
      <c r="C130" s="4" t="n">
        <f aca="false">COUNTIFS(Filas!$A$2:$A$648,$A130,Filas!$B$2:$B$648,$B130)</f>
        <v>1</v>
      </c>
      <c r="D130" s="4" t="n">
        <f aca="false">COUNTIFS(Filas!$A$2:$A$648,$A130,Filas!$B$2:$B$648,$B130,Filas!$N$2:$N$648,"mejora")</f>
        <v>1</v>
      </c>
      <c r="E130" s="4" t="n">
        <f aca="false">COUNTIFS(Filas!$A$2:$A$648,$A130,Filas!$B$2:$B$648,$B130,Filas!$N$2:$N$648,"sin cambio")</f>
        <v>0</v>
      </c>
      <c r="F130" s="4" t="n">
        <f aca="false">COUNTIFS(Filas!$A$2:$A$648,$A130,Filas!$B$2:$B$648,$B130,Filas!$N$2:$N$648,"empeora")</f>
        <v>0</v>
      </c>
      <c r="G130" s="4" t="n">
        <f aca="false">COUNTIFS(Filas!$A$2:$A$648,$A130,Filas!$B$2:$B$648,$B130,Filas!$N$2:$N$648,"mixto")</f>
        <v>0</v>
      </c>
      <c r="H130" s="4" t="n">
        <f aca="false">COUNTIFS(Filas!$A$2:$A$648,$A130,Filas!$B$2:$B$648,$B130,Filas!$S$2:$S$648,"cita encontrada*")+COUNTIFS(Filas!$A$2:$A$648,$A130,Filas!$B$2:$B$648,$B130,Filas!$S$2:$S$648,"página existe*")</f>
        <v>1</v>
      </c>
      <c r="I130" s="4" t="n">
        <f aca="false">COUNTIFS(Filas!$A$2:$A$648,$A130,Filas!$B$2:$B$648,$B130,Filas!$S$2:$S$648,"cita no encontrada*")+COUNTIFS(Filas!$A$2:$A$648,$A130,Filas!$B$2:$B$648,$B130,Filas!$S$2:$S$648,"página no accesible*")</f>
        <v>0</v>
      </c>
    </row>
    <row r="131" customFormat="false" ht="15" hidden="false" customHeight="false" outlineLevel="0" collapsed="false">
      <c r="A131" s="4" t="s">
        <v>3485</v>
      </c>
      <c r="B131" s="4" t="s">
        <v>3596</v>
      </c>
      <c r="C131" s="4" t="n">
        <f aca="false">COUNTIFS(Filas!$A$2:$A$648,$A131,Filas!$B$2:$B$648,$B131)</f>
        <v>1</v>
      </c>
      <c r="D131" s="4" t="n">
        <f aca="false">COUNTIFS(Filas!$A$2:$A$648,$A131,Filas!$B$2:$B$648,$B131,Filas!$N$2:$N$648,"mejora")</f>
        <v>1</v>
      </c>
      <c r="E131" s="4" t="n">
        <f aca="false">COUNTIFS(Filas!$A$2:$A$648,$A131,Filas!$B$2:$B$648,$B131,Filas!$N$2:$N$648,"sin cambio")</f>
        <v>0</v>
      </c>
      <c r="F131" s="4" t="n">
        <f aca="false">COUNTIFS(Filas!$A$2:$A$648,$A131,Filas!$B$2:$B$648,$B131,Filas!$N$2:$N$648,"empeora")</f>
        <v>0</v>
      </c>
      <c r="G131" s="4" t="n">
        <f aca="false">COUNTIFS(Filas!$A$2:$A$648,$A131,Filas!$B$2:$B$648,$B131,Filas!$N$2:$N$648,"mixto")</f>
        <v>0</v>
      </c>
      <c r="H131" s="4" t="n">
        <f aca="false">COUNTIFS(Filas!$A$2:$A$648,$A131,Filas!$B$2:$B$648,$B131,Filas!$S$2:$S$648,"cita encontrada*")+COUNTIFS(Filas!$A$2:$A$648,$A131,Filas!$B$2:$B$648,$B131,Filas!$S$2:$S$648,"página existe*")</f>
        <v>1</v>
      </c>
      <c r="I131" s="4" t="n">
        <f aca="false">COUNTIFS(Filas!$A$2:$A$648,$A131,Filas!$B$2:$B$648,$B131,Filas!$S$2:$S$648,"cita no encontrada*")+COUNTIFS(Filas!$A$2:$A$648,$A131,Filas!$B$2:$B$648,$B131,Filas!$S$2:$S$648,"página no accesible*")</f>
        <v>0</v>
      </c>
    </row>
    <row r="132" customFormat="false" ht="15" hidden="false" customHeight="false" outlineLevel="0" collapsed="false">
      <c r="A132" s="4" t="s">
        <v>3485</v>
      </c>
      <c r="B132" s="4" t="s">
        <v>3610</v>
      </c>
      <c r="C132" s="4" t="n">
        <f aca="false">COUNTIFS(Filas!$A$2:$A$648,$A132,Filas!$B$2:$B$648,$B132)</f>
        <v>1</v>
      </c>
      <c r="D132" s="4" t="n">
        <f aca="false">COUNTIFS(Filas!$A$2:$A$648,$A132,Filas!$B$2:$B$648,$B132,Filas!$N$2:$N$648,"mejora")</f>
        <v>1</v>
      </c>
      <c r="E132" s="4" t="n">
        <f aca="false">COUNTIFS(Filas!$A$2:$A$648,$A132,Filas!$B$2:$B$648,$B132,Filas!$N$2:$N$648,"sin cambio")</f>
        <v>0</v>
      </c>
      <c r="F132" s="4" t="n">
        <f aca="false">COUNTIFS(Filas!$A$2:$A$648,$A132,Filas!$B$2:$B$648,$B132,Filas!$N$2:$N$648,"empeora")</f>
        <v>0</v>
      </c>
      <c r="G132" s="4" t="n">
        <f aca="false">COUNTIFS(Filas!$A$2:$A$648,$A132,Filas!$B$2:$B$648,$B132,Filas!$N$2:$N$648,"mixto")</f>
        <v>0</v>
      </c>
      <c r="H132" s="4" t="n">
        <f aca="false">COUNTIFS(Filas!$A$2:$A$648,$A132,Filas!$B$2:$B$648,$B132,Filas!$S$2:$S$648,"cita encontrada*")+COUNTIFS(Filas!$A$2:$A$648,$A132,Filas!$B$2:$B$648,$B132,Filas!$S$2:$S$648,"página existe*")</f>
        <v>1</v>
      </c>
      <c r="I132" s="4" t="n">
        <f aca="false">COUNTIFS(Filas!$A$2:$A$648,$A132,Filas!$B$2:$B$648,$B132,Filas!$S$2:$S$648,"cita no encontrada*")+COUNTIFS(Filas!$A$2:$A$648,$A132,Filas!$B$2:$B$648,$B132,Filas!$S$2:$S$648,"página no accesible*")</f>
        <v>0</v>
      </c>
    </row>
    <row r="133" customFormat="false" ht="15" hidden="false" customHeight="false" outlineLevel="0" collapsed="false">
      <c r="A133" s="4" t="s">
        <v>3485</v>
      </c>
      <c r="B133" s="4" t="s">
        <v>3625</v>
      </c>
      <c r="C133" s="4" t="n">
        <f aca="false">COUNTIFS(Filas!$A$2:$A$648,$A133,Filas!$B$2:$B$648,$B133)</f>
        <v>5</v>
      </c>
      <c r="D133" s="4" t="n">
        <f aca="false">COUNTIFS(Filas!$A$2:$A$648,$A133,Filas!$B$2:$B$648,$B133,Filas!$N$2:$N$648,"mejora")</f>
        <v>4</v>
      </c>
      <c r="E133" s="4" t="n">
        <f aca="false">COUNTIFS(Filas!$A$2:$A$648,$A133,Filas!$B$2:$B$648,$B133,Filas!$N$2:$N$648,"sin cambio")</f>
        <v>0</v>
      </c>
      <c r="F133" s="4" t="n">
        <f aca="false">COUNTIFS(Filas!$A$2:$A$648,$A133,Filas!$B$2:$B$648,$B133,Filas!$N$2:$N$648,"empeora")</f>
        <v>0</v>
      </c>
      <c r="G133" s="4" t="n">
        <f aca="false">COUNTIFS(Filas!$A$2:$A$648,$A133,Filas!$B$2:$B$648,$B133,Filas!$N$2:$N$648,"mixto")</f>
        <v>0</v>
      </c>
      <c r="H133" s="4" t="n">
        <f aca="false">COUNTIFS(Filas!$A$2:$A$648,$A133,Filas!$B$2:$B$648,$B133,Filas!$S$2:$S$648,"cita encontrada*")+COUNTIFS(Filas!$A$2:$A$648,$A133,Filas!$B$2:$B$648,$B133,Filas!$S$2:$S$648,"página existe*")</f>
        <v>5</v>
      </c>
      <c r="I133" s="4" t="n">
        <f aca="false">COUNTIFS(Filas!$A$2:$A$648,$A133,Filas!$B$2:$B$648,$B133,Filas!$S$2:$S$648,"cita no encontrada*")+COUNTIFS(Filas!$A$2:$A$648,$A133,Filas!$B$2:$B$648,$B133,Filas!$S$2:$S$648,"página no accesible*")</f>
        <v>0</v>
      </c>
    </row>
    <row r="134" customFormat="false" ht="15" hidden="false" customHeight="false" outlineLevel="0" collapsed="false">
      <c r="A134" s="4" t="s">
        <v>3485</v>
      </c>
      <c r="B134" s="4" t="s">
        <v>3690</v>
      </c>
      <c r="C134" s="4" t="n">
        <f aca="false">COUNTIFS(Filas!$A$2:$A$648,$A134,Filas!$B$2:$B$648,$B134)</f>
        <v>6</v>
      </c>
      <c r="D134" s="4" t="n">
        <f aca="false">COUNTIFS(Filas!$A$2:$A$648,$A134,Filas!$B$2:$B$648,$B134,Filas!$N$2:$N$648,"mejora")</f>
        <v>3</v>
      </c>
      <c r="E134" s="4" t="n">
        <f aca="false">COUNTIFS(Filas!$A$2:$A$648,$A134,Filas!$B$2:$B$648,$B134,Filas!$N$2:$N$648,"sin cambio")</f>
        <v>2</v>
      </c>
      <c r="F134" s="4" t="n">
        <f aca="false">COUNTIFS(Filas!$A$2:$A$648,$A134,Filas!$B$2:$B$648,$B134,Filas!$N$2:$N$648,"empeora")</f>
        <v>0</v>
      </c>
      <c r="G134" s="4" t="n">
        <f aca="false">COUNTIFS(Filas!$A$2:$A$648,$A134,Filas!$B$2:$B$648,$B134,Filas!$N$2:$N$648,"mixto")</f>
        <v>1</v>
      </c>
      <c r="H134" s="4" t="n">
        <f aca="false">COUNTIFS(Filas!$A$2:$A$648,$A134,Filas!$B$2:$B$648,$B134,Filas!$S$2:$S$648,"cita encontrada*")+COUNTIFS(Filas!$A$2:$A$648,$A134,Filas!$B$2:$B$648,$B134,Filas!$S$2:$S$648,"página existe*")</f>
        <v>6</v>
      </c>
      <c r="I134" s="4" t="n">
        <f aca="false">COUNTIFS(Filas!$A$2:$A$648,$A134,Filas!$B$2:$B$648,$B134,Filas!$S$2:$S$648,"cita no encontrada*")+COUNTIFS(Filas!$A$2:$A$648,$A134,Filas!$B$2:$B$648,$B134,Filas!$S$2:$S$648,"página no accesible*")</f>
        <v>0</v>
      </c>
    </row>
    <row r="135" customFormat="false" ht="15" hidden="false" customHeight="false" outlineLevel="0" collapsed="false">
      <c r="A135" s="4" t="s">
        <v>3485</v>
      </c>
      <c r="B135" s="4" t="s">
        <v>3762</v>
      </c>
      <c r="C135" s="4" t="n">
        <f aca="false">COUNTIFS(Filas!$A$2:$A$648,$A135,Filas!$B$2:$B$648,$B135)</f>
        <v>4</v>
      </c>
      <c r="D135" s="4" t="n">
        <f aca="false">COUNTIFS(Filas!$A$2:$A$648,$A135,Filas!$B$2:$B$648,$B135,Filas!$N$2:$N$648,"mejora")</f>
        <v>1</v>
      </c>
      <c r="E135" s="4" t="n">
        <f aca="false">COUNTIFS(Filas!$A$2:$A$648,$A135,Filas!$B$2:$B$648,$B135,Filas!$N$2:$N$648,"sin cambio")</f>
        <v>1</v>
      </c>
      <c r="F135" s="4" t="n">
        <f aca="false">COUNTIFS(Filas!$A$2:$A$648,$A135,Filas!$B$2:$B$648,$B135,Filas!$N$2:$N$648,"empeora")</f>
        <v>0</v>
      </c>
      <c r="G135" s="4" t="n">
        <f aca="false">COUNTIFS(Filas!$A$2:$A$648,$A135,Filas!$B$2:$B$648,$B135,Filas!$N$2:$N$648,"mixto")</f>
        <v>0</v>
      </c>
      <c r="H135" s="4" t="n">
        <f aca="false">COUNTIFS(Filas!$A$2:$A$648,$A135,Filas!$B$2:$B$648,$B135,Filas!$S$2:$S$648,"cita encontrada*")+COUNTIFS(Filas!$A$2:$A$648,$A135,Filas!$B$2:$B$648,$B135,Filas!$S$2:$S$648,"página existe*")</f>
        <v>4</v>
      </c>
      <c r="I135" s="4" t="n">
        <f aca="false">COUNTIFS(Filas!$A$2:$A$648,$A135,Filas!$B$2:$B$648,$B135,Filas!$S$2:$S$648,"cita no encontrada*")+COUNTIFS(Filas!$A$2:$A$648,$A135,Filas!$B$2:$B$648,$B135,Filas!$S$2:$S$648,"página no accesible*")</f>
        <v>0</v>
      </c>
    </row>
    <row r="136" customFormat="false" ht="15" hidden="false" customHeight="false" outlineLevel="0" collapsed="false">
      <c r="A136" s="4" t="s">
        <v>3485</v>
      </c>
      <c r="B136" s="4" t="s">
        <v>3812</v>
      </c>
      <c r="C136" s="4" t="n">
        <f aca="false">COUNTIFS(Filas!$A$2:$A$648,$A136,Filas!$B$2:$B$648,$B136)</f>
        <v>1</v>
      </c>
      <c r="D136" s="4" t="n">
        <f aca="false">COUNTIFS(Filas!$A$2:$A$648,$A136,Filas!$B$2:$B$648,$B136,Filas!$N$2:$N$648,"mejora")</f>
        <v>1</v>
      </c>
      <c r="E136" s="4" t="n">
        <f aca="false">COUNTIFS(Filas!$A$2:$A$648,$A136,Filas!$B$2:$B$648,$B136,Filas!$N$2:$N$648,"sin cambio")</f>
        <v>0</v>
      </c>
      <c r="F136" s="4" t="n">
        <f aca="false">COUNTIFS(Filas!$A$2:$A$648,$A136,Filas!$B$2:$B$648,$B136,Filas!$N$2:$N$648,"empeora")</f>
        <v>0</v>
      </c>
      <c r="G136" s="4" t="n">
        <f aca="false">COUNTIFS(Filas!$A$2:$A$648,$A136,Filas!$B$2:$B$648,$B136,Filas!$N$2:$N$648,"mixto")</f>
        <v>0</v>
      </c>
      <c r="H136" s="4" t="n">
        <f aca="false">COUNTIFS(Filas!$A$2:$A$648,$A136,Filas!$B$2:$B$648,$B136,Filas!$S$2:$S$648,"cita encontrada*")+COUNTIFS(Filas!$A$2:$A$648,$A136,Filas!$B$2:$B$648,$B136,Filas!$S$2:$S$648,"página existe*")</f>
        <v>1</v>
      </c>
      <c r="I136" s="4" t="n">
        <f aca="false">COUNTIFS(Filas!$A$2:$A$648,$A136,Filas!$B$2:$B$648,$B136,Filas!$S$2:$S$648,"cita no encontrada*")+COUNTIFS(Filas!$A$2:$A$648,$A136,Filas!$B$2:$B$648,$B136,Filas!$S$2:$S$648,"página no accesible*")</f>
        <v>0</v>
      </c>
    </row>
    <row r="137" customFormat="false" ht="15" hidden="false" customHeight="false" outlineLevel="0" collapsed="false">
      <c r="A137" s="4" t="s">
        <v>3485</v>
      </c>
      <c r="B137" s="4" t="s">
        <v>1422</v>
      </c>
      <c r="C137" s="4" t="n">
        <f aca="false">COUNTIFS(Filas!$A$2:$A$648,$A137,Filas!$B$2:$B$648,$B137)</f>
        <v>1</v>
      </c>
      <c r="D137" s="4" t="n">
        <f aca="false">COUNTIFS(Filas!$A$2:$A$648,$A137,Filas!$B$2:$B$648,$B137,Filas!$N$2:$N$648,"mejora")</f>
        <v>0</v>
      </c>
      <c r="E137" s="4" t="n">
        <f aca="false">COUNTIFS(Filas!$A$2:$A$648,$A137,Filas!$B$2:$B$648,$B137,Filas!$N$2:$N$648,"sin cambio")</f>
        <v>0</v>
      </c>
      <c r="F137" s="4" t="n">
        <f aca="false">COUNTIFS(Filas!$A$2:$A$648,$A137,Filas!$B$2:$B$648,$B137,Filas!$N$2:$N$648,"empeora")</f>
        <v>0</v>
      </c>
      <c r="G137" s="4" t="n">
        <f aca="false">COUNTIFS(Filas!$A$2:$A$648,$A137,Filas!$B$2:$B$648,$B137,Filas!$N$2:$N$648,"mixto")</f>
        <v>1</v>
      </c>
      <c r="H137" s="4" t="n">
        <f aca="false">COUNTIFS(Filas!$A$2:$A$648,$A137,Filas!$B$2:$B$648,$B137,Filas!$S$2:$S$648,"cita encontrada*")+COUNTIFS(Filas!$A$2:$A$648,$A137,Filas!$B$2:$B$648,$B137,Filas!$S$2:$S$648,"página existe*")</f>
        <v>1</v>
      </c>
      <c r="I137" s="4" t="n">
        <f aca="false">COUNTIFS(Filas!$A$2:$A$648,$A137,Filas!$B$2:$B$648,$B137,Filas!$S$2:$S$648,"cita no encontrada*")+COUNTIFS(Filas!$A$2:$A$648,$A137,Filas!$B$2:$B$648,$B137,Filas!$S$2:$S$648,"página no accesible*")</f>
        <v>0</v>
      </c>
    </row>
    <row r="138" customFormat="false" ht="15" hidden="false" customHeight="false" outlineLevel="0" collapsed="false">
      <c r="A138" s="4" t="s">
        <v>3485</v>
      </c>
      <c r="B138" s="4" t="s">
        <v>3837</v>
      </c>
      <c r="C138" s="4" t="n">
        <f aca="false">COUNTIFS(Filas!$A$2:$A$648,$A138,Filas!$B$2:$B$648,$B138)</f>
        <v>1</v>
      </c>
      <c r="D138" s="4" t="n">
        <f aca="false">COUNTIFS(Filas!$A$2:$A$648,$A138,Filas!$B$2:$B$648,$B138,Filas!$N$2:$N$648,"mejora")</f>
        <v>0</v>
      </c>
      <c r="E138" s="4" t="n">
        <f aca="false">COUNTIFS(Filas!$A$2:$A$648,$A138,Filas!$B$2:$B$648,$B138,Filas!$N$2:$N$648,"sin cambio")</f>
        <v>1</v>
      </c>
      <c r="F138" s="4" t="n">
        <f aca="false">COUNTIFS(Filas!$A$2:$A$648,$A138,Filas!$B$2:$B$648,$B138,Filas!$N$2:$N$648,"empeora")</f>
        <v>0</v>
      </c>
      <c r="G138" s="4" t="n">
        <f aca="false">COUNTIFS(Filas!$A$2:$A$648,$A138,Filas!$B$2:$B$648,$B138,Filas!$N$2:$N$648,"mixto")</f>
        <v>0</v>
      </c>
      <c r="H138" s="4" t="n">
        <f aca="false">COUNTIFS(Filas!$A$2:$A$648,$A138,Filas!$B$2:$B$648,$B138,Filas!$S$2:$S$648,"cita encontrada*")+COUNTIFS(Filas!$A$2:$A$648,$A138,Filas!$B$2:$B$648,$B138,Filas!$S$2:$S$648,"página existe*")</f>
        <v>1</v>
      </c>
      <c r="I138" s="4" t="n">
        <f aca="false">COUNTIFS(Filas!$A$2:$A$648,$A138,Filas!$B$2:$B$648,$B138,Filas!$S$2:$S$648,"cita no encontrada*")+COUNTIFS(Filas!$A$2:$A$648,$A138,Filas!$B$2:$B$648,$B138,Filas!$S$2:$S$648,"página no accesible*")</f>
        <v>0</v>
      </c>
    </row>
    <row r="139" customFormat="false" ht="15" hidden="false" customHeight="false" outlineLevel="0" collapsed="false">
      <c r="A139" s="4" t="s">
        <v>3485</v>
      </c>
      <c r="B139" s="4" t="s">
        <v>3847</v>
      </c>
      <c r="C139" s="4" t="n">
        <f aca="false">COUNTIFS(Filas!$A$2:$A$648,$A139,Filas!$B$2:$B$648,$B139)</f>
        <v>1</v>
      </c>
      <c r="D139" s="4" t="n">
        <f aca="false">COUNTIFS(Filas!$A$2:$A$648,$A139,Filas!$B$2:$B$648,$B139,Filas!$N$2:$N$648,"mejora")</f>
        <v>0</v>
      </c>
      <c r="E139" s="4" t="n">
        <f aca="false">COUNTIFS(Filas!$A$2:$A$648,$A139,Filas!$B$2:$B$648,$B139,Filas!$N$2:$N$648,"sin cambio")</f>
        <v>1</v>
      </c>
      <c r="F139" s="4" t="n">
        <f aca="false">COUNTIFS(Filas!$A$2:$A$648,$A139,Filas!$B$2:$B$648,$B139,Filas!$N$2:$N$648,"empeora")</f>
        <v>0</v>
      </c>
      <c r="G139" s="4" t="n">
        <f aca="false">COUNTIFS(Filas!$A$2:$A$648,$A139,Filas!$B$2:$B$648,$B139,Filas!$N$2:$N$648,"mixto")</f>
        <v>0</v>
      </c>
      <c r="H139" s="4" t="n">
        <f aca="false">COUNTIFS(Filas!$A$2:$A$648,$A139,Filas!$B$2:$B$648,$B139,Filas!$S$2:$S$648,"cita encontrada*")+COUNTIFS(Filas!$A$2:$A$648,$A139,Filas!$B$2:$B$648,$B139,Filas!$S$2:$S$648,"página existe*")</f>
        <v>1</v>
      </c>
      <c r="I139" s="4" t="n">
        <f aca="false">COUNTIFS(Filas!$A$2:$A$648,$A139,Filas!$B$2:$B$648,$B139,Filas!$S$2:$S$648,"cita no encontrada*")+COUNTIFS(Filas!$A$2:$A$648,$A139,Filas!$B$2:$B$648,$B139,Filas!$S$2:$S$648,"página no accesible*")</f>
        <v>0</v>
      </c>
    </row>
    <row r="140" customFormat="false" ht="15" hidden="false" customHeight="false" outlineLevel="0" collapsed="false">
      <c r="A140" s="4" t="s">
        <v>3485</v>
      </c>
      <c r="B140" s="4" t="s">
        <v>3861</v>
      </c>
      <c r="C140" s="4" t="n">
        <f aca="false">COUNTIFS(Filas!$A$2:$A$648,$A140,Filas!$B$2:$B$648,$B140)</f>
        <v>1</v>
      </c>
      <c r="D140" s="4" t="n">
        <f aca="false">COUNTIFS(Filas!$A$2:$A$648,$A140,Filas!$B$2:$B$648,$B140,Filas!$N$2:$N$648,"mejora")</f>
        <v>0</v>
      </c>
      <c r="E140" s="4" t="n">
        <f aca="false">COUNTIFS(Filas!$A$2:$A$648,$A140,Filas!$B$2:$B$648,$B140,Filas!$N$2:$N$648,"sin cambio")</f>
        <v>0</v>
      </c>
      <c r="F140" s="4" t="n">
        <f aca="false">COUNTIFS(Filas!$A$2:$A$648,$A140,Filas!$B$2:$B$648,$B140,Filas!$N$2:$N$648,"empeora")</f>
        <v>0</v>
      </c>
      <c r="G140" s="4" t="n">
        <f aca="false">COUNTIFS(Filas!$A$2:$A$648,$A140,Filas!$B$2:$B$648,$B140,Filas!$N$2:$N$648,"mixto")</f>
        <v>1</v>
      </c>
      <c r="H140" s="4" t="n">
        <f aca="false">COUNTIFS(Filas!$A$2:$A$648,$A140,Filas!$B$2:$B$648,$B140,Filas!$S$2:$S$648,"cita encontrada*")+COUNTIFS(Filas!$A$2:$A$648,$A140,Filas!$B$2:$B$648,$B140,Filas!$S$2:$S$648,"página existe*")</f>
        <v>1</v>
      </c>
      <c r="I140" s="4" t="n">
        <f aca="false">COUNTIFS(Filas!$A$2:$A$648,$A140,Filas!$B$2:$B$648,$B140,Filas!$S$2:$S$648,"cita no encontrada*")+COUNTIFS(Filas!$A$2:$A$648,$A140,Filas!$B$2:$B$648,$B140,Filas!$S$2:$S$648,"página no accesible*")</f>
        <v>0</v>
      </c>
    </row>
    <row r="141" customFormat="false" ht="15" hidden="false" customHeight="false" outlineLevel="0" collapsed="false">
      <c r="A141" s="4" t="s">
        <v>3485</v>
      </c>
      <c r="B141" s="4" t="s">
        <v>3876</v>
      </c>
      <c r="C141" s="4" t="n">
        <f aca="false">COUNTIFS(Filas!$A$2:$A$648,$A141,Filas!$B$2:$B$648,$B141)</f>
        <v>2</v>
      </c>
      <c r="D141" s="4" t="n">
        <f aca="false">COUNTIFS(Filas!$A$2:$A$648,$A141,Filas!$B$2:$B$648,$B141,Filas!$N$2:$N$648,"mejora")</f>
        <v>2</v>
      </c>
      <c r="E141" s="4" t="n">
        <f aca="false">COUNTIFS(Filas!$A$2:$A$648,$A141,Filas!$B$2:$B$648,$B141,Filas!$N$2:$N$648,"sin cambio")</f>
        <v>0</v>
      </c>
      <c r="F141" s="4" t="n">
        <f aca="false">COUNTIFS(Filas!$A$2:$A$648,$A141,Filas!$B$2:$B$648,$B141,Filas!$N$2:$N$648,"empeora")</f>
        <v>0</v>
      </c>
      <c r="G141" s="4" t="n">
        <f aca="false">COUNTIFS(Filas!$A$2:$A$648,$A141,Filas!$B$2:$B$648,$B141,Filas!$N$2:$N$648,"mixto")</f>
        <v>0</v>
      </c>
      <c r="H141" s="4" t="n">
        <f aca="false">COUNTIFS(Filas!$A$2:$A$648,$A141,Filas!$B$2:$B$648,$B141,Filas!$S$2:$S$648,"cita encontrada*")+COUNTIFS(Filas!$A$2:$A$648,$A141,Filas!$B$2:$B$648,$B141,Filas!$S$2:$S$648,"página existe*")</f>
        <v>2</v>
      </c>
      <c r="I141" s="4" t="n">
        <f aca="false">COUNTIFS(Filas!$A$2:$A$648,$A141,Filas!$B$2:$B$648,$B141,Filas!$S$2:$S$648,"cita no encontrada*")+COUNTIFS(Filas!$A$2:$A$648,$A141,Filas!$B$2:$B$648,$B141,Filas!$S$2:$S$648,"página no accesible*")</f>
        <v>0</v>
      </c>
    </row>
    <row r="142" customFormat="false" ht="15" hidden="false" customHeight="false" outlineLevel="0" collapsed="false">
      <c r="A142" s="4" t="s">
        <v>3485</v>
      </c>
      <c r="B142" s="4" t="s">
        <v>3899</v>
      </c>
      <c r="C142" s="4" t="n">
        <f aca="false">COUNTIFS(Filas!$A$2:$A$648,$A142,Filas!$B$2:$B$648,$B142)</f>
        <v>1</v>
      </c>
      <c r="D142" s="4" t="n">
        <f aca="false">COUNTIFS(Filas!$A$2:$A$648,$A142,Filas!$B$2:$B$648,$B142,Filas!$N$2:$N$648,"mejora")</f>
        <v>0</v>
      </c>
      <c r="E142" s="4" t="n">
        <f aca="false">COUNTIFS(Filas!$A$2:$A$648,$A142,Filas!$B$2:$B$648,$B142,Filas!$N$2:$N$648,"sin cambio")</f>
        <v>1</v>
      </c>
      <c r="F142" s="4" t="n">
        <f aca="false">COUNTIFS(Filas!$A$2:$A$648,$A142,Filas!$B$2:$B$648,$B142,Filas!$N$2:$N$648,"empeora")</f>
        <v>0</v>
      </c>
      <c r="G142" s="4" t="n">
        <f aca="false">COUNTIFS(Filas!$A$2:$A$648,$A142,Filas!$B$2:$B$648,$B142,Filas!$N$2:$N$648,"mixto")</f>
        <v>0</v>
      </c>
      <c r="H142" s="4" t="n">
        <f aca="false">COUNTIFS(Filas!$A$2:$A$648,$A142,Filas!$B$2:$B$648,$B142,Filas!$S$2:$S$648,"cita encontrada*")+COUNTIFS(Filas!$A$2:$A$648,$A142,Filas!$B$2:$B$648,$B142,Filas!$S$2:$S$648,"página existe*")</f>
        <v>1</v>
      </c>
      <c r="I142" s="4" t="n">
        <f aca="false">COUNTIFS(Filas!$A$2:$A$648,$A142,Filas!$B$2:$B$648,$B142,Filas!$S$2:$S$648,"cita no encontrada*")+COUNTIFS(Filas!$A$2:$A$648,$A142,Filas!$B$2:$B$648,$B142,Filas!$S$2:$S$648,"página no accesible*")</f>
        <v>0</v>
      </c>
    </row>
    <row r="143" customFormat="false" ht="15" hidden="false" customHeight="false" outlineLevel="0" collapsed="false">
      <c r="A143" s="4" t="s">
        <v>3485</v>
      </c>
      <c r="B143" s="4" t="s">
        <v>3910</v>
      </c>
      <c r="C143" s="4" t="n">
        <f aca="false">COUNTIFS(Filas!$A$2:$A$648,$A143,Filas!$B$2:$B$648,$B143)</f>
        <v>2</v>
      </c>
      <c r="D143" s="4" t="n">
        <f aca="false">COUNTIFS(Filas!$A$2:$A$648,$A143,Filas!$B$2:$B$648,$B143,Filas!$N$2:$N$648,"mejora")</f>
        <v>2</v>
      </c>
      <c r="E143" s="4" t="n">
        <f aca="false">COUNTIFS(Filas!$A$2:$A$648,$A143,Filas!$B$2:$B$648,$B143,Filas!$N$2:$N$648,"sin cambio")</f>
        <v>0</v>
      </c>
      <c r="F143" s="4" t="n">
        <f aca="false">COUNTIFS(Filas!$A$2:$A$648,$A143,Filas!$B$2:$B$648,$B143,Filas!$N$2:$N$648,"empeora")</f>
        <v>0</v>
      </c>
      <c r="G143" s="4" t="n">
        <f aca="false">COUNTIFS(Filas!$A$2:$A$648,$A143,Filas!$B$2:$B$648,$B143,Filas!$N$2:$N$648,"mixto")</f>
        <v>0</v>
      </c>
      <c r="H143" s="4" t="n">
        <f aca="false">COUNTIFS(Filas!$A$2:$A$648,$A143,Filas!$B$2:$B$648,$B143,Filas!$S$2:$S$648,"cita encontrada*")+COUNTIFS(Filas!$A$2:$A$648,$A143,Filas!$B$2:$B$648,$B143,Filas!$S$2:$S$648,"página existe*")</f>
        <v>2</v>
      </c>
      <c r="I143" s="4" t="n">
        <f aca="false">COUNTIFS(Filas!$A$2:$A$648,$A143,Filas!$B$2:$B$648,$B143,Filas!$S$2:$S$648,"cita no encontrada*")+COUNTIFS(Filas!$A$2:$A$648,$A143,Filas!$B$2:$B$648,$B143,Filas!$S$2:$S$648,"página no accesible*")</f>
        <v>0</v>
      </c>
    </row>
    <row r="144" customFormat="false" ht="15" hidden="false" customHeight="false" outlineLevel="0" collapsed="false">
      <c r="A144" s="4" t="s">
        <v>3485</v>
      </c>
      <c r="B144" s="4" t="s">
        <v>3930</v>
      </c>
      <c r="C144" s="4" t="n">
        <f aca="false">COUNTIFS(Filas!$A$2:$A$648,$A144,Filas!$B$2:$B$648,$B144)</f>
        <v>1</v>
      </c>
      <c r="D144" s="4" t="n">
        <f aca="false">COUNTIFS(Filas!$A$2:$A$648,$A144,Filas!$B$2:$B$648,$B144,Filas!$N$2:$N$648,"mejora")</f>
        <v>1</v>
      </c>
      <c r="E144" s="4" t="n">
        <f aca="false">COUNTIFS(Filas!$A$2:$A$648,$A144,Filas!$B$2:$B$648,$B144,Filas!$N$2:$N$648,"sin cambio")</f>
        <v>0</v>
      </c>
      <c r="F144" s="4" t="n">
        <f aca="false">COUNTIFS(Filas!$A$2:$A$648,$A144,Filas!$B$2:$B$648,$B144,Filas!$N$2:$N$648,"empeora")</f>
        <v>0</v>
      </c>
      <c r="G144" s="4" t="n">
        <f aca="false">COUNTIFS(Filas!$A$2:$A$648,$A144,Filas!$B$2:$B$648,$B144,Filas!$N$2:$N$648,"mixto")</f>
        <v>0</v>
      </c>
      <c r="H144" s="4" t="n">
        <f aca="false">COUNTIFS(Filas!$A$2:$A$648,$A144,Filas!$B$2:$B$648,$B144,Filas!$S$2:$S$648,"cita encontrada*")+COUNTIFS(Filas!$A$2:$A$648,$A144,Filas!$B$2:$B$648,$B144,Filas!$S$2:$S$648,"página existe*")</f>
        <v>1</v>
      </c>
      <c r="I144" s="4" t="n">
        <f aca="false">COUNTIFS(Filas!$A$2:$A$648,$A144,Filas!$B$2:$B$648,$B144,Filas!$S$2:$S$648,"cita no encontrada*")+COUNTIFS(Filas!$A$2:$A$648,$A144,Filas!$B$2:$B$648,$B144,Filas!$S$2:$S$648,"página no accesible*")</f>
        <v>0</v>
      </c>
    </row>
    <row r="145" customFormat="false" ht="15" hidden="false" customHeight="false" outlineLevel="0" collapsed="false">
      <c r="A145" s="4" t="s">
        <v>3485</v>
      </c>
      <c r="B145" s="4" t="s">
        <v>3944</v>
      </c>
      <c r="C145" s="4" t="n">
        <f aca="false">COUNTIFS(Filas!$A$2:$A$648,$A145,Filas!$B$2:$B$648,$B145)</f>
        <v>1</v>
      </c>
      <c r="D145" s="4" t="n">
        <f aca="false">COUNTIFS(Filas!$A$2:$A$648,$A145,Filas!$B$2:$B$648,$B145,Filas!$N$2:$N$648,"mejora")</f>
        <v>1</v>
      </c>
      <c r="E145" s="4" t="n">
        <f aca="false">COUNTIFS(Filas!$A$2:$A$648,$A145,Filas!$B$2:$B$648,$B145,Filas!$N$2:$N$648,"sin cambio")</f>
        <v>0</v>
      </c>
      <c r="F145" s="4" t="n">
        <f aca="false">COUNTIFS(Filas!$A$2:$A$648,$A145,Filas!$B$2:$B$648,$B145,Filas!$N$2:$N$648,"empeora")</f>
        <v>0</v>
      </c>
      <c r="G145" s="4" t="n">
        <f aca="false">COUNTIFS(Filas!$A$2:$A$648,$A145,Filas!$B$2:$B$648,$B145,Filas!$N$2:$N$648,"mixto")</f>
        <v>0</v>
      </c>
      <c r="H145" s="4" t="n">
        <f aca="false">COUNTIFS(Filas!$A$2:$A$648,$A145,Filas!$B$2:$B$648,$B145,Filas!$S$2:$S$648,"cita encontrada*")+COUNTIFS(Filas!$A$2:$A$648,$A145,Filas!$B$2:$B$648,$B145,Filas!$S$2:$S$648,"página existe*")</f>
        <v>1</v>
      </c>
      <c r="I145" s="4" t="n">
        <f aca="false">COUNTIFS(Filas!$A$2:$A$648,$A145,Filas!$B$2:$B$648,$B145,Filas!$S$2:$S$648,"cita no encontrada*")+COUNTIFS(Filas!$A$2:$A$648,$A145,Filas!$B$2:$B$648,$B145,Filas!$S$2:$S$648,"página no accesible*")</f>
        <v>0</v>
      </c>
    </row>
    <row r="146" customFormat="false" ht="15" hidden="false" customHeight="false" outlineLevel="0" collapsed="false">
      <c r="A146" s="4" t="s">
        <v>3485</v>
      </c>
      <c r="B146" s="4" t="s">
        <v>3955</v>
      </c>
      <c r="C146" s="4" t="n">
        <f aca="false">COUNTIFS(Filas!$A$2:$A$648,$A146,Filas!$B$2:$B$648,$B146)</f>
        <v>1</v>
      </c>
      <c r="D146" s="4" t="n">
        <f aca="false">COUNTIFS(Filas!$A$2:$A$648,$A146,Filas!$B$2:$B$648,$B146,Filas!$N$2:$N$648,"mejora")</f>
        <v>1</v>
      </c>
      <c r="E146" s="4" t="n">
        <f aca="false">COUNTIFS(Filas!$A$2:$A$648,$A146,Filas!$B$2:$B$648,$B146,Filas!$N$2:$N$648,"sin cambio")</f>
        <v>0</v>
      </c>
      <c r="F146" s="4" t="n">
        <f aca="false">COUNTIFS(Filas!$A$2:$A$648,$A146,Filas!$B$2:$B$648,$B146,Filas!$N$2:$N$648,"empeora")</f>
        <v>0</v>
      </c>
      <c r="G146" s="4" t="n">
        <f aca="false">COUNTIFS(Filas!$A$2:$A$648,$A146,Filas!$B$2:$B$648,$B146,Filas!$N$2:$N$648,"mixto")</f>
        <v>0</v>
      </c>
      <c r="H146" s="4" t="n">
        <f aca="false">COUNTIFS(Filas!$A$2:$A$648,$A146,Filas!$B$2:$B$648,$B146,Filas!$S$2:$S$648,"cita encontrada*")+COUNTIFS(Filas!$A$2:$A$648,$A146,Filas!$B$2:$B$648,$B146,Filas!$S$2:$S$648,"página existe*")</f>
        <v>1</v>
      </c>
      <c r="I146" s="4" t="n">
        <f aca="false">COUNTIFS(Filas!$A$2:$A$648,$A146,Filas!$B$2:$B$648,$B146,Filas!$S$2:$S$648,"cita no encontrada*")+COUNTIFS(Filas!$A$2:$A$648,$A146,Filas!$B$2:$B$648,$B146,Filas!$S$2:$S$648,"página no accesible*")</f>
        <v>0</v>
      </c>
    </row>
    <row r="147" customFormat="false" ht="15" hidden="false" customHeight="false" outlineLevel="0" collapsed="false">
      <c r="A147" s="4" t="s">
        <v>3485</v>
      </c>
      <c r="B147" s="4" t="s">
        <v>3967</v>
      </c>
      <c r="C147" s="4" t="n">
        <f aca="false">COUNTIFS(Filas!$A$2:$A$648,$A147,Filas!$B$2:$B$648,$B147)</f>
        <v>1</v>
      </c>
      <c r="D147" s="4" t="n">
        <f aca="false">COUNTIFS(Filas!$A$2:$A$648,$A147,Filas!$B$2:$B$648,$B147,Filas!$N$2:$N$648,"mejora")</f>
        <v>1</v>
      </c>
      <c r="E147" s="4" t="n">
        <f aca="false">COUNTIFS(Filas!$A$2:$A$648,$A147,Filas!$B$2:$B$648,$B147,Filas!$N$2:$N$648,"sin cambio")</f>
        <v>0</v>
      </c>
      <c r="F147" s="4" t="n">
        <f aca="false">COUNTIFS(Filas!$A$2:$A$648,$A147,Filas!$B$2:$B$648,$B147,Filas!$N$2:$N$648,"empeora")</f>
        <v>0</v>
      </c>
      <c r="G147" s="4" t="n">
        <f aca="false">COUNTIFS(Filas!$A$2:$A$648,$A147,Filas!$B$2:$B$648,$B147,Filas!$N$2:$N$648,"mixto")</f>
        <v>0</v>
      </c>
      <c r="H147" s="4" t="n">
        <f aca="false">COUNTIFS(Filas!$A$2:$A$648,$A147,Filas!$B$2:$B$648,$B147,Filas!$S$2:$S$648,"cita encontrada*")+COUNTIFS(Filas!$A$2:$A$648,$A147,Filas!$B$2:$B$648,$B147,Filas!$S$2:$S$648,"página existe*")</f>
        <v>1</v>
      </c>
      <c r="I147" s="4" t="n">
        <f aca="false">COUNTIFS(Filas!$A$2:$A$648,$A147,Filas!$B$2:$B$648,$B147,Filas!$S$2:$S$648,"cita no encontrada*")+COUNTIFS(Filas!$A$2:$A$648,$A147,Filas!$B$2:$B$648,$B147,Filas!$S$2:$S$648,"página no accesible*")</f>
        <v>0</v>
      </c>
    </row>
    <row r="148" customFormat="false" ht="15" hidden="false" customHeight="false" outlineLevel="0" collapsed="false">
      <c r="A148" s="4" t="s">
        <v>3485</v>
      </c>
      <c r="B148" s="4" t="s">
        <v>3979</v>
      </c>
      <c r="C148" s="4" t="n">
        <f aca="false">COUNTIFS(Filas!$A$2:$A$648,$A148,Filas!$B$2:$B$648,$B148)</f>
        <v>1</v>
      </c>
      <c r="D148" s="4" t="n">
        <f aca="false">COUNTIFS(Filas!$A$2:$A$648,$A148,Filas!$B$2:$B$648,$B148,Filas!$N$2:$N$648,"mejora")</f>
        <v>1</v>
      </c>
      <c r="E148" s="4" t="n">
        <f aca="false">COUNTIFS(Filas!$A$2:$A$648,$A148,Filas!$B$2:$B$648,$B148,Filas!$N$2:$N$648,"sin cambio")</f>
        <v>0</v>
      </c>
      <c r="F148" s="4" t="n">
        <f aca="false">COUNTIFS(Filas!$A$2:$A$648,$A148,Filas!$B$2:$B$648,$B148,Filas!$N$2:$N$648,"empeora")</f>
        <v>0</v>
      </c>
      <c r="G148" s="4" t="n">
        <f aca="false">COUNTIFS(Filas!$A$2:$A$648,$A148,Filas!$B$2:$B$648,$B148,Filas!$N$2:$N$648,"mixto")</f>
        <v>0</v>
      </c>
      <c r="H148" s="4" t="n">
        <f aca="false">COUNTIFS(Filas!$A$2:$A$648,$A148,Filas!$B$2:$B$648,$B148,Filas!$S$2:$S$648,"cita encontrada*")+COUNTIFS(Filas!$A$2:$A$648,$A148,Filas!$B$2:$B$648,$B148,Filas!$S$2:$S$648,"página existe*")</f>
        <v>1</v>
      </c>
      <c r="I148" s="4" t="n">
        <f aca="false">COUNTIFS(Filas!$A$2:$A$648,$A148,Filas!$B$2:$B$648,$B148,Filas!$S$2:$S$648,"cita no encontrada*")+COUNTIFS(Filas!$A$2:$A$648,$A148,Filas!$B$2:$B$648,$B148,Filas!$S$2:$S$648,"página no accesible*")</f>
        <v>0</v>
      </c>
    </row>
    <row r="149" customFormat="false" ht="15" hidden="false" customHeight="false" outlineLevel="0" collapsed="false">
      <c r="A149" s="4" t="s">
        <v>3485</v>
      </c>
      <c r="B149" s="4" t="s">
        <v>3991</v>
      </c>
      <c r="C149" s="4" t="n">
        <f aca="false">COUNTIFS(Filas!$A$2:$A$648,$A149,Filas!$B$2:$B$648,$B149)</f>
        <v>1</v>
      </c>
      <c r="D149" s="4" t="n">
        <f aca="false">COUNTIFS(Filas!$A$2:$A$648,$A149,Filas!$B$2:$B$648,$B149,Filas!$N$2:$N$648,"mejora")</f>
        <v>1</v>
      </c>
      <c r="E149" s="4" t="n">
        <f aca="false">COUNTIFS(Filas!$A$2:$A$648,$A149,Filas!$B$2:$B$648,$B149,Filas!$N$2:$N$648,"sin cambio")</f>
        <v>0</v>
      </c>
      <c r="F149" s="4" t="n">
        <f aca="false">COUNTIFS(Filas!$A$2:$A$648,$A149,Filas!$B$2:$B$648,$B149,Filas!$N$2:$N$648,"empeora")</f>
        <v>0</v>
      </c>
      <c r="G149" s="4" t="n">
        <f aca="false">COUNTIFS(Filas!$A$2:$A$648,$A149,Filas!$B$2:$B$648,$B149,Filas!$N$2:$N$648,"mixto")</f>
        <v>0</v>
      </c>
      <c r="H149" s="4" t="n">
        <f aca="false">COUNTIFS(Filas!$A$2:$A$648,$A149,Filas!$B$2:$B$648,$B149,Filas!$S$2:$S$648,"cita encontrada*")+COUNTIFS(Filas!$A$2:$A$648,$A149,Filas!$B$2:$B$648,$B149,Filas!$S$2:$S$648,"página existe*")</f>
        <v>1</v>
      </c>
      <c r="I149" s="4" t="n">
        <f aca="false">COUNTIFS(Filas!$A$2:$A$648,$A149,Filas!$B$2:$B$648,$B149,Filas!$S$2:$S$648,"cita no encontrada*")+COUNTIFS(Filas!$A$2:$A$648,$A149,Filas!$B$2:$B$648,$B149,Filas!$S$2:$S$648,"página no accesible*")</f>
        <v>0</v>
      </c>
    </row>
    <row r="150" customFormat="false" ht="15" hidden="false" customHeight="false" outlineLevel="0" collapsed="false">
      <c r="A150" s="4" t="s">
        <v>3485</v>
      </c>
      <c r="B150" s="4" t="s">
        <v>4017</v>
      </c>
      <c r="C150" s="4" t="n">
        <f aca="false">COUNTIFS(Filas!$A$2:$A$648,$A150,Filas!$B$2:$B$648,$B150)</f>
        <v>1</v>
      </c>
      <c r="D150" s="4" t="n">
        <f aca="false">COUNTIFS(Filas!$A$2:$A$648,$A150,Filas!$B$2:$B$648,$B150,Filas!$N$2:$N$648,"mejora")</f>
        <v>0</v>
      </c>
      <c r="E150" s="4" t="n">
        <f aca="false">COUNTIFS(Filas!$A$2:$A$648,$A150,Filas!$B$2:$B$648,$B150,Filas!$N$2:$N$648,"sin cambio")</f>
        <v>0</v>
      </c>
      <c r="F150" s="4" t="n">
        <f aca="false">COUNTIFS(Filas!$A$2:$A$648,$A150,Filas!$B$2:$B$648,$B150,Filas!$N$2:$N$648,"empeora")</f>
        <v>0</v>
      </c>
      <c r="G150" s="4" t="n">
        <f aca="false">COUNTIFS(Filas!$A$2:$A$648,$A150,Filas!$B$2:$B$648,$B150,Filas!$N$2:$N$648,"mixto")</f>
        <v>0</v>
      </c>
      <c r="H150" s="4" t="n">
        <f aca="false">COUNTIFS(Filas!$A$2:$A$648,$A150,Filas!$B$2:$B$648,$B150,Filas!$S$2:$S$648,"cita encontrada*")+COUNTIFS(Filas!$A$2:$A$648,$A150,Filas!$B$2:$B$648,$B150,Filas!$S$2:$S$648,"página existe*")</f>
        <v>1</v>
      </c>
      <c r="I150" s="4" t="n">
        <f aca="false">COUNTIFS(Filas!$A$2:$A$648,$A150,Filas!$B$2:$B$648,$B150,Filas!$S$2:$S$648,"cita no encontrada*")+COUNTIFS(Filas!$A$2:$A$648,$A150,Filas!$B$2:$B$648,$B150,Filas!$S$2:$S$648,"página no accesible*")</f>
        <v>0</v>
      </c>
    </row>
    <row r="151" customFormat="false" ht="15" hidden="false" customHeight="false" outlineLevel="0" collapsed="false">
      <c r="A151" s="4" t="s">
        <v>3485</v>
      </c>
      <c r="B151" s="4" t="s">
        <v>4030</v>
      </c>
      <c r="C151" s="4" t="n">
        <f aca="false">COUNTIFS(Filas!$A$2:$A$648,$A151,Filas!$B$2:$B$648,$B151)</f>
        <v>1</v>
      </c>
      <c r="D151" s="4" t="n">
        <f aca="false">COUNTIFS(Filas!$A$2:$A$648,$A151,Filas!$B$2:$B$648,$B151,Filas!$N$2:$N$648,"mejora")</f>
        <v>0</v>
      </c>
      <c r="E151" s="4" t="n">
        <f aca="false">COUNTIFS(Filas!$A$2:$A$648,$A151,Filas!$B$2:$B$648,$B151,Filas!$N$2:$N$648,"sin cambio")</f>
        <v>0</v>
      </c>
      <c r="F151" s="4" t="n">
        <f aca="false">COUNTIFS(Filas!$A$2:$A$648,$A151,Filas!$B$2:$B$648,$B151,Filas!$N$2:$N$648,"empeora")</f>
        <v>0</v>
      </c>
      <c r="G151" s="4" t="n">
        <f aca="false">COUNTIFS(Filas!$A$2:$A$648,$A151,Filas!$B$2:$B$648,$B151,Filas!$N$2:$N$648,"mixto")</f>
        <v>0</v>
      </c>
      <c r="H151" s="4" t="n">
        <f aca="false">COUNTIFS(Filas!$A$2:$A$648,$A151,Filas!$B$2:$B$648,$B151,Filas!$S$2:$S$648,"cita encontrada*")+COUNTIFS(Filas!$A$2:$A$648,$A151,Filas!$B$2:$B$648,$B151,Filas!$S$2:$S$648,"página existe*")</f>
        <v>1</v>
      </c>
      <c r="I151" s="4" t="n">
        <f aca="false">COUNTIFS(Filas!$A$2:$A$648,$A151,Filas!$B$2:$B$648,$B151,Filas!$S$2:$S$648,"cita no encontrada*")+COUNTIFS(Filas!$A$2:$A$648,$A151,Filas!$B$2:$B$648,$B151,Filas!$S$2:$S$648,"página no accesible*")</f>
        <v>0</v>
      </c>
    </row>
    <row r="152" customFormat="false" ht="15" hidden="false" customHeight="false" outlineLevel="0" collapsed="false">
      <c r="A152" s="4" t="s">
        <v>4043</v>
      </c>
      <c r="B152" s="4" t="s">
        <v>2252</v>
      </c>
      <c r="C152" s="4" t="n">
        <f aca="false">COUNTIFS(Filas!$A$2:$A$648,$A152,Filas!$B$2:$B$648,$B152)</f>
        <v>10</v>
      </c>
      <c r="D152" s="4" t="n">
        <f aca="false">COUNTIFS(Filas!$A$2:$A$648,$A152,Filas!$B$2:$B$648,$B152,Filas!$N$2:$N$648,"mejora")</f>
        <v>8</v>
      </c>
      <c r="E152" s="4" t="n">
        <f aca="false">COUNTIFS(Filas!$A$2:$A$648,$A152,Filas!$B$2:$B$648,$B152,Filas!$N$2:$N$648,"sin cambio")</f>
        <v>0</v>
      </c>
      <c r="F152" s="4" t="n">
        <f aca="false">COUNTIFS(Filas!$A$2:$A$648,$A152,Filas!$B$2:$B$648,$B152,Filas!$N$2:$N$648,"empeora")</f>
        <v>1</v>
      </c>
      <c r="G152" s="4" t="n">
        <f aca="false">COUNTIFS(Filas!$A$2:$A$648,$A152,Filas!$B$2:$B$648,$B152,Filas!$N$2:$N$648,"mixto")</f>
        <v>0</v>
      </c>
      <c r="H152" s="4" t="n">
        <f aca="false">COUNTIFS(Filas!$A$2:$A$648,$A152,Filas!$B$2:$B$648,$B152,Filas!$S$2:$S$648,"cita encontrada*")+COUNTIFS(Filas!$A$2:$A$648,$A152,Filas!$B$2:$B$648,$B152,Filas!$S$2:$S$648,"página existe*")</f>
        <v>8</v>
      </c>
      <c r="I152" s="4" t="n">
        <f aca="false">COUNTIFS(Filas!$A$2:$A$648,$A152,Filas!$B$2:$B$648,$B152,Filas!$S$2:$S$648,"cita no encontrada*")+COUNTIFS(Filas!$A$2:$A$648,$A152,Filas!$B$2:$B$648,$B152,Filas!$S$2:$S$648,"página no accesible*")</f>
        <v>2</v>
      </c>
    </row>
    <row r="153" customFormat="false" ht="15" hidden="false" customHeight="false" outlineLevel="0" collapsed="false">
      <c r="A153" s="4" t="s">
        <v>4043</v>
      </c>
      <c r="B153" s="4" t="s">
        <v>4108</v>
      </c>
      <c r="C153" s="4" t="n">
        <f aca="false">COUNTIFS(Filas!$A$2:$A$648,$A153,Filas!$B$2:$B$648,$B153)</f>
        <v>1</v>
      </c>
      <c r="D153" s="4" t="n">
        <f aca="false">COUNTIFS(Filas!$A$2:$A$648,$A153,Filas!$B$2:$B$648,$B153,Filas!$N$2:$N$648,"mejora")</f>
        <v>0</v>
      </c>
      <c r="E153" s="4" t="n">
        <f aca="false">COUNTIFS(Filas!$A$2:$A$648,$A153,Filas!$B$2:$B$648,$B153,Filas!$N$2:$N$648,"sin cambio")</f>
        <v>0</v>
      </c>
      <c r="F153" s="4" t="n">
        <f aca="false">COUNTIFS(Filas!$A$2:$A$648,$A153,Filas!$B$2:$B$648,$B153,Filas!$N$2:$N$648,"empeora")</f>
        <v>0</v>
      </c>
      <c r="G153" s="4" t="n">
        <f aca="false">COUNTIFS(Filas!$A$2:$A$648,$A153,Filas!$B$2:$B$648,$B153,Filas!$N$2:$N$648,"mixto")</f>
        <v>1</v>
      </c>
      <c r="H153" s="4" t="n">
        <f aca="false">COUNTIFS(Filas!$A$2:$A$648,$A153,Filas!$B$2:$B$648,$B153,Filas!$S$2:$S$648,"cita encontrada*")+COUNTIFS(Filas!$A$2:$A$648,$A153,Filas!$B$2:$B$648,$B153,Filas!$S$2:$S$648,"página existe*")</f>
        <v>1</v>
      </c>
      <c r="I153" s="4" t="n">
        <f aca="false">COUNTIFS(Filas!$A$2:$A$648,$A153,Filas!$B$2:$B$648,$B153,Filas!$S$2:$S$648,"cita no encontrada*")+COUNTIFS(Filas!$A$2:$A$648,$A153,Filas!$B$2:$B$648,$B153,Filas!$S$2:$S$648,"página no accesible*")</f>
        <v>0</v>
      </c>
    </row>
    <row r="154" customFormat="false" ht="15" hidden="false" customHeight="false" outlineLevel="0" collapsed="false">
      <c r="A154" s="4" t="s">
        <v>4043</v>
      </c>
      <c r="B154" s="4" t="s">
        <v>4139</v>
      </c>
      <c r="C154" s="4" t="n">
        <f aca="false">COUNTIFS(Filas!$A$2:$A$648,$A154,Filas!$B$2:$B$648,$B154)</f>
        <v>1</v>
      </c>
      <c r="D154" s="4" t="n">
        <f aca="false">COUNTIFS(Filas!$A$2:$A$648,$A154,Filas!$B$2:$B$648,$B154,Filas!$N$2:$N$648,"mejora")</f>
        <v>1</v>
      </c>
      <c r="E154" s="4" t="n">
        <f aca="false">COUNTIFS(Filas!$A$2:$A$648,$A154,Filas!$B$2:$B$648,$B154,Filas!$N$2:$N$648,"sin cambio")</f>
        <v>0</v>
      </c>
      <c r="F154" s="4" t="n">
        <f aca="false">COUNTIFS(Filas!$A$2:$A$648,$A154,Filas!$B$2:$B$648,$B154,Filas!$N$2:$N$648,"empeora")</f>
        <v>0</v>
      </c>
      <c r="G154" s="4" t="n">
        <f aca="false">COUNTIFS(Filas!$A$2:$A$648,$A154,Filas!$B$2:$B$648,$B154,Filas!$N$2:$N$648,"mixto")</f>
        <v>0</v>
      </c>
      <c r="H154" s="4" t="n">
        <f aca="false">COUNTIFS(Filas!$A$2:$A$648,$A154,Filas!$B$2:$B$648,$B154,Filas!$S$2:$S$648,"cita encontrada*")+COUNTIFS(Filas!$A$2:$A$648,$A154,Filas!$B$2:$B$648,$B154,Filas!$S$2:$S$648,"página existe*")</f>
        <v>1</v>
      </c>
      <c r="I154" s="4" t="n">
        <f aca="false">COUNTIFS(Filas!$A$2:$A$648,$A154,Filas!$B$2:$B$648,$B154,Filas!$S$2:$S$648,"cita no encontrada*")+COUNTIFS(Filas!$A$2:$A$648,$A154,Filas!$B$2:$B$648,$B154,Filas!$S$2:$S$648,"página no accesible*")</f>
        <v>0</v>
      </c>
    </row>
    <row r="155" customFormat="false" ht="15" hidden="false" customHeight="false" outlineLevel="0" collapsed="false">
      <c r="A155" s="4" t="s">
        <v>4043</v>
      </c>
      <c r="B155" s="4" t="s">
        <v>4151</v>
      </c>
      <c r="C155" s="4" t="n">
        <f aca="false">COUNTIFS(Filas!$A$2:$A$648,$A155,Filas!$B$2:$B$648,$B155)</f>
        <v>2</v>
      </c>
      <c r="D155" s="4" t="n">
        <f aca="false">COUNTIFS(Filas!$A$2:$A$648,$A155,Filas!$B$2:$B$648,$B155,Filas!$N$2:$N$648,"mejora")</f>
        <v>1</v>
      </c>
      <c r="E155" s="4" t="n">
        <f aca="false">COUNTIFS(Filas!$A$2:$A$648,$A155,Filas!$B$2:$B$648,$B155,Filas!$N$2:$N$648,"sin cambio")</f>
        <v>0</v>
      </c>
      <c r="F155" s="4" t="n">
        <f aca="false">COUNTIFS(Filas!$A$2:$A$648,$A155,Filas!$B$2:$B$648,$B155,Filas!$N$2:$N$648,"empeora")</f>
        <v>0</v>
      </c>
      <c r="G155" s="4" t="n">
        <f aca="false">COUNTIFS(Filas!$A$2:$A$648,$A155,Filas!$B$2:$B$648,$B155,Filas!$N$2:$N$648,"mixto")</f>
        <v>0</v>
      </c>
      <c r="H155" s="4" t="n">
        <f aca="false">COUNTIFS(Filas!$A$2:$A$648,$A155,Filas!$B$2:$B$648,$B155,Filas!$S$2:$S$648,"cita encontrada*")+COUNTIFS(Filas!$A$2:$A$648,$A155,Filas!$B$2:$B$648,$B155,Filas!$S$2:$S$648,"página existe*")</f>
        <v>2</v>
      </c>
      <c r="I155" s="4" t="n">
        <f aca="false">COUNTIFS(Filas!$A$2:$A$648,$A155,Filas!$B$2:$B$648,$B155,Filas!$S$2:$S$648,"cita no encontrada*")+COUNTIFS(Filas!$A$2:$A$648,$A155,Filas!$B$2:$B$648,$B155,Filas!$S$2:$S$648,"página no accesible*")</f>
        <v>0</v>
      </c>
    </row>
    <row r="156" customFormat="false" ht="15" hidden="false" customHeight="false" outlineLevel="0" collapsed="false">
      <c r="A156" s="4" t="s">
        <v>4043</v>
      </c>
      <c r="B156" s="4" t="s">
        <v>4193</v>
      </c>
      <c r="C156" s="4" t="n">
        <f aca="false">COUNTIFS(Filas!$A$2:$A$648,$A156,Filas!$B$2:$B$648,$B156)</f>
        <v>1</v>
      </c>
      <c r="D156" s="4" t="n">
        <f aca="false">COUNTIFS(Filas!$A$2:$A$648,$A156,Filas!$B$2:$B$648,$B156,Filas!$N$2:$N$648,"mejora")</f>
        <v>0</v>
      </c>
      <c r="E156" s="4" t="n">
        <f aca="false">COUNTIFS(Filas!$A$2:$A$648,$A156,Filas!$B$2:$B$648,$B156,Filas!$N$2:$N$648,"sin cambio")</f>
        <v>0</v>
      </c>
      <c r="F156" s="4" t="n">
        <f aca="false">COUNTIFS(Filas!$A$2:$A$648,$A156,Filas!$B$2:$B$648,$B156,Filas!$N$2:$N$648,"empeora")</f>
        <v>0</v>
      </c>
      <c r="G156" s="4" t="n">
        <f aca="false">COUNTIFS(Filas!$A$2:$A$648,$A156,Filas!$B$2:$B$648,$B156,Filas!$N$2:$N$648,"mixto")</f>
        <v>0</v>
      </c>
      <c r="H156" s="4" t="n">
        <f aca="false">COUNTIFS(Filas!$A$2:$A$648,$A156,Filas!$B$2:$B$648,$B156,Filas!$S$2:$S$648,"cita encontrada*")+COUNTIFS(Filas!$A$2:$A$648,$A156,Filas!$B$2:$B$648,$B156,Filas!$S$2:$S$648,"página existe*")</f>
        <v>1</v>
      </c>
      <c r="I156" s="4" t="n">
        <f aca="false">COUNTIFS(Filas!$A$2:$A$648,$A156,Filas!$B$2:$B$648,$B156,Filas!$S$2:$S$648,"cita no encontrada*")+COUNTIFS(Filas!$A$2:$A$648,$A156,Filas!$B$2:$B$648,$B156,Filas!$S$2:$S$648,"página no accesible*")</f>
        <v>0</v>
      </c>
    </row>
    <row r="157" customFormat="false" ht="15" hidden="false" customHeight="false" outlineLevel="0" collapsed="false">
      <c r="A157" s="4" t="s">
        <v>4043</v>
      </c>
      <c r="B157" s="4" t="s">
        <v>4206</v>
      </c>
      <c r="C157" s="4" t="n">
        <f aca="false">COUNTIFS(Filas!$A$2:$A$648,$A157,Filas!$B$2:$B$648,$B157)</f>
        <v>2</v>
      </c>
      <c r="D157" s="4" t="n">
        <f aca="false">COUNTIFS(Filas!$A$2:$A$648,$A157,Filas!$B$2:$B$648,$B157,Filas!$N$2:$N$648,"mejora")</f>
        <v>0</v>
      </c>
      <c r="E157" s="4" t="n">
        <f aca="false">COUNTIFS(Filas!$A$2:$A$648,$A157,Filas!$B$2:$B$648,$B157,Filas!$N$2:$N$648,"sin cambio")</f>
        <v>0</v>
      </c>
      <c r="F157" s="4" t="n">
        <f aca="false">COUNTIFS(Filas!$A$2:$A$648,$A157,Filas!$B$2:$B$648,$B157,Filas!$N$2:$N$648,"empeora")</f>
        <v>0</v>
      </c>
      <c r="G157" s="4" t="n">
        <f aca="false">COUNTIFS(Filas!$A$2:$A$648,$A157,Filas!$B$2:$B$648,$B157,Filas!$N$2:$N$648,"mixto")</f>
        <v>1</v>
      </c>
      <c r="H157" s="4" t="n">
        <f aca="false">COUNTIFS(Filas!$A$2:$A$648,$A157,Filas!$B$2:$B$648,$B157,Filas!$S$2:$S$648,"cita encontrada*")+COUNTIFS(Filas!$A$2:$A$648,$A157,Filas!$B$2:$B$648,$B157,Filas!$S$2:$S$648,"página existe*")</f>
        <v>2</v>
      </c>
      <c r="I157" s="4" t="n">
        <f aca="false">COUNTIFS(Filas!$A$2:$A$648,$A157,Filas!$B$2:$B$648,$B157,Filas!$S$2:$S$648,"cita no encontrada*")+COUNTIFS(Filas!$A$2:$A$648,$A157,Filas!$B$2:$B$648,$B157,Filas!$S$2:$S$648,"página no accesible*")</f>
        <v>0</v>
      </c>
    </row>
    <row r="158" customFormat="false" ht="15" hidden="false" customHeight="false" outlineLevel="0" collapsed="false">
      <c r="A158" s="4" t="s">
        <v>4043</v>
      </c>
      <c r="B158" s="4" t="s">
        <v>4235</v>
      </c>
      <c r="C158" s="4" t="n">
        <f aca="false">COUNTIFS(Filas!$A$2:$A$648,$A158,Filas!$B$2:$B$648,$B158)</f>
        <v>2</v>
      </c>
      <c r="D158" s="4" t="n">
        <f aca="false">COUNTIFS(Filas!$A$2:$A$648,$A158,Filas!$B$2:$B$648,$B158,Filas!$N$2:$N$648,"mejora")</f>
        <v>1</v>
      </c>
      <c r="E158" s="4" t="n">
        <f aca="false">COUNTIFS(Filas!$A$2:$A$648,$A158,Filas!$B$2:$B$648,$B158,Filas!$N$2:$N$648,"sin cambio")</f>
        <v>0</v>
      </c>
      <c r="F158" s="4" t="n">
        <f aca="false">COUNTIFS(Filas!$A$2:$A$648,$A158,Filas!$B$2:$B$648,$B158,Filas!$N$2:$N$648,"empeora")</f>
        <v>0</v>
      </c>
      <c r="G158" s="4" t="n">
        <f aca="false">COUNTIFS(Filas!$A$2:$A$648,$A158,Filas!$B$2:$B$648,$B158,Filas!$N$2:$N$648,"mixto")</f>
        <v>1</v>
      </c>
      <c r="H158" s="4" t="n">
        <f aca="false">COUNTIFS(Filas!$A$2:$A$648,$A158,Filas!$B$2:$B$648,$B158,Filas!$S$2:$S$648,"cita encontrada*")+COUNTIFS(Filas!$A$2:$A$648,$A158,Filas!$B$2:$B$648,$B158,Filas!$S$2:$S$648,"página existe*")</f>
        <v>2</v>
      </c>
      <c r="I158" s="4" t="n">
        <f aca="false">COUNTIFS(Filas!$A$2:$A$648,$A158,Filas!$B$2:$B$648,$B158,Filas!$S$2:$S$648,"cita no encontrada*")+COUNTIFS(Filas!$A$2:$A$648,$A158,Filas!$B$2:$B$648,$B158,Filas!$S$2:$S$648,"página no accesible*")</f>
        <v>0</v>
      </c>
    </row>
    <row r="159" customFormat="false" ht="15" hidden="false" customHeight="false" outlineLevel="0" collapsed="false">
      <c r="A159" s="4" t="s">
        <v>4043</v>
      </c>
      <c r="B159" s="4" t="s">
        <v>4264</v>
      </c>
      <c r="C159" s="4" t="n">
        <f aca="false">COUNTIFS(Filas!$A$2:$A$648,$A159,Filas!$B$2:$B$648,$B159)</f>
        <v>1</v>
      </c>
      <c r="D159" s="4" t="n">
        <f aca="false">COUNTIFS(Filas!$A$2:$A$648,$A159,Filas!$B$2:$B$648,$B159,Filas!$N$2:$N$648,"mejora")</f>
        <v>0</v>
      </c>
      <c r="E159" s="4" t="n">
        <f aca="false">COUNTIFS(Filas!$A$2:$A$648,$A159,Filas!$B$2:$B$648,$B159,Filas!$N$2:$N$648,"sin cambio")</f>
        <v>1</v>
      </c>
      <c r="F159" s="4" t="n">
        <f aca="false">COUNTIFS(Filas!$A$2:$A$648,$A159,Filas!$B$2:$B$648,$B159,Filas!$N$2:$N$648,"empeora")</f>
        <v>0</v>
      </c>
      <c r="G159" s="4" t="n">
        <f aca="false">COUNTIFS(Filas!$A$2:$A$648,$A159,Filas!$B$2:$B$648,$B159,Filas!$N$2:$N$648,"mixto")</f>
        <v>0</v>
      </c>
      <c r="H159" s="4" t="n">
        <f aca="false">COUNTIFS(Filas!$A$2:$A$648,$A159,Filas!$B$2:$B$648,$B159,Filas!$S$2:$S$648,"cita encontrada*")+COUNTIFS(Filas!$A$2:$A$648,$A159,Filas!$B$2:$B$648,$B159,Filas!$S$2:$S$648,"página existe*")</f>
        <v>1</v>
      </c>
      <c r="I159" s="4" t="n">
        <f aca="false">COUNTIFS(Filas!$A$2:$A$648,$A159,Filas!$B$2:$B$648,$B159,Filas!$S$2:$S$648,"cita no encontrada*")+COUNTIFS(Filas!$A$2:$A$648,$A159,Filas!$B$2:$B$648,$B159,Filas!$S$2:$S$648,"página no accesible*")</f>
        <v>0</v>
      </c>
    </row>
    <row r="160" customFormat="false" ht="15" hidden="false" customHeight="false" outlineLevel="0" collapsed="false">
      <c r="A160" s="4" t="s">
        <v>4043</v>
      </c>
      <c r="B160" s="4" t="s">
        <v>4277</v>
      </c>
      <c r="C160" s="4" t="n">
        <f aca="false">COUNTIFS(Filas!$A$2:$A$648,$A160,Filas!$B$2:$B$648,$B160)</f>
        <v>1</v>
      </c>
      <c r="D160" s="4" t="n">
        <f aca="false">COUNTIFS(Filas!$A$2:$A$648,$A160,Filas!$B$2:$B$648,$B160,Filas!$N$2:$N$648,"mejora")</f>
        <v>1</v>
      </c>
      <c r="E160" s="4" t="n">
        <f aca="false">COUNTIFS(Filas!$A$2:$A$648,$A160,Filas!$B$2:$B$648,$B160,Filas!$N$2:$N$648,"sin cambio")</f>
        <v>0</v>
      </c>
      <c r="F160" s="4" t="n">
        <f aca="false">COUNTIFS(Filas!$A$2:$A$648,$A160,Filas!$B$2:$B$648,$B160,Filas!$N$2:$N$648,"empeora")</f>
        <v>0</v>
      </c>
      <c r="G160" s="4" t="n">
        <f aca="false">COUNTIFS(Filas!$A$2:$A$648,$A160,Filas!$B$2:$B$648,$B160,Filas!$N$2:$N$648,"mixto")</f>
        <v>0</v>
      </c>
      <c r="H160" s="4" t="n">
        <f aca="false">COUNTIFS(Filas!$A$2:$A$648,$A160,Filas!$B$2:$B$648,$B160,Filas!$S$2:$S$648,"cita encontrada*")+COUNTIFS(Filas!$A$2:$A$648,$A160,Filas!$B$2:$B$648,$B160,Filas!$S$2:$S$648,"página existe*")</f>
        <v>1</v>
      </c>
      <c r="I160" s="4" t="n">
        <f aca="false">COUNTIFS(Filas!$A$2:$A$648,$A160,Filas!$B$2:$B$648,$B160,Filas!$S$2:$S$648,"cita no encontrada*")+COUNTIFS(Filas!$A$2:$A$648,$A160,Filas!$B$2:$B$648,$B160,Filas!$S$2:$S$648,"página no accesible*")</f>
        <v>0</v>
      </c>
    </row>
    <row r="161" customFormat="false" ht="15" hidden="false" customHeight="false" outlineLevel="0" collapsed="false">
      <c r="A161" s="4" t="s">
        <v>4043</v>
      </c>
      <c r="B161" s="4" t="s">
        <v>4292</v>
      </c>
      <c r="C161" s="4" t="n">
        <f aca="false">COUNTIFS(Filas!$A$2:$A$648,$A161,Filas!$B$2:$B$648,$B161)</f>
        <v>2</v>
      </c>
      <c r="D161" s="4" t="n">
        <f aca="false">COUNTIFS(Filas!$A$2:$A$648,$A161,Filas!$B$2:$B$648,$B161,Filas!$N$2:$N$648,"mejora")</f>
        <v>1</v>
      </c>
      <c r="E161" s="4" t="n">
        <f aca="false">COUNTIFS(Filas!$A$2:$A$648,$A161,Filas!$B$2:$B$648,$B161,Filas!$N$2:$N$648,"sin cambio")</f>
        <v>1</v>
      </c>
      <c r="F161" s="4" t="n">
        <f aca="false">COUNTIFS(Filas!$A$2:$A$648,$A161,Filas!$B$2:$B$648,$B161,Filas!$N$2:$N$648,"empeora")</f>
        <v>0</v>
      </c>
      <c r="G161" s="4" t="n">
        <f aca="false">COUNTIFS(Filas!$A$2:$A$648,$A161,Filas!$B$2:$B$648,$B161,Filas!$N$2:$N$648,"mixto")</f>
        <v>0</v>
      </c>
      <c r="H161" s="4" t="n">
        <f aca="false">COUNTIFS(Filas!$A$2:$A$648,$A161,Filas!$B$2:$B$648,$B161,Filas!$S$2:$S$648,"cita encontrada*")+COUNTIFS(Filas!$A$2:$A$648,$A161,Filas!$B$2:$B$648,$B161,Filas!$S$2:$S$648,"página existe*")</f>
        <v>2</v>
      </c>
      <c r="I161" s="4" t="n">
        <f aca="false">COUNTIFS(Filas!$A$2:$A$648,$A161,Filas!$B$2:$B$648,$B161,Filas!$S$2:$S$648,"cita no encontrada*")+COUNTIFS(Filas!$A$2:$A$648,$A161,Filas!$B$2:$B$648,$B161,Filas!$S$2:$S$648,"página no accesible*")</f>
        <v>0</v>
      </c>
    </row>
    <row r="162" customFormat="false" ht="15" hidden="false" customHeight="false" outlineLevel="0" collapsed="false">
      <c r="A162" s="4" t="s">
        <v>4043</v>
      </c>
      <c r="B162" s="4" t="s">
        <v>4318</v>
      </c>
      <c r="C162" s="4" t="n">
        <f aca="false">COUNTIFS(Filas!$A$2:$A$648,$A162,Filas!$B$2:$B$648,$B162)</f>
        <v>1</v>
      </c>
      <c r="D162" s="4" t="n">
        <f aca="false">COUNTIFS(Filas!$A$2:$A$648,$A162,Filas!$B$2:$B$648,$B162,Filas!$N$2:$N$648,"mejora")</f>
        <v>1</v>
      </c>
      <c r="E162" s="4" t="n">
        <f aca="false">COUNTIFS(Filas!$A$2:$A$648,$A162,Filas!$B$2:$B$648,$B162,Filas!$N$2:$N$648,"sin cambio")</f>
        <v>0</v>
      </c>
      <c r="F162" s="4" t="n">
        <f aca="false">COUNTIFS(Filas!$A$2:$A$648,$A162,Filas!$B$2:$B$648,$B162,Filas!$N$2:$N$648,"empeora")</f>
        <v>0</v>
      </c>
      <c r="G162" s="4" t="n">
        <f aca="false">COUNTIFS(Filas!$A$2:$A$648,$A162,Filas!$B$2:$B$648,$B162,Filas!$N$2:$N$648,"mixto")</f>
        <v>0</v>
      </c>
      <c r="H162" s="4" t="n">
        <f aca="false">COUNTIFS(Filas!$A$2:$A$648,$A162,Filas!$B$2:$B$648,$B162,Filas!$S$2:$S$648,"cita encontrada*")+COUNTIFS(Filas!$A$2:$A$648,$A162,Filas!$B$2:$B$648,$B162,Filas!$S$2:$S$648,"página existe*")</f>
        <v>1</v>
      </c>
      <c r="I162" s="4" t="n">
        <f aca="false">COUNTIFS(Filas!$A$2:$A$648,$A162,Filas!$B$2:$B$648,$B162,Filas!$S$2:$S$648,"cita no encontrada*")+COUNTIFS(Filas!$A$2:$A$648,$A162,Filas!$B$2:$B$648,$B162,Filas!$S$2:$S$648,"página no accesible*")</f>
        <v>0</v>
      </c>
    </row>
    <row r="163" customFormat="false" ht="15" hidden="false" customHeight="false" outlineLevel="0" collapsed="false">
      <c r="A163" s="4" t="s">
        <v>4043</v>
      </c>
      <c r="B163" s="4" t="s">
        <v>2365</v>
      </c>
      <c r="C163" s="4" t="n">
        <f aca="false">COUNTIFS(Filas!$A$2:$A$648,$A163,Filas!$B$2:$B$648,$B163)</f>
        <v>2</v>
      </c>
      <c r="D163" s="4" t="n">
        <f aca="false">COUNTIFS(Filas!$A$2:$A$648,$A163,Filas!$B$2:$B$648,$B163,Filas!$N$2:$N$648,"mejora")</f>
        <v>1</v>
      </c>
      <c r="E163" s="4" t="n">
        <f aca="false">COUNTIFS(Filas!$A$2:$A$648,$A163,Filas!$B$2:$B$648,$B163,Filas!$N$2:$N$648,"sin cambio")</f>
        <v>0</v>
      </c>
      <c r="F163" s="4" t="n">
        <f aca="false">COUNTIFS(Filas!$A$2:$A$648,$A163,Filas!$B$2:$B$648,$B163,Filas!$N$2:$N$648,"empeora")</f>
        <v>0</v>
      </c>
      <c r="G163" s="4" t="n">
        <f aca="false">COUNTIFS(Filas!$A$2:$A$648,$A163,Filas!$B$2:$B$648,$B163,Filas!$N$2:$N$648,"mixto")</f>
        <v>1</v>
      </c>
      <c r="H163" s="4" t="n">
        <f aca="false">COUNTIFS(Filas!$A$2:$A$648,$A163,Filas!$B$2:$B$648,$B163,Filas!$S$2:$S$648,"cita encontrada*")+COUNTIFS(Filas!$A$2:$A$648,$A163,Filas!$B$2:$B$648,$B163,Filas!$S$2:$S$648,"página existe*")</f>
        <v>2</v>
      </c>
      <c r="I163" s="4" t="n">
        <f aca="false">COUNTIFS(Filas!$A$2:$A$648,$A163,Filas!$B$2:$B$648,$B163,Filas!$S$2:$S$648,"cita no encontrada*")+COUNTIFS(Filas!$A$2:$A$648,$A163,Filas!$B$2:$B$648,$B163,Filas!$S$2:$S$648,"página no accesible*")</f>
        <v>0</v>
      </c>
    </row>
    <row r="164" customFormat="false" ht="15" hidden="false" customHeight="false" outlineLevel="0" collapsed="false">
      <c r="A164" s="4" t="s">
        <v>4043</v>
      </c>
      <c r="B164" s="4" t="s">
        <v>2379</v>
      </c>
      <c r="C164" s="4" t="n">
        <f aca="false">COUNTIFS(Filas!$A$2:$A$648,$A164,Filas!$B$2:$B$648,$B164)</f>
        <v>2</v>
      </c>
      <c r="D164" s="4" t="n">
        <f aca="false">COUNTIFS(Filas!$A$2:$A$648,$A164,Filas!$B$2:$B$648,$B164,Filas!$N$2:$N$648,"mejora")</f>
        <v>2</v>
      </c>
      <c r="E164" s="4" t="n">
        <f aca="false">COUNTIFS(Filas!$A$2:$A$648,$A164,Filas!$B$2:$B$648,$B164,Filas!$N$2:$N$648,"sin cambio")</f>
        <v>0</v>
      </c>
      <c r="F164" s="4" t="n">
        <f aca="false">COUNTIFS(Filas!$A$2:$A$648,$A164,Filas!$B$2:$B$648,$B164,Filas!$N$2:$N$648,"empeora")</f>
        <v>0</v>
      </c>
      <c r="G164" s="4" t="n">
        <f aca="false">COUNTIFS(Filas!$A$2:$A$648,$A164,Filas!$B$2:$B$648,$B164,Filas!$N$2:$N$648,"mixto")</f>
        <v>0</v>
      </c>
      <c r="H164" s="4" t="n">
        <f aca="false">COUNTIFS(Filas!$A$2:$A$648,$A164,Filas!$B$2:$B$648,$B164,Filas!$S$2:$S$648,"cita encontrada*")+COUNTIFS(Filas!$A$2:$A$648,$A164,Filas!$B$2:$B$648,$B164,Filas!$S$2:$S$648,"página existe*")</f>
        <v>2</v>
      </c>
      <c r="I164" s="4" t="n">
        <f aca="false">COUNTIFS(Filas!$A$2:$A$648,$A164,Filas!$B$2:$B$648,$B164,Filas!$S$2:$S$648,"cita no encontrada*")+COUNTIFS(Filas!$A$2:$A$648,$A164,Filas!$B$2:$B$648,$B164,Filas!$S$2:$S$648,"página no accesible*")</f>
        <v>0</v>
      </c>
    </row>
    <row r="165" customFormat="false" ht="15" hidden="false" customHeight="false" outlineLevel="0" collapsed="false">
      <c r="A165" s="4" t="s">
        <v>4043</v>
      </c>
      <c r="B165" s="4" t="s">
        <v>1184</v>
      </c>
      <c r="C165" s="4" t="n">
        <f aca="false">COUNTIFS(Filas!$A$2:$A$648,$A165,Filas!$B$2:$B$648,$B165)</f>
        <v>1</v>
      </c>
      <c r="D165" s="4" t="n">
        <f aca="false">COUNTIFS(Filas!$A$2:$A$648,$A165,Filas!$B$2:$B$648,$B165,Filas!$N$2:$N$648,"mejora")</f>
        <v>1</v>
      </c>
      <c r="E165" s="4" t="n">
        <f aca="false">COUNTIFS(Filas!$A$2:$A$648,$A165,Filas!$B$2:$B$648,$B165,Filas!$N$2:$N$648,"sin cambio")</f>
        <v>0</v>
      </c>
      <c r="F165" s="4" t="n">
        <f aca="false">COUNTIFS(Filas!$A$2:$A$648,$A165,Filas!$B$2:$B$648,$B165,Filas!$N$2:$N$648,"empeora")</f>
        <v>0</v>
      </c>
      <c r="G165" s="4" t="n">
        <f aca="false">COUNTIFS(Filas!$A$2:$A$648,$A165,Filas!$B$2:$B$648,$B165,Filas!$N$2:$N$648,"mixto")</f>
        <v>0</v>
      </c>
      <c r="H165" s="4" t="n">
        <f aca="false">COUNTIFS(Filas!$A$2:$A$648,$A165,Filas!$B$2:$B$648,$B165,Filas!$S$2:$S$648,"cita encontrada*")+COUNTIFS(Filas!$A$2:$A$648,$A165,Filas!$B$2:$B$648,$B165,Filas!$S$2:$S$648,"página existe*")</f>
        <v>1</v>
      </c>
      <c r="I165" s="4" t="n">
        <f aca="false">COUNTIFS(Filas!$A$2:$A$648,$A165,Filas!$B$2:$B$648,$B165,Filas!$S$2:$S$648,"cita no encontrada*")+COUNTIFS(Filas!$A$2:$A$648,$A165,Filas!$B$2:$B$648,$B165,Filas!$S$2:$S$648,"página no accesible*")</f>
        <v>0</v>
      </c>
    </row>
    <row r="166" customFormat="false" ht="15" hidden="false" customHeight="false" outlineLevel="0" collapsed="false">
      <c r="A166" s="4" t="s">
        <v>4043</v>
      </c>
      <c r="B166" s="4" t="s">
        <v>4393</v>
      </c>
      <c r="C166" s="4" t="n">
        <f aca="false">COUNTIFS(Filas!$A$2:$A$648,$A166,Filas!$B$2:$B$648,$B166)</f>
        <v>1</v>
      </c>
      <c r="D166" s="4" t="n">
        <f aca="false">COUNTIFS(Filas!$A$2:$A$648,$A166,Filas!$B$2:$B$648,$B166,Filas!$N$2:$N$648,"mejora")</f>
        <v>0</v>
      </c>
      <c r="E166" s="4" t="n">
        <f aca="false">COUNTIFS(Filas!$A$2:$A$648,$A166,Filas!$B$2:$B$648,$B166,Filas!$N$2:$N$648,"sin cambio")</f>
        <v>0</v>
      </c>
      <c r="F166" s="4" t="n">
        <f aca="false">COUNTIFS(Filas!$A$2:$A$648,$A166,Filas!$B$2:$B$648,$B166,Filas!$N$2:$N$648,"empeora")</f>
        <v>0</v>
      </c>
      <c r="G166" s="4" t="n">
        <f aca="false">COUNTIFS(Filas!$A$2:$A$648,$A166,Filas!$B$2:$B$648,$B166,Filas!$N$2:$N$648,"mixto")</f>
        <v>0</v>
      </c>
      <c r="H166" s="4" t="n">
        <f aca="false">COUNTIFS(Filas!$A$2:$A$648,$A166,Filas!$B$2:$B$648,$B166,Filas!$S$2:$S$648,"cita encontrada*")+COUNTIFS(Filas!$A$2:$A$648,$A166,Filas!$B$2:$B$648,$B166,Filas!$S$2:$S$648,"página existe*")</f>
        <v>1</v>
      </c>
      <c r="I166" s="4" t="n">
        <f aca="false">COUNTIFS(Filas!$A$2:$A$648,$A166,Filas!$B$2:$B$648,$B166,Filas!$S$2:$S$648,"cita no encontrada*")+COUNTIFS(Filas!$A$2:$A$648,$A166,Filas!$B$2:$B$648,$B166,Filas!$S$2:$S$648,"página no accesible*")</f>
        <v>0</v>
      </c>
    </row>
    <row r="167" customFormat="false" ht="15" hidden="false" customHeight="false" outlineLevel="0" collapsed="false">
      <c r="A167" s="4" t="s">
        <v>4043</v>
      </c>
      <c r="B167" s="4" t="s">
        <v>4407</v>
      </c>
      <c r="C167" s="4" t="n">
        <f aca="false">COUNTIFS(Filas!$A$2:$A$648,$A167,Filas!$B$2:$B$648,$B167)</f>
        <v>1</v>
      </c>
      <c r="D167" s="4" t="n">
        <f aca="false">COUNTIFS(Filas!$A$2:$A$648,$A167,Filas!$B$2:$B$648,$B167,Filas!$N$2:$N$648,"mejora")</f>
        <v>1</v>
      </c>
      <c r="E167" s="4" t="n">
        <f aca="false">COUNTIFS(Filas!$A$2:$A$648,$A167,Filas!$B$2:$B$648,$B167,Filas!$N$2:$N$648,"sin cambio")</f>
        <v>0</v>
      </c>
      <c r="F167" s="4" t="n">
        <f aca="false">COUNTIFS(Filas!$A$2:$A$648,$A167,Filas!$B$2:$B$648,$B167,Filas!$N$2:$N$648,"empeora")</f>
        <v>0</v>
      </c>
      <c r="G167" s="4" t="n">
        <f aca="false">COUNTIFS(Filas!$A$2:$A$648,$A167,Filas!$B$2:$B$648,$B167,Filas!$N$2:$N$648,"mixto")</f>
        <v>0</v>
      </c>
      <c r="H167" s="4" t="n">
        <f aca="false">COUNTIFS(Filas!$A$2:$A$648,$A167,Filas!$B$2:$B$648,$B167,Filas!$S$2:$S$648,"cita encontrada*")+COUNTIFS(Filas!$A$2:$A$648,$A167,Filas!$B$2:$B$648,$B167,Filas!$S$2:$S$648,"página existe*")</f>
        <v>1</v>
      </c>
      <c r="I167" s="4" t="n">
        <f aca="false">COUNTIFS(Filas!$A$2:$A$648,$A167,Filas!$B$2:$B$648,$B167,Filas!$S$2:$S$648,"cita no encontrada*")+COUNTIFS(Filas!$A$2:$A$648,$A167,Filas!$B$2:$B$648,$B167,Filas!$S$2:$S$648,"página no accesible*")</f>
        <v>0</v>
      </c>
    </row>
    <row r="168" customFormat="false" ht="15" hidden="false" customHeight="false" outlineLevel="0" collapsed="false">
      <c r="A168" s="4" t="s">
        <v>4043</v>
      </c>
      <c r="B168" s="4" t="s">
        <v>4419</v>
      </c>
      <c r="C168" s="4" t="n">
        <f aca="false">COUNTIFS(Filas!$A$2:$A$648,$A168,Filas!$B$2:$B$648,$B168)</f>
        <v>1</v>
      </c>
      <c r="D168" s="4" t="n">
        <f aca="false">COUNTIFS(Filas!$A$2:$A$648,$A168,Filas!$B$2:$B$648,$B168,Filas!$N$2:$N$648,"mejora")</f>
        <v>0</v>
      </c>
      <c r="E168" s="4" t="n">
        <f aca="false">COUNTIFS(Filas!$A$2:$A$648,$A168,Filas!$B$2:$B$648,$B168,Filas!$N$2:$N$648,"sin cambio")</f>
        <v>0</v>
      </c>
      <c r="F168" s="4" t="n">
        <f aca="false">COUNTIFS(Filas!$A$2:$A$648,$A168,Filas!$B$2:$B$648,$B168,Filas!$N$2:$N$648,"empeora")</f>
        <v>0</v>
      </c>
      <c r="G168" s="4" t="n">
        <f aca="false">COUNTIFS(Filas!$A$2:$A$648,$A168,Filas!$B$2:$B$648,$B168,Filas!$N$2:$N$648,"mixto")</f>
        <v>0</v>
      </c>
      <c r="H168" s="4" t="n">
        <f aca="false">COUNTIFS(Filas!$A$2:$A$648,$A168,Filas!$B$2:$B$648,$B168,Filas!$S$2:$S$648,"cita encontrada*")+COUNTIFS(Filas!$A$2:$A$648,$A168,Filas!$B$2:$B$648,$B168,Filas!$S$2:$S$648,"página existe*")</f>
        <v>1</v>
      </c>
      <c r="I168" s="4" t="n">
        <f aca="false">COUNTIFS(Filas!$A$2:$A$648,$A168,Filas!$B$2:$B$648,$B168,Filas!$S$2:$S$648,"cita no encontrada*")+COUNTIFS(Filas!$A$2:$A$648,$A168,Filas!$B$2:$B$648,$B168,Filas!$S$2:$S$648,"página no accesible*")</f>
        <v>0</v>
      </c>
    </row>
    <row r="169" customFormat="false" ht="15" hidden="false" customHeight="false" outlineLevel="0" collapsed="false">
      <c r="A169" s="4" t="s">
        <v>4043</v>
      </c>
      <c r="B169" s="4" t="s">
        <v>4466</v>
      </c>
      <c r="C169" s="4" t="n">
        <f aca="false">COUNTIFS(Filas!$A$2:$A$648,$A169,Filas!$B$2:$B$648,$B169)</f>
        <v>1</v>
      </c>
      <c r="D169" s="4" t="n">
        <f aca="false">COUNTIFS(Filas!$A$2:$A$648,$A169,Filas!$B$2:$B$648,$B169,Filas!$N$2:$N$648,"mejora")</f>
        <v>0</v>
      </c>
      <c r="E169" s="4" t="n">
        <f aca="false">COUNTIFS(Filas!$A$2:$A$648,$A169,Filas!$B$2:$B$648,$B169,Filas!$N$2:$N$648,"sin cambio")</f>
        <v>0</v>
      </c>
      <c r="F169" s="4" t="n">
        <f aca="false">COUNTIFS(Filas!$A$2:$A$648,$A169,Filas!$B$2:$B$648,$B169,Filas!$N$2:$N$648,"empeora")</f>
        <v>0</v>
      </c>
      <c r="G169" s="4" t="n">
        <f aca="false">COUNTIFS(Filas!$A$2:$A$648,$A169,Filas!$B$2:$B$648,$B169,Filas!$N$2:$N$648,"mixto")</f>
        <v>0</v>
      </c>
      <c r="H169" s="4" t="n">
        <f aca="false">COUNTIFS(Filas!$A$2:$A$648,$A169,Filas!$B$2:$B$648,$B169,Filas!$S$2:$S$648,"cita encontrada*")+COUNTIFS(Filas!$A$2:$A$648,$A169,Filas!$B$2:$B$648,$B169,Filas!$S$2:$S$648,"página existe*")</f>
        <v>1</v>
      </c>
      <c r="I169" s="4" t="n">
        <f aca="false">COUNTIFS(Filas!$A$2:$A$648,$A169,Filas!$B$2:$B$648,$B169,Filas!$S$2:$S$648,"cita no encontrada*")+COUNTIFS(Filas!$A$2:$A$648,$A169,Filas!$B$2:$B$648,$B169,Filas!$S$2:$S$648,"página no accesible*")</f>
        <v>0</v>
      </c>
    </row>
    <row r="170" customFormat="false" ht="15" hidden="false" customHeight="false" outlineLevel="0" collapsed="false">
      <c r="A170" s="4" t="s">
        <v>4043</v>
      </c>
      <c r="B170" s="4" t="s">
        <v>4476</v>
      </c>
      <c r="C170" s="4" t="n">
        <f aca="false">COUNTIFS(Filas!$A$2:$A$648,$A170,Filas!$B$2:$B$648,$B170)</f>
        <v>2</v>
      </c>
      <c r="D170" s="4" t="n">
        <f aca="false">COUNTIFS(Filas!$A$2:$A$648,$A170,Filas!$B$2:$B$648,$B170,Filas!$N$2:$N$648,"mejora")</f>
        <v>0</v>
      </c>
      <c r="E170" s="4" t="n">
        <f aca="false">COUNTIFS(Filas!$A$2:$A$648,$A170,Filas!$B$2:$B$648,$B170,Filas!$N$2:$N$648,"sin cambio")</f>
        <v>0</v>
      </c>
      <c r="F170" s="4" t="n">
        <f aca="false">COUNTIFS(Filas!$A$2:$A$648,$A170,Filas!$B$2:$B$648,$B170,Filas!$N$2:$N$648,"empeora")</f>
        <v>1</v>
      </c>
      <c r="G170" s="4" t="n">
        <f aca="false">COUNTIFS(Filas!$A$2:$A$648,$A170,Filas!$B$2:$B$648,$B170,Filas!$N$2:$N$648,"mixto")</f>
        <v>0</v>
      </c>
      <c r="H170" s="4" t="n">
        <f aca="false">COUNTIFS(Filas!$A$2:$A$648,$A170,Filas!$B$2:$B$648,$B170,Filas!$S$2:$S$648,"cita encontrada*")+COUNTIFS(Filas!$A$2:$A$648,$A170,Filas!$B$2:$B$648,$B170,Filas!$S$2:$S$648,"página existe*")</f>
        <v>2</v>
      </c>
      <c r="I170" s="4" t="n">
        <f aca="false">COUNTIFS(Filas!$A$2:$A$648,$A170,Filas!$B$2:$B$648,$B170,Filas!$S$2:$S$648,"cita no encontrada*")+COUNTIFS(Filas!$A$2:$A$648,$A170,Filas!$B$2:$B$648,$B170,Filas!$S$2:$S$648,"página no accesible*")</f>
        <v>0</v>
      </c>
    </row>
    <row r="171" customFormat="false" ht="15" hidden="false" customHeight="false" outlineLevel="0" collapsed="false">
      <c r="A171" s="4" t="s">
        <v>4498</v>
      </c>
      <c r="B171" s="4" t="s">
        <v>4499</v>
      </c>
      <c r="C171" s="4" t="n">
        <f aca="false">COUNTIFS(Filas!$A$2:$A$648,$A171,Filas!$B$2:$B$648,$B171)</f>
        <v>5</v>
      </c>
      <c r="D171" s="4" t="n">
        <f aca="false">COUNTIFS(Filas!$A$2:$A$648,$A171,Filas!$B$2:$B$648,$B171,Filas!$N$2:$N$648,"mejora")</f>
        <v>4</v>
      </c>
      <c r="E171" s="4" t="n">
        <f aca="false">COUNTIFS(Filas!$A$2:$A$648,$A171,Filas!$B$2:$B$648,$B171,Filas!$N$2:$N$648,"sin cambio")</f>
        <v>0</v>
      </c>
      <c r="F171" s="4" t="n">
        <f aca="false">COUNTIFS(Filas!$A$2:$A$648,$A171,Filas!$B$2:$B$648,$B171,Filas!$N$2:$N$648,"empeora")</f>
        <v>0</v>
      </c>
      <c r="G171" s="4" t="n">
        <f aca="false">COUNTIFS(Filas!$A$2:$A$648,$A171,Filas!$B$2:$B$648,$B171,Filas!$N$2:$N$648,"mixto")</f>
        <v>1</v>
      </c>
      <c r="H171" s="4" t="n">
        <f aca="false">COUNTIFS(Filas!$A$2:$A$648,$A171,Filas!$B$2:$B$648,$B171,Filas!$S$2:$S$648,"cita encontrada*")+COUNTIFS(Filas!$A$2:$A$648,$A171,Filas!$B$2:$B$648,$B171,Filas!$S$2:$S$648,"página existe*")</f>
        <v>5</v>
      </c>
      <c r="I171" s="4" t="n">
        <f aca="false">COUNTIFS(Filas!$A$2:$A$648,$A171,Filas!$B$2:$B$648,$B171,Filas!$S$2:$S$648,"cita no encontrada*")+COUNTIFS(Filas!$A$2:$A$648,$A171,Filas!$B$2:$B$648,$B171,Filas!$S$2:$S$648,"página no accesible*")</f>
        <v>0</v>
      </c>
    </row>
    <row r="172" customFormat="false" ht="15" hidden="false" customHeight="false" outlineLevel="0" collapsed="false">
      <c r="A172" s="4" t="s">
        <v>4498</v>
      </c>
      <c r="B172" s="4" t="s">
        <v>4564</v>
      </c>
      <c r="C172" s="4" t="n">
        <f aca="false">COUNTIFS(Filas!$A$2:$A$648,$A172,Filas!$B$2:$B$648,$B172)</f>
        <v>3</v>
      </c>
      <c r="D172" s="4" t="n">
        <f aca="false">COUNTIFS(Filas!$A$2:$A$648,$A172,Filas!$B$2:$B$648,$B172,Filas!$N$2:$N$648,"mejora")</f>
        <v>2</v>
      </c>
      <c r="E172" s="4" t="n">
        <f aca="false">COUNTIFS(Filas!$A$2:$A$648,$A172,Filas!$B$2:$B$648,$B172,Filas!$N$2:$N$648,"sin cambio")</f>
        <v>0</v>
      </c>
      <c r="F172" s="4" t="n">
        <f aca="false">COUNTIFS(Filas!$A$2:$A$648,$A172,Filas!$B$2:$B$648,$B172,Filas!$N$2:$N$648,"empeora")</f>
        <v>0</v>
      </c>
      <c r="G172" s="4" t="n">
        <f aca="false">COUNTIFS(Filas!$A$2:$A$648,$A172,Filas!$B$2:$B$648,$B172,Filas!$N$2:$N$648,"mixto")</f>
        <v>0</v>
      </c>
      <c r="H172" s="4" t="n">
        <f aca="false">COUNTIFS(Filas!$A$2:$A$648,$A172,Filas!$B$2:$B$648,$B172,Filas!$S$2:$S$648,"cita encontrada*")+COUNTIFS(Filas!$A$2:$A$648,$A172,Filas!$B$2:$B$648,$B172,Filas!$S$2:$S$648,"página existe*")</f>
        <v>3</v>
      </c>
      <c r="I172" s="4" t="n">
        <f aca="false">COUNTIFS(Filas!$A$2:$A$648,$A172,Filas!$B$2:$B$648,$B172,Filas!$S$2:$S$648,"cita no encontrada*")+COUNTIFS(Filas!$A$2:$A$648,$A172,Filas!$B$2:$B$648,$B172,Filas!$S$2:$S$648,"página no accesible*")</f>
        <v>0</v>
      </c>
    </row>
    <row r="173" customFormat="false" ht="15" hidden="false" customHeight="false" outlineLevel="0" collapsed="false">
      <c r="A173" s="4" t="s">
        <v>4498</v>
      </c>
      <c r="B173" s="4" t="s">
        <v>4597</v>
      </c>
      <c r="C173" s="4" t="n">
        <f aca="false">COUNTIFS(Filas!$A$2:$A$648,$A173,Filas!$B$2:$B$648,$B173)</f>
        <v>1</v>
      </c>
      <c r="D173" s="4" t="n">
        <f aca="false">COUNTIFS(Filas!$A$2:$A$648,$A173,Filas!$B$2:$B$648,$B173,Filas!$N$2:$N$648,"mejora")</f>
        <v>0</v>
      </c>
      <c r="E173" s="4" t="n">
        <f aca="false">COUNTIFS(Filas!$A$2:$A$648,$A173,Filas!$B$2:$B$648,$B173,Filas!$N$2:$N$648,"sin cambio")</f>
        <v>0</v>
      </c>
      <c r="F173" s="4" t="n">
        <f aca="false">COUNTIFS(Filas!$A$2:$A$648,$A173,Filas!$B$2:$B$648,$B173,Filas!$N$2:$N$648,"empeora")</f>
        <v>1</v>
      </c>
      <c r="G173" s="4" t="n">
        <f aca="false">COUNTIFS(Filas!$A$2:$A$648,$A173,Filas!$B$2:$B$648,$B173,Filas!$N$2:$N$648,"mixto")</f>
        <v>0</v>
      </c>
      <c r="H173" s="4" t="n">
        <f aca="false">COUNTIFS(Filas!$A$2:$A$648,$A173,Filas!$B$2:$B$648,$B173,Filas!$S$2:$S$648,"cita encontrada*")+COUNTIFS(Filas!$A$2:$A$648,$A173,Filas!$B$2:$B$648,$B173,Filas!$S$2:$S$648,"página existe*")</f>
        <v>1</v>
      </c>
      <c r="I173" s="4" t="n">
        <f aca="false">COUNTIFS(Filas!$A$2:$A$648,$A173,Filas!$B$2:$B$648,$B173,Filas!$S$2:$S$648,"cita no encontrada*")+COUNTIFS(Filas!$A$2:$A$648,$A173,Filas!$B$2:$B$648,$B173,Filas!$S$2:$S$648,"página no accesible*")</f>
        <v>0</v>
      </c>
    </row>
    <row r="174" customFormat="false" ht="15" hidden="false" customHeight="false" outlineLevel="0" collapsed="false">
      <c r="A174" s="4" t="s">
        <v>4498</v>
      </c>
      <c r="B174" s="4" t="s">
        <v>4609</v>
      </c>
      <c r="C174" s="4" t="n">
        <f aca="false">COUNTIFS(Filas!$A$2:$A$648,$A174,Filas!$B$2:$B$648,$B174)</f>
        <v>2</v>
      </c>
      <c r="D174" s="4" t="n">
        <f aca="false">COUNTIFS(Filas!$A$2:$A$648,$A174,Filas!$B$2:$B$648,$B174,Filas!$N$2:$N$648,"mejora")</f>
        <v>0</v>
      </c>
      <c r="E174" s="4" t="n">
        <f aca="false">COUNTIFS(Filas!$A$2:$A$648,$A174,Filas!$B$2:$B$648,$B174,Filas!$N$2:$N$648,"sin cambio")</f>
        <v>1</v>
      </c>
      <c r="F174" s="4" t="n">
        <f aca="false">COUNTIFS(Filas!$A$2:$A$648,$A174,Filas!$B$2:$B$648,$B174,Filas!$N$2:$N$648,"empeora")</f>
        <v>0</v>
      </c>
      <c r="G174" s="4" t="n">
        <f aca="false">COUNTIFS(Filas!$A$2:$A$648,$A174,Filas!$B$2:$B$648,$B174,Filas!$N$2:$N$648,"mixto")</f>
        <v>0</v>
      </c>
      <c r="H174" s="4" t="n">
        <f aca="false">COUNTIFS(Filas!$A$2:$A$648,$A174,Filas!$B$2:$B$648,$B174,Filas!$S$2:$S$648,"cita encontrada*")+COUNTIFS(Filas!$A$2:$A$648,$A174,Filas!$B$2:$B$648,$B174,Filas!$S$2:$S$648,"página existe*")</f>
        <v>2</v>
      </c>
      <c r="I174" s="4" t="n">
        <f aca="false">COUNTIFS(Filas!$A$2:$A$648,$A174,Filas!$B$2:$B$648,$B174,Filas!$S$2:$S$648,"cita no encontrada*")+COUNTIFS(Filas!$A$2:$A$648,$A174,Filas!$B$2:$B$648,$B174,Filas!$S$2:$S$648,"página no accesible*")</f>
        <v>0</v>
      </c>
    </row>
    <row r="175" customFormat="false" ht="15" hidden="false" customHeight="false" outlineLevel="0" collapsed="false">
      <c r="A175" s="4" t="s">
        <v>4498</v>
      </c>
      <c r="B175" s="4" t="s">
        <v>4235</v>
      </c>
      <c r="C175" s="4" t="n">
        <f aca="false">COUNTIFS(Filas!$A$2:$A$648,$A175,Filas!$B$2:$B$648,$B175)</f>
        <v>1</v>
      </c>
      <c r="D175" s="4" t="n">
        <f aca="false">COUNTIFS(Filas!$A$2:$A$648,$A175,Filas!$B$2:$B$648,$B175,Filas!$N$2:$N$648,"mejora")</f>
        <v>1</v>
      </c>
      <c r="E175" s="4" t="n">
        <f aca="false">COUNTIFS(Filas!$A$2:$A$648,$A175,Filas!$B$2:$B$648,$B175,Filas!$N$2:$N$648,"sin cambio")</f>
        <v>0</v>
      </c>
      <c r="F175" s="4" t="n">
        <f aca="false">COUNTIFS(Filas!$A$2:$A$648,$A175,Filas!$B$2:$B$648,$B175,Filas!$N$2:$N$648,"empeora")</f>
        <v>0</v>
      </c>
      <c r="G175" s="4" t="n">
        <f aca="false">COUNTIFS(Filas!$A$2:$A$648,$A175,Filas!$B$2:$B$648,$B175,Filas!$N$2:$N$648,"mixto")</f>
        <v>0</v>
      </c>
      <c r="H175" s="4" t="n">
        <f aca="false">COUNTIFS(Filas!$A$2:$A$648,$A175,Filas!$B$2:$B$648,$B175,Filas!$S$2:$S$648,"cita encontrada*")+COUNTIFS(Filas!$A$2:$A$648,$A175,Filas!$B$2:$B$648,$B175,Filas!$S$2:$S$648,"página existe*")</f>
        <v>1</v>
      </c>
      <c r="I175" s="4" t="n">
        <f aca="false">COUNTIFS(Filas!$A$2:$A$648,$A175,Filas!$B$2:$B$648,$B175,Filas!$S$2:$S$648,"cita no encontrada*")+COUNTIFS(Filas!$A$2:$A$648,$A175,Filas!$B$2:$B$648,$B175,Filas!$S$2:$S$648,"página no accesible*")</f>
        <v>0</v>
      </c>
    </row>
    <row r="176" customFormat="false" ht="15" hidden="false" customHeight="false" outlineLevel="0" collapsed="false">
      <c r="A176" s="4" t="s">
        <v>4498</v>
      </c>
      <c r="B176" s="4" t="s">
        <v>4206</v>
      </c>
      <c r="C176" s="4" t="n">
        <f aca="false">COUNTIFS(Filas!$A$2:$A$648,$A176,Filas!$B$2:$B$648,$B176)</f>
        <v>1</v>
      </c>
      <c r="D176" s="4" t="n">
        <f aca="false">COUNTIFS(Filas!$A$2:$A$648,$A176,Filas!$B$2:$B$648,$B176,Filas!$N$2:$N$648,"mejora")</f>
        <v>0</v>
      </c>
      <c r="E176" s="4" t="n">
        <f aca="false">COUNTIFS(Filas!$A$2:$A$648,$A176,Filas!$B$2:$B$648,$B176,Filas!$N$2:$N$648,"sin cambio")</f>
        <v>0</v>
      </c>
      <c r="F176" s="4" t="n">
        <f aca="false">COUNTIFS(Filas!$A$2:$A$648,$A176,Filas!$B$2:$B$648,$B176,Filas!$N$2:$N$648,"empeora")</f>
        <v>0</v>
      </c>
      <c r="G176" s="4" t="n">
        <f aca="false">COUNTIFS(Filas!$A$2:$A$648,$A176,Filas!$B$2:$B$648,$B176,Filas!$N$2:$N$648,"mixto")</f>
        <v>1</v>
      </c>
      <c r="H176" s="4" t="n">
        <f aca="false">COUNTIFS(Filas!$A$2:$A$648,$A176,Filas!$B$2:$B$648,$B176,Filas!$S$2:$S$648,"cita encontrada*")+COUNTIFS(Filas!$A$2:$A$648,$A176,Filas!$B$2:$B$648,$B176,Filas!$S$2:$S$648,"página existe*")</f>
        <v>1</v>
      </c>
      <c r="I176" s="4" t="n">
        <f aca="false">COUNTIFS(Filas!$A$2:$A$648,$A176,Filas!$B$2:$B$648,$B176,Filas!$S$2:$S$648,"cita no encontrada*")+COUNTIFS(Filas!$A$2:$A$648,$A176,Filas!$B$2:$B$648,$B176,Filas!$S$2:$S$648,"página no accesible*")</f>
        <v>0</v>
      </c>
    </row>
    <row r="177" customFormat="false" ht="15" hidden="false" customHeight="false" outlineLevel="0" collapsed="false">
      <c r="A177" s="4" t="s">
        <v>4498</v>
      </c>
      <c r="B177" s="4" t="s">
        <v>4651</v>
      </c>
      <c r="C177" s="4" t="n">
        <f aca="false">COUNTIFS(Filas!$A$2:$A$648,$A177,Filas!$B$2:$B$648,$B177)</f>
        <v>1</v>
      </c>
      <c r="D177" s="4" t="n">
        <f aca="false">COUNTIFS(Filas!$A$2:$A$648,$A177,Filas!$B$2:$B$648,$B177,Filas!$N$2:$N$648,"mejora")</f>
        <v>1</v>
      </c>
      <c r="E177" s="4" t="n">
        <f aca="false">COUNTIFS(Filas!$A$2:$A$648,$A177,Filas!$B$2:$B$648,$B177,Filas!$N$2:$N$648,"sin cambio")</f>
        <v>0</v>
      </c>
      <c r="F177" s="4" t="n">
        <f aca="false">COUNTIFS(Filas!$A$2:$A$648,$A177,Filas!$B$2:$B$648,$B177,Filas!$N$2:$N$648,"empeora")</f>
        <v>0</v>
      </c>
      <c r="G177" s="4" t="n">
        <f aca="false">COUNTIFS(Filas!$A$2:$A$648,$A177,Filas!$B$2:$B$648,$B177,Filas!$N$2:$N$648,"mixto")</f>
        <v>0</v>
      </c>
      <c r="H177" s="4" t="n">
        <f aca="false">COUNTIFS(Filas!$A$2:$A$648,$A177,Filas!$B$2:$B$648,$B177,Filas!$S$2:$S$648,"cita encontrada*")+COUNTIFS(Filas!$A$2:$A$648,$A177,Filas!$B$2:$B$648,$B177,Filas!$S$2:$S$648,"página existe*")</f>
        <v>1</v>
      </c>
      <c r="I177" s="4" t="n">
        <f aca="false">COUNTIFS(Filas!$A$2:$A$648,$A177,Filas!$B$2:$B$648,$B177,Filas!$S$2:$S$648,"cita no encontrada*")+COUNTIFS(Filas!$A$2:$A$648,$A177,Filas!$B$2:$B$648,$B177,Filas!$S$2:$S$648,"página no accesible*")</f>
        <v>0</v>
      </c>
    </row>
    <row r="178" customFormat="false" ht="15" hidden="false" customHeight="false" outlineLevel="0" collapsed="false">
      <c r="A178" s="4" t="s">
        <v>4498</v>
      </c>
      <c r="B178" s="4" t="s">
        <v>4677</v>
      </c>
      <c r="C178" s="4" t="n">
        <f aca="false">COUNTIFS(Filas!$A$2:$A$648,$A178,Filas!$B$2:$B$648,$B178)</f>
        <v>1</v>
      </c>
      <c r="D178" s="4" t="n">
        <f aca="false">COUNTIFS(Filas!$A$2:$A$648,$A178,Filas!$B$2:$B$648,$B178,Filas!$N$2:$N$648,"mejora")</f>
        <v>0</v>
      </c>
      <c r="E178" s="4" t="n">
        <f aca="false">COUNTIFS(Filas!$A$2:$A$648,$A178,Filas!$B$2:$B$648,$B178,Filas!$N$2:$N$648,"sin cambio")</f>
        <v>1</v>
      </c>
      <c r="F178" s="4" t="n">
        <f aca="false">COUNTIFS(Filas!$A$2:$A$648,$A178,Filas!$B$2:$B$648,$B178,Filas!$N$2:$N$648,"empeora")</f>
        <v>0</v>
      </c>
      <c r="G178" s="4" t="n">
        <f aca="false">COUNTIFS(Filas!$A$2:$A$648,$A178,Filas!$B$2:$B$648,$B178,Filas!$N$2:$N$648,"mixto")</f>
        <v>0</v>
      </c>
      <c r="H178" s="4" t="n">
        <f aca="false">COUNTIFS(Filas!$A$2:$A$648,$A178,Filas!$B$2:$B$648,$B178,Filas!$S$2:$S$648,"cita encontrada*")+COUNTIFS(Filas!$A$2:$A$648,$A178,Filas!$B$2:$B$648,$B178,Filas!$S$2:$S$648,"página existe*")</f>
        <v>1</v>
      </c>
      <c r="I178" s="4" t="n">
        <f aca="false">COUNTIFS(Filas!$A$2:$A$648,$A178,Filas!$B$2:$B$648,$B178,Filas!$S$2:$S$648,"cita no encontrada*")+COUNTIFS(Filas!$A$2:$A$648,$A178,Filas!$B$2:$B$648,$B178,Filas!$S$2:$S$648,"página no accesible*")</f>
        <v>0</v>
      </c>
    </row>
    <row r="179" customFormat="false" ht="15" hidden="false" customHeight="false" outlineLevel="0" collapsed="false">
      <c r="A179" s="4" t="s">
        <v>4498</v>
      </c>
      <c r="B179" s="4" t="s">
        <v>4692</v>
      </c>
      <c r="C179" s="4" t="n">
        <f aca="false">COUNTIFS(Filas!$A$2:$A$648,$A179,Filas!$B$2:$B$648,$B179)</f>
        <v>2</v>
      </c>
      <c r="D179" s="4" t="n">
        <f aca="false">COUNTIFS(Filas!$A$2:$A$648,$A179,Filas!$B$2:$B$648,$B179,Filas!$N$2:$N$648,"mejora")</f>
        <v>0</v>
      </c>
      <c r="E179" s="4" t="n">
        <f aca="false">COUNTIFS(Filas!$A$2:$A$648,$A179,Filas!$B$2:$B$648,$B179,Filas!$N$2:$N$648,"sin cambio")</f>
        <v>0</v>
      </c>
      <c r="F179" s="4" t="n">
        <f aca="false">COUNTIFS(Filas!$A$2:$A$648,$A179,Filas!$B$2:$B$648,$B179,Filas!$N$2:$N$648,"empeora")</f>
        <v>0</v>
      </c>
      <c r="G179" s="4" t="n">
        <f aca="false">COUNTIFS(Filas!$A$2:$A$648,$A179,Filas!$B$2:$B$648,$B179,Filas!$N$2:$N$648,"mixto")</f>
        <v>2</v>
      </c>
      <c r="H179" s="4" t="n">
        <f aca="false">COUNTIFS(Filas!$A$2:$A$648,$A179,Filas!$B$2:$B$648,$B179,Filas!$S$2:$S$648,"cita encontrada*")+COUNTIFS(Filas!$A$2:$A$648,$A179,Filas!$B$2:$B$648,$B179,Filas!$S$2:$S$648,"página existe*")</f>
        <v>2</v>
      </c>
      <c r="I179" s="4" t="n">
        <f aca="false">COUNTIFS(Filas!$A$2:$A$648,$A179,Filas!$B$2:$B$648,$B179,Filas!$S$2:$S$648,"cita no encontrada*")+COUNTIFS(Filas!$A$2:$A$648,$A179,Filas!$B$2:$B$648,$B179,Filas!$S$2:$S$648,"página no accesible*")</f>
        <v>0</v>
      </c>
    </row>
    <row r="180" customFormat="false" ht="15" hidden="false" customHeight="false" outlineLevel="0" collapsed="false">
      <c r="A180" s="4" t="s">
        <v>4498</v>
      </c>
      <c r="B180" s="4" t="s">
        <v>4717</v>
      </c>
      <c r="C180" s="4" t="n">
        <f aca="false">COUNTIFS(Filas!$A$2:$A$648,$A180,Filas!$B$2:$B$648,$B180)</f>
        <v>1</v>
      </c>
      <c r="D180" s="4" t="n">
        <f aca="false">COUNTIFS(Filas!$A$2:$A$648,$A180,Filas!$B$2:$B$648,$B180,Filas!$N$2:$N$648,"mejora")</f>
        <v>1</v>
      </c>
      <c r="E180" s="4" t="n">
        <f aca="false">COUNTIFS(Filas!$A$2:$A$648,$A180,Filas!$B$2:$B$648,$B180,Filas!$N$2:$N$648,"sin cambio")</f>
        <v>0</v>
      </c>
      <c r="F180" s="4" t="n">
        <f aca="false">COUNTIFS(Filas!$A$2:$A$648,$A180,Filas!$B$2:$B$648,$B180,Filas!$N$2:$N$648,"empeora")</f>
        <v>0</v>
      </c>
      <c r="G180" s="4" t="n">
        <f aca="false">COUNTIFS(Filas!$A$2:$A$648,$A180,Filas!$B$2:$B$648,$B180,Filas!$N$2:$N$648,"mixto")</f>
        <v>0</v>
      </c>
      <c r="H180" s="4" t="n">
        <f aca="false">COUNTIFS(Filas!$A$2:$A$648,$A180,Filas!$B$2:$B$648,$B180,Filas!$S$2:$S$648,"cita encontrada*")+COUNTIFS(Filas!$A$2:$A$648,$A180,Filas!$B$2:$B$648,$B180,Filas!$S$2:$S$648,"página existe*")</f>
        <v>1</v>
      </c>
      <c r="I180" s="4" t="n">
        <f aca="false">COUNTIFS(Filas!$A$2:$A$648,$A180,Filas!$B$2:$B$648,$B180,Filas!$S$2:$S$648,"cita no encontrada*")+COUNTIFS(Filas!$A$2:$A$648,$A180,Filas!$B$2:$B$648,$B180,Filas!$S$2:$S$648,"página no accesible*")</f>
        <v>0</v>
      </c>
    </row>
    <row r="181" customFormat="false" ht="15" hidden="false" customHeight="false" outlineLevel="0" collapsed="false">
      <c r="A181" s="4" t="s">
        <v>4498</v>
      </c>
      <c r="B181" s="4" t="s">
        <v>4728</v>
      </c>
      <c r="C181" s="4" t="n">
        <f aca="false">COUNTIFS(Filas!$A$2:$A$648,$A181,Filas!$B$2:$B$648,$B181)</f>
        <v>1</v>
      </c>
      <c r="D181" s="4" t="n">
        <f aca="false">COUNTIFS(Filas!$A$2:$A$648,$A181,Filas!$B$2:$B$648,$B181,Filas!$N$2:$N$648,"mejora")</f>
        <v>0</v>
      </c>
      <c r="E181" s="4" t="n">
        <f aca="false">COUNTIFS(Filas!$A$2:$A$648,$A181,Filas!$B$2:$B$648,$B181,Filas!$N$2:$N$648,"sin cambio")</f>
        <v>0</v>
      </c>
      <c r="F181" s="4" t="n">
        <f aca="false">COUNTIFS(Filas!$A$2:$A$648,$A181,Filas!$B$2:$B$648,$B181,Filas!$N$2:$N$648,"empeora")</f>
        <v>0</v>
      </c>
      <c r="G181" s="4" t="n">
        <f aca="false">COUNTIFS(Filas!$A$2:$A$648,$A181,Filas!$B$2:$B$648,$B181,Filas!$N$2:$N$648,"mixto")</f>
        <v>0</v>
      </c>
      <c r="H181" s="4" t="n">
        <f aca="false">COUNTIFS(Filas!$A$2:$A$648,$A181,Filas!$B$2:$B$648,$B181,Filas!$S$2:$S$648,"cita encontrada*")+COUNTIFS(Filas!$A$2:$A$648,$A181,Filas!$B$2:$B$648,$B181,Filas!$S$2:$S$648,"página existe*")</f>
        <v>1</v>
      </c>
      <c r="I181" s="4" t="n">
        <f aca="false">COUNTIFS(Filas!$A$2:$A$648,$A181,Filas!$B$2:$B$648,$B181,Filas!$S$2:$S$648,"cita no encontrada*")+COUNTIFS(Filas!$A$2:$A$648,$A181,Filas!$B$2:$B$648,$B181,Filas!$S$2:$S$648,"página no accesible*")</f>
        <v>0</v>
      </c>
    </row>
    <row r="182" customFormat="false" ht="15" hidden="false" customHeight="false" outlineLevel="0" collapsed="false">
      <c r="A182" s="4" t="s">
        <v>4498</v>
      </c>
      <c r="B182" s="4" t="s">
        <v>4742</v>
      </c>
      <c r="C182" s="4" t="n">
        <f aca="false">COUNTIFS(Filas!$A$2:$A$648,$A182,Filas!$B$2:$B$648,$B182)</f>
        <v>1</v>
      </c>
      <c r="D182" s="4" t="n">
        <f aca="false">COUNTIFS(Filas!$A$2:$A$648,$A182,Filas!$B$2:$B$648,$B182,Filas!$N$2:$N$648,"mejora")</f>
        <v>1</v>
      </c>
      <c r="E182" s="4" t="n">
        <f aca="false">COUNTIFS(Filas!$A$2:$A$648,$A182,Filas!$B$2:$B$648,$B182,Filas!$N$2:$N$648,"sin cambio")</f>
        <v>0</v>
      </c>
      <c r="F182" s="4" t="n">
        <f aca="false">COUNTIFS(Filas!$A$2:$A$648,$A182,Filas!$B$2:$B$648,$B182,Filas!$N$2:$N$648,"empeora")</f>
        <v>0</v>
      </c>
      <c r="G182" s="4" t="n">
        <f aca="false">COUNTIFS(Filas!$A$2:$A$648,$A182,Filas!$B$2:$B$648,$B182,Filas!$N$2:$N$648,"mixto")</f>
        <v>0</v>
      </c>
      <c r="H182" s="4" t="n">
        <f aca="false">COUNTIFS(Filas!$A$2:$A$648,$A182,Filas!$B$2:$B$648,$B182,Filas!$S$2:$S$648,"cita encontrada*")+COUNTIFS(Filas!$A$2:$A$648,$A182,Filas!$B$2:$B$648,$B182,Filas!$S$2:$S$648,"página existe*")</f>
        <v>1</v>
      </c>
      <c r="I182" s="4" t="n">
        <f aca="false">COUNTIFS(Filas!$A$2:$A$648,$A182,Filas!$B$2:$B$648,$B182,Filas!$S$2:$S$648,"cita no encontrada*")+COUNTIFS(Filas!$A$2:$A$648,$A182,Filas!$B$2:$B$648,$B182,Filas!$S$2:$S$648,"página no accesible*")</f>
        <v>0</v>
      </c>
    </row>
    <row r="183" customFormat="false" ht="15" hidden="false" customHeight="false" outlineLevel="0" collapsed="false">
      <c r="A183" s="4" t="s">
        <v>4498</v>
      </c>
      <c r="B183" s="4" t="s">
        <v>4755</v>
      </c>
      <c r="C183" s="4" t="n">
        <f aca="false">COUNTIFS(Filas!$A$2:$A$648,$A183,Filas!$B$2:$B$648,$B183)</f>
        <v>5</v>
      </c>
      <c r="D183" s="4" t="n">
        <f aca="false">COUNTIFS(Filas!$A$2:$A$648,$A183,Filas!$B$2:$B$648,$B183,Filas!$N$2:$N$648,"mejora")</f>
        <v>2</v>
      </c>
      <c r="E183" s="4" t="n">
        <f aca="false">COUNTIFS(Filas!$A$2:$A$648,$A183,Filas!$B$2:$B$648,$B183,Filas!$N$2:$N$648,"sin cambio")</f>
        <v>2</v>
      </c>
      <c r="F183" s="4" t="n">
        <f aca="false">COUNTIFS(Filas!$A$2:$A$648,$A183,Filas!$B$2:$B$648,$B183,Filas!$N$2:$N$648,"empeora")</f>
        <v>0</v>
      </c>
      <c r="G183" s="4" t="n">
        <f aca="false">COUNTIFS(Filas!$A$2:$A$648,$A183,Filas!$B$2:$B$648,$B183,Filas!$N$2:$N$648,"mixto")</f>
        <v>1</v>
      </c>
      <c r="H183" s="4" t="n">
        <f aca="false">COUNTIFS(Filas!$A$2:$A$648,$A183,Filas!$B$2:$B$648,$B183,Filas!$S$2:$S$648,"cita encontrada*")+COUNTIFS(Filas!$A$2:$A$648,$A183,Filas!$B$2:$B$648,$B183,Filas!$S$2:$S$648,"página existe*")</f>
        <v>5</v>
      </c>
      <c r="I183" s="4" t="n">
        <f aca="false">COUNTIFS(Filas!$A$2:$A$648,$A183,Filas!$B$2:$B$648,$B183,Filas!$S$2:$S$648,"cita no encontrada*")+COUNTIFS(Filas!$A$2:$A$648,$A183,Filas!$B$2:$B$648,$B183,Filas!$S$2:$S$648,"página no accesible*")</f>
        <v>0</v>
      </c>
    </row>
    <row r="184" customFormat="false" ht="15" hidden="false" customHeight="false" outlineLevel="0" collapsed="false">
      <c r="A184" s="4" t="s">
        <v>4498</v>
      </c>
      <c r="B184" s="4" t="s">
        <v>4818</v>
      </c>
      <c r="C184" s="4" t="n">
        <f aca="false">COUNTIFS(Filas!$A$2:$A$648,$A184,Filas!$B$2:$B$648,$B184)</f>
        <v>3</v>
      </c>
      <c r="D184" s="4" t="n">
        <f aca="false">COUNTIFS(Filas!$A$2:$A$648,$A184,Filas!$B$2:$B$648,$B184,Filas!$N$2:$N$648,"mejora")</f>
        <v>2</v>
      </c>
      <c r="E184" s="4" t="n">
        <f aca="false">COUNTIFS(Filas!$A$2:$A$648,$A184,Filas!$B$2:$B$648,$B184,Filas!$N$2:$N$648,"sin cambio")</f>
        <v>0</v>
      </c>
      <c r="F184" s="4" t="n">
        <f aca="false">COUNTIFS(Filas!$A$2:$A$648,$A184,Filas!$B$2:$B$648,$B184,Filas!$N$2:$N$648,"empeora")</f>
        <v>0</v>
      </c>
      <c r="G184" s="4" t="n">
        <f aca="false">COUNTIFS(Filas!$A$2:$A$648,$A184,Filas!$B$2:$B$648,$B184,Filas!$N$2:$N$648,"mixto")</f>
        <v>1</v>
      </c>
      <c r="H184" s="4" t="n">
        <f aca="false">COUNTIFS(Filas!$A$2:$A$648,$A184,Filas!$B$2:$B$648,$B184,Filas!$S$2:$S$648,"cita encontrada*")+COUNTIFS(Filas!$A$2:$A$648,$A184,Filas!$B$2:$B$648,$B184,Filas!$S$2:$S$648,"página existe*")</f>
        <v>3</v>
      </c>
      <c r="I184" s="4" t="n">
        <f aca="false">COUNTIFS(Filas!$A$2:$A$648,$A184,Filas!$B$2:$B$648,$B184,Filas!$S$2:$S$648,"cita no encontrada*")+COUNTIFS(Filas!$A$2:$A$648,$A184,Filas!$B$2:$B$648,$B184,Filas!$S$2:$S$648,"página no accesible*")</f>
        <v>0</v>
      </c>
    </row>
    <row r="185" customFormat="false" ht="15" hidden="false" customHeight="false" outlineLevel="0" collapsed="false">
      <c r="A185" s="4" t="s">
        <v>4498</v>
      </c>
      <c r="B185" s="4" t="s">
        <v>4857</v>
      </c>
      <c r="C185" s="4" t="n">
        <f aca="false">COUNTIFS(Filas!$A$2:$A$648,$A185,Filas!$B$2:$B$648,$B185)</f>
        <v>1</v>
      </c>
      <c r="D185" s="4" t="n">
        <f aca="false">COUNTIFS(Filas!$A$2:$A$648,$A185,Filas!$B$2:$B$648,$B185,Filas!$N$2:$N$648,"mejora")</f>
        <v>1</v>
      </c>
      <c r="E185" s="4" t="n">
        <f aca="false">COUNTIFS(Filas!$A$2:$A$648,$A185,Filas!$B$2:$B$648,$B185,Filas!$N$2:$N$648,"sin cambio")</f>
        <v>0</v>
      </c>
      <c r="F185" s="4" t="n">
        <f aca="false">COUNTIFS(Filas!$A$2:$A$648,$A185,Filas!$B$2:$B$648,$B185,Filas!$N$2:$N$648,"empeora")</f>
        <v>0</v>
      </c>
      <c r="G185" s="4" t="n">
        <f aca="false">COUNTIFS(Filas!$A$2:$A$648,$A185,Filas!$B$2:$B$648,$B185,Filas!$N$2:$N$648,"mixto")</f>
        <v>0</v>
      </c>
      <c r="H185" s="4" t="n">
        <f aca="false">COUNTIFS(Filas!$A$2:$A$648,$A185,Filas!$B$2:$B$648,$B185,Filas!$S$2:$S$648,"cita encontrada*")+COUNTIFS(Filas!$A$2:$A$648,$A185,Filas!$B$2:$B$648,$B185,Filas!$S$2:$S$648,"página existe*")</f>
        <v>1</v>
      </c>
      <c r="I185" s="4" t="n">
        <f aca="false">COUNTIFS(Filas!$A$2:$A$648,$A185,Filas!$B$2:$B$648,$B185,Filas!$S$2:$S$648,"cita no encontrada*")+COUNTIFS(Filas!$A$2:$A$648,$A185,Filas!$B$2:$B$648,$B185,Filas!$S$2:$S$648,"página no accesible*")</f>
        <v>0</v>
      </c>
    </row>
    <row r="186" customFormat="false" ht="15" hidden="false" customHeight="false" outlineLevel="0" collapsed="false">
      <c r="A186" s="4" t="s">
        <v>4498</v>
      </c>
      <c r="B186" s="4" t="s">
        <v>4873</v>
      </c>
      <c r="C186" s="4" t="n">
        <f aca="false">COUNTIFS(Filas!$A$2:$A$648,$A186,Filas!$B$2:$B$648,$B186)</f>
        <v>3</v>
      </c>
      <c r="D186" s="4" t="n">
        <f aca="false">COUNTIFS(Filas!$A$2:$A$648,$A186,Filas!$B$2:$B$648,$B186,Filas!$N$2:$N$648,"mejora")</f>
        <v>1</v>
      </c>
      <c r="E186" s="4" t="n">
        <f aca="false">COUNTIFS(Filas!$A$2:$A$648,$A186,Filas!$B$2:$B$648,$B186,Filas!$N$2:$N$648,"sin cambio")</f>
        <v>2</v>
      </c>
      <c r="F186" s="4" t="n">
        <f aca="false">COUNTIFS(Filas!$A$2:$A$648,$A186,Filas!$B$2:$B$648,$B186,Filas!$N$2:$N$648,"empeora")</f>
        <v>0</v>
      </c>
      <c r="G186" s="4" t="n">
        <f aca="false">COUNTIFS(Filas!$A$2:$A$648,$A186,Filas!$B$2:$B$648,$B186,Filas!$N$2:$N$648,"mixto")</f>
        <v>0</v>
      </c>
      <c r="H186" s="4" t="n">
        <f aca="false">COUNTIFS(Filas!$A$2:$A$648,$A186,Filas!$B$2:$B$648,$B186,Filas!$S$2:$S$648,"cita encontrada*")+COUNTIFS(Filas!$A$2:$A$648,$A186,Filas!$B$2:$B$648,$B186,Filas!$S$2:$S$648,"página existe*")</f>
        <v>3</v>
      </c>
      <c r="I186" s="4" t="n">
        <f aca="false">COUNTIFS(Filas!$A$2:$A$648,$A186,Filas!$B$2:$B$648,$B186,Filas!$S$2:$S$648,"cita no encontrada*")+COUNTIFS(Filas!$A$2:$A$648,$A186,Filas!$B$2:$B$648,$B186,Filas!$S$2:$S$648,"página no accesible*")</f>
        <v>0</v>
      </c>
    </row>
    <row r="187" customFormat="false" ht="15" hidden="false" customHeight="false" outlineLevel="0" collapsed="false">
      <c r="A187" s="4" t="s">
        <v>4498</v>
      </c>
      <c r="B187" s="4" t="s">
        <v>4914</v>
      </c>
      <c r="C187" s="4" t="n">
        <f aca="false">COUNTIFS(Filas!$A$2:$A$648,$A187,Filas!$B$2:$B$648,$B187)</f>
        <v>1</v>
      </c>
      <c r="D187" s="4" t="n">
        <f aca="false">COUNTIFS(Filas!$A$2:$A$648,$A187,Filas!$B$2:$B$648,$B187,Filas!$N$2:$N$648,"mejora")</f>
        <v>0</v>
      </c>
      <c r="E187" s="4" t="n">
        <f aca="false">COUNTIFS(Filas!$A$2:$A$648,$A187,Filas!$B$2:$B$648,$B187,Filas!$N$2:$N$648,"sin cambio")</f>
        <v>0</v>
      </c>
      <c r="F187" s="4" t="n">
        <f aca="false">COUNTIFS(Filas!$A$2:$A$648,$A187,Filas!$B$2:$B$648,$B187,Filas!$N$2:$N$648,"empeora")</f>
        <v>0</v>
      </c>
      <c r="G187" s="4" t="n">
        <f aca="false">COUNTIFS(Filas!$A$2:$A$648,$A187,Filas!$B$2:$B$648,$B187,Filas!$N$2:$N$648,"mixto")</f>
        <v>1</v>
      </c>
      <c r="H187" s="4" t="n">
        <f aca="false">COUNTIFS(Filas!$A$2:$A$648,$A187,Filas!$B$2:$B$648,$B187,Filas!$S$2:$S$648,"cita encontrada*")+COUNTIFS(Filas!$A$2:$A$648,$A187,Filas!$B$2:$B$648,$B187,Filas!$S$2:$S$648,"página existe*")</f>
        <v>1</v>
      </c>
      <c r="I187" s="4" t="n">
        <f aca="false">COUNTIFS(Filas!$A$2:$A$648,$A187,Filas!$B$2:$B$648,$B187,Filas!$S$2:$S$648,"cita no encontrada*")+COUNTIFS(Filas!$A$2:$A$648,$A187,Filas!$B$2:$B$648,$B187,Filas!$S$2:$S$648,"página no accesible*")</f>
        <v>0</v>
      </c>
    </row>
    <row r="188" customFormat="false" ht="15" hidden="false" customHeight="false" outlineLevel="0" collapsed="false">
      <c r="A188" s="4" t="s">
        <v>4498</v>
      </c>
      <c r="B188" s="4" t="s">
        <v>4927</v>
      </c>
      <c r="C188" s="4" t="n">
        <f aca="false">COUNTIFS(Filas!$A$2:$A$648,$A188,Filas!$B$2:$B$648,$B188)</f>
        <v>1</v>
      </c>
      <c r="D188" s="4" t="n">
        <f aca="false">COUNTIFS(Filas!$A$2:$A$648,$A188,Filas!$B$2:$B$648,$B188,Filas!$N$2:$N$648,"mejora")</f>
        <v>0</v>
      </c>
      <c r="E188" s="4" t="n">
        <f aca="false">COUNTIFS(Filas!$A$2:$A$648,$A188,Filas!$B$2:$B$648,$B188,Filas!$N$2:$N$648,"sin cambio")</f>
        <v>1</v>
      </c>
      <c r="F188" s="4" t="n">
        <f aca="false">COUNTIFS(Filas!$A$2:$A$648,$A188,Filas!$B$2:$B$648,$B188,Filas!$N$2:$N$648,"empeora")</f>
        <v>0</v>
      </c>
      <c r="G188" s="4" t="n">
        <f aca="false">COUNTIFS(Filas!$A$2:$A$648,$A188,Filas!$B$2:$B$648,$B188,Filas!$N$2:$N$648,"mixto")</f>
        <v>0</v>
      </c>
      <c r="H188" s="4" t="n">
        <f aca="false">COUNTIFS(Filas!$A$2:$A$648,$A188,Filas!$B$2:$B$648,$B188,Filas!$S$2:$S$648,"cita encontrada*")+COUNTIFS(Filas!$A$2:$A$648,$A188,Filas!$B$2:$B$648,$B188,Filas!$S$2:$S$648,"página existe*")</f>
        <v>1</v>
      </c>
      <c r="I188" s="4" t="n">
        <f aca="false">COUNTIFS(Filas!$A$2:$A$648,$A188,Filas!$B$2:$B$648,$B188,Filas!$S$2:$S$648,"cita no encontrada*")+COUNTIFS(Filas!$A$2:$A$648,$A188,Filas!$B$2:$B$648,$B188,Filas!$S$2:$S$648,"página no accesible*")</f>
        <v>0</v>
      </c>
    </row>
    <row r="189" customFormat="false" ht="15" hidden="false" customHeight="false" outlineLevel="0" collapsed="false">
      <c r="A189" s="4" t="s">
        <v>4498</v>
      </c>
      <c r="B189" s="4" t="s">
        <v>4938</v>
      </c>
      <c r="C189" s="4" t="n">
        <f aca="false">COUNTIFS(Filas!$A$2:$A$648,$A189,Filas!$B$2:$B$648,$B189)</f>
        <v>1</v>
      </c>
      <c r="D189" s="4" t="n">
        <f aca="false">COUNTIFS(Filas!$A$2:$A$648,$A189,Filas!$B$2:$B$648,$B189,Filas!$N$2:$N$648,"mejora")</f>
        <v>1</v>
      </c>
      <c r="E189" s="4" t="n">
        <f aca="false">COUNTIFS(Filas!$A$2:$A$648,$A189,Filas!$B$2:$B$648,$B189,Filas!$N$2:$N$648,"sin cambio")</f>
        <v>0</v>
      </c>
      <c r="F189" s="4" t="n">
        <f aca="false">COUNTIFS(Filas!$A$2:$A$648,$A189,Filas!$B$2:$B$648,$B189,Filas!$N$2:$N$648,"empeora")</f>
        <v>0</v>
      </c>
      <c r="G189" s="4" t="n">
        <f aca="false">COUNTIFS(Filas!$A$2:$A$648,$A189,Filas!$B$2:$B$648,$B189,Filas!$N$2:$N$648,"mixto")</f>
        <v>0</v>
      </c>
      <c r="H189" s="4" t="n">
        <f aca="false">COUNTIFS(Filas!$A$2:$A$648,$A189,Filas!$B$2:$B$648,$B189,Filas!$S$2:$S$648,"cita encontrada*")+COUNTIFS(Filas!$A$2:$A$648,$A189,Filas!$B$2:$B$648,$B189,Filas!$S$2:$S$648,"página existe*")</f>
        <v>1</v>
      </c>
      <c r="I189" s="4" t="n">
        <f aca="false">COUNTIFS(Filas!$A$2:$A$648,$A189,Filas!$B$2:$B$648,$B189,Filas!$S$2:$S$648,"cita no encontrada*")+COUNTIFS(Filas!$A$2:$A$648,$A189,Filas!$B$2:$B$648,$B189,Filas!$S$2:$S$648,"página no accesible*")</f>
        <v>0</v>
      </c>
    </row>
    <row r="190" customFormat="false" ht="15" hidden="false" customHeight="false" outlineLevel="0" collapsed="false">
      <c r="A190" s="4" t="s">
        <v>4498</v>
      </c>
      <c r="B190" s="4" t="s">
        <v>4949</v>
      </c>
      <c r="C190" s="4" t="n">
        <f aca="false">COUNTIFS(Filas!$A$2:$A$648,$A190,Filas!$B$2:$B$648,$B190)</f>
        <v>1</v>
      </c>
      <c r="D190" s="4" t="n">
        <f aca="false">COUNTIFS(Filas!$A$2:$A$648,$A190,Filas!$B$2:$B$648,$B190,Filas!$N$2:$N$648,"mejora")</f>
        <v>0</v>
      </c>
      <c r="E190" s="4" t="n">
        <f aca="false">COUNTIFS(Filas!$A$2:$A$648,$A190,Filas!$B$2:$B$648,$B190,Filas!$N$2:$N$648,"sin cambio")</f>
        <v>1</v>
      </c>
      <c r="F190" s="4" t="n">
        <f aca="false">COUNTIFS(Filas!$A$2:$A$648,$A190,Filas!$B$2:$B$648,$B190,Filas!$N$2:$N$648,"empeora")</f>
        <v>0</v>
      </c>
      <c r="G190" s="4" t="n">
        <f aca="false">COUNTIFS(Filas!$A$2:$A$648,$A190,Filas!$B$2:$B$648,$B190,Filas!$N$2:$N$648,"mixto")</f>
        <v>0</v>
      </c>
      <c r="H190" s="4" t="n">
        <f aca="false">COUNTIFS(Filas!$A$2:$A$648,$A190,Filas!$B$2:$B$648,$B190,Filas!$S$2:$S$648,"cita encontrada*")+COUNTIFS(Filas!$A$2:$A$648,$A190,Filas!$B$2:$B$648,$B190,Filas!$S$2:$S$648,"página existe*")</f>
        <v>1</v>
      </c>
      <c r="I190" s="4" t="n">
        <f aca="false">COUNTIFS(Filas!$A$2:$A$648,$A190,Filas!$B$2:$B$648,$B190,Filas!$S$2:$S$648,"cita no encontrada*")+COUNTIFS(Filas!$A$2:$A$648,$A190,Filas!$B$2:$B$648,$B190,Filas!$S$2:$S$648,"página no accesible*")</f>
        <v>0</v>
      </c>
    </row>
    <row r="191" customFormat="false" ht="15" hidden="false" customHeight="false" outlineLevel="0" collapsed="false">
      <c r="A191" s="4" t="s">
        <v>4498</v>
      </c>
      <c r="B191" s="4" t="s">
        <v>4964</v>
      </c>
      <c r="C191" s="4" t="n">
        <f aca="false">COUNTIFS(Filas!$A$2:$A$648,$A191,Filas!$B$2:$B$648,$B191)</f>
        <v>2</v>
      </c>
      <c r="D191" s="4" t="n">
        <f aca="false">COUNTIFS(Filas!$A$2:$A$648,$A191,Filas!$B$2:$B$648,$B191,Filas!$N$2:$N$648,"mejora")</f>
        <v>1</v>
      </c>
      <c r="E191" s="4" t="n">
        <f aca="false">COUNTIFS(Filas!$A$2:$A$648,$A191,Filas!$B$2:$B$648,$B191,Filas!$N$2:$N$648,"sin cambio")</f>
        <v>1</v>
      </c>
      <c r="F191" s="4" t="n">
        <f aca="false">COUNTIFS(Filas!$A$2:$A$648,$A191,Filas!$B$2:$B$648,$B191,Filas!$N$2:$N$648,"empeora")</f>
        <v>0</v>
      </c>
      <c r="G191" s="4" t="n">
        <f aca="false">COUNTIFS(Filas!$A$2:$A$648,$A191,Filas!$B$2:$B$648,$B191,Filas!$N$2:$N$648,"mixto")</f>
        <v>0</v>
      </c>
      <c r="H191" s="4" t="n">
        <f aca="false">COUNTIFS(Filas!$A$2:$A$648,$A191,Filas!$B$2:$B$648,$B191,Filas!$S$2:$S$648,"cita encontrada*")+COUNTIFS(Filas!$A$2:$A$648,$A191,Filas!$B$2:$B$648,$B191,Filas!$S$2:$S$648,"página existe*")</f>
        <v>2</v>
      </c>
      <c r="I191" s="4" t="n">
        <f aca="false">COUNTIFS(Filas!$A$2:$A$648,$A191,Filas!$B$2:$B$648,$B191,Filas!$S$2:$S$648,"cita no encontrada*")+COUNTIFS(Filas!$A$2:$A$648,$A191,Filas!$B$2:$B$648,$B191,Filas!$S$2:$S$648,"página no accesible*")</f>
        <v>0</v>
      </c>
    </row>
    <row r="192" customFormat="false" ht="15" hidden="false" customHeight="false" outlineLevel="0" collapsed="false">
      <c r="A192" s="4" t="s">
        <v>4498</v>
      </c>
      <c r="B192" s="4" t="s">
        <v>4990</v>
      </c>
      <c r="C192" s="4" t="n">
        <f aca="false">COUNTIFS(Filas!$A$2:$A$648,$A192,Filas!$B$2:$B$648,$B192)</f>
        <v>1</v>
      </c>
      <c r="D192" s="4" t="n">
        <f aca="false">COUNTIFS(Filas!$A$2:$A$648,$A192,Filas!$B$2:$B$648,$B192,Filas!$N$2:$N$648,"mejora")</f>
        <v>0</v>
      </c>
      <c r="E192" s="4" t="n">
        <f aca="false">COUNTIFS(Filas!$A$2:$A$648,$A192,Filas!$B$2:$B$648,$B192,Filas!$N$2:$N$648,"sin cambio")</f>
        <v>1</v>
      </c>
      <c r="F192" s="4" t="n">
        <f aca="false">COUNTIFS(Filas!$A$2:$A$648,$A192,Filas!$B$2:$B$648,$B192,Filas!$N$2:$N$648,"empeora")</f>
        <v>0</v>
      </c>
      <c r="G192" s="4" t="n">
        <f aca="false">COUNTIFS(Filas!$A$2:$A$648,$A192,Filas!$B$2:$B$648,$B192,Filas!$N$2:$N$648,"mixto")</f>
        <v>0</v>
      </c>
      <c r="H192" s="4" t="n">
        <f aca="false">COUNTIFS(Filas!$A$2:$A$648,$A192,Filas!$B$2:$B$648,$B192,Filas!$S$2:$S$648,"cita encontrada*")+COUNTIFS(Filas!$A$2:$A$648,$A192,Filas!$B$2:$B$648,$B192,Filas!$S$2:$S$648,"página existe*")</f>
        <v>1</v>
      </c>
      <c r="I192" s="4" t="n">
        <f aca="false">COUNTIFS(Filas!$A$2:$A$648,$A192,Filas!$B$2:$B$648,$B192,Filas!$S$2:$S$648,"cita no encontrada*")+COUNTIFS(Filas!$A$2:$A$648,$A192,Filas!$B$2:$B$648,$B192,Filas!$S$2:$S$648,"página no accesible*")</f>
        <v>0</v>
      </c>
    </row>
    <row r="193" customFormat="false" ht="15" hidden="false" customHeight="false" outlineLevel="0" collapsed="false">
      <c r="A193" s="4" t="s">
        <v>4498</v>
      </c>
      <c r="B193" s="4" t="s">
        <v>5005</v>
      </c>
      <c r="C193" s="4" t="n">
        <f aca="false">COUNTIFS(Filas!$A$2:$A$648,$A193,Filas!$B$2:$B$648,$B193)</f>
        <v>1</v>
      </c>
      <c r="D193" s="4" t="n">
        <f aca="false">COUNTIFS(Filas!$A$2:$A$648,$A193,Filas!$B$2:$B$648,$B193,Filas!$N$2:$N$648,"mejora")</f>
        <v>0</v>
      </c>
      <c r="E193" s="4" t="n">
        <f aca="false">COUNTIFS(Filas!$A$2:$A$648,$A193,Filas!$B$2:$B$648,$B193,Filas!$N$2:$N$648,"sin cambio")</f>
        <v>0</v>
      </c>
      <c r="F193" s="4" t="n">
        <f aca="false">COUNTIFS(Filas!$A$2:$A$648,$A193,Filas!$B$2:$B$648,$B193,Filas!$N$2:$N$648,"empeora")</f>
        <v>0</v>
      </c>
      <c r="G193" s="4" t="n">
        <f aca="false">COUNTIFS(Filas!$A$2:$A$648,$A193,Filas!$B$2:$B$648,$B193,Filas!$N$2:$N$648,"mixto")</f>
        <v>1</v>
      </c>
      <c r="H193" s="4" t="n">
        <f aca="false">COUNTIFS(Filas!$A$2:$A$648,$A193,Filas!$B$2:$B$648,$B193,Filas!$S$2:$S$648,"cita encontrada*")+COUNTIFS(Filas!$A$2:$A$648,$A193,Filas!$B$2:$B$648,$B193,Filas!$S$2:$S$648,"página existe*")</f>
        <v>1</v>
      </c>
      <c r="I193" s="4" t="n">
        <f aca="false">COUNTIFS(Filas!$A$2:$A$648,$A193,Filas!$B$2:$B$648,$B193,Filas!$S$2:$S$648,"cita no encontrada*")+COUNTIFS(Filas!$A$2:$A$648,$A193,Filas!$B$2:$B$648,$B193,Filas!$S$2:$S$648,"página no accesible*")</f>
        <v>0</v>
      </c>
    </row>
    <row r="194" customFormat="false" ht="15" hidden="false" customHeight="false" outlineLevel="0" collapsed="false">
      <c r="A194" s="4" t="s">
        <v>4498</v>
      </c>
      <c r="B194" s="4" t="s">
        <v>5017</v>
      </c>
      <c r="C194" s="4" t="n">
        <f aca="false">COUNTIFS(Filas!$A$2:$A$648,$A194,Filas!$B$2:$B$648,$B194)</f>
        <v>1</v>
      </c>
      <c r="D194" s="4" t="n">
        <f aca="false">COUNTIFS(Filas!$A$2:$A$648,$A194,Filas!$B$2:$B$648,$B194,Filas!$N$2:$N$648,"mejora")</f>
        <v>0</v>
      </c>
      <c r="E194" s="4" t="n">
        <f aca="false">COUNTIFS(Filas!$A$2:$A$648,$A194,Filas!$B$2:$B$648,$B194,Filas!$N$2:$N$648,"sin cambio")</f>
        <v>0</v>
      </c>
      <c r="F194" s="4" t="n">
        <f aca="false">COUNTIFS(Filas!$A$2:$A$648,$A194,Filas!$B$2:$B$648,$B194,Filas!$N$2:$N$648,"empeora")</f>
        <v>0</v>
      </c>
      <c r="G194" s="4" t="n">
        <f aca="false">COUNTIFS(Filas!$A$2:$A$648,$A194,Filas!$B$2:$B$648,$B194,Filas!$N$2:$N$648,"mixto")</f>
        <v>1</v>
      </c>
      <c r="H194" s="4" t="n">
        <f aca="false">COUNTIFS(Filas!$A$2:$A$648,$A194,Filas!$B$2:$B$648,$B194,Filas!$S$2:$S$648,"cita encontrada*")+COUNTIFS(Filas!$A$2:$A$648,$A194,Filas!$B$2:$B$648,$B194,Filas!$S$2:$S$648,"página existe*")</f>
        <v>1</v>
      </c>
      <c r="I194" s="4" t="n">
        <f aca="false">COUNTIFS(Filas!$A$2:$A$648,$A194,Filas!$B$2:$B$648,$B194,Filas!$S$2:$S$648,"cita no encontrada*")+COUNTIFS(Filas!$A$2:$A$648,$A194,Filas!$B$2:$B$648,$B194,Filas!$S$2:$S$648,"página no accesible*")</f>
        <v>0</v>
      </c>
    </row>
    <row r="195" customFormat="false" ht="15" hidden="false" customHeight="false" outlineLevel="0" collapsed="false">
      <c r="A195" s="4" t="s">
        <v>4498</v>
      </c>
      <c r="B195" s="4" t="s">
        <v>5030</v>
      </c>
      <c r="C195" s="4" t="n">
        <f aca="false">COUNTIFS(Filas!$A$2:$A$648,$A195,Filas!$B$2:$B$648,$B195)</f>
        <v>1</v>
      </c>
      <c r="D195" s="4" t="n">
        <f aca="false">COUNTIFS(Filas!$A$2:$A$648,$A195,Filas!$B$2:$B$648,$B195,Filas!$N$2:$N$648,"mejora")</f>
        <v>1</v>
      </c>
      <c r="E195" s="4" t="n">
        <f aca="false">COUNTIFS(Filas!$A$2:$A$648,$A195,Filas!$B$2:$B$648,$B195,Filas!$N$2:$N$648,"sin cambio")</f>
        <v>0</v>
      </c>
      <c r="F195" s="4" t="n">
        <f aca="false">COUNTIFS(Filas!$A$2:$A$648,$A195,Filas!$B$2:$B$648,$B195,Filas!$N$2:$N$648,"empeora")</f>
        <v>0</v>
      </c>
      <c r="G195" s="4" t="n">
        <f aca="false">COUNTIFS(Filas!$A$2:$A$648,$A195,Filas!$B$2:$B$648,$B195,Filas!$N$2:$N$648,"mixto")</f>
        <v>0</v>
      </c>
      <c r="H195" s="4" t="n">
        <f aca="false">COUNTIFS(Filas!$A$2:$A$648,$A195,Filas!$B$2:$B$648,$B195,Filas!$S$2:$S$648,"cita encontrada*")+COUNTIFS(Filas!$A$2:$A$648,$A195,Filas!$B$2:$B$648,$B195,Filas!$S$2:$S$648,"página existe*")</f>
        <v>1</v>
      </c>
      <c r="I195" s="4" t="n">
        <f aca="false">COUNTIFS(Filas!$A$2:$A$648,$A195,Filas!$B$2:$B$648,$B195,Filas!$S$2:$S$648,"cita no encontrada*")+COUNTIFS(Filas!$A$2:$A$648,$A195,Filas!$B$2:$B$648,$B195,Filas!$S$2:$S$648,"página no accesible*")</f>
        <v>0</v>
      </c>
    </row>
    <row r="196" customFormat="false" ht="15" hidden="false" customHeight="false" outlineLevel="0" collapsed="false">
      <c r="A196" s="4" t="s">
        <v>4498</v>
      </c>
      <c r="B196" s="4" t="s">
        <v>2252</v>
      </c>
      <c r="C196" s="4" t="n">
        <f aca="false">COUNTIFS(Filas!$A$2:$A$648,$A196,Filas!$B$2:$B$648,$B196)</f>
        <v>3</v>
      </c>
      <c r="D196" s="4" t="n">
        <f aca="false">COUNTIFS(Filas!$A$2:$A$648,$A196,Filas!$B$2:$B$648,$B196,Filas!$N$2:$N$648,"mejora")</f>
        <v>3</v>
      </c>
      <c r="E196" s="4" t="n">
        <f aca="false">COUNTIFS(Filas!$A$2:$A$648,$A196,Filas!$B$2:$B$648,$B196,Filas!$N$2:$N$648,"sin cambio")</f>
        <v>0</v>
      </c>
      <c r="F196" s="4" t="n">
        <f aca="false">COUNTIFS(Filas!$A$2:$A$648,$A196,Filas!$B$2:$B$648,$B196,Filas!$N$2:$N$648,"empeora")</f>
        <v>0</v>
      </c>
      <c r="G196" s="4" t="n">
        <f aca="false">COUNTIFS(Filas!$A$2:$A$648,$A196,Filas!$B$2:$B$648,$B196,Filas!$N$2:$N$648,"mixto")</f>
        <v>0</v>
      </c>
      <c r="H196" s="4" t="n">
        <f aca="false">COUNTIFS(Filas!$A$2:$A$648,$A196,Filas!$B$2:$B$648,$B196,Filas!$S$2:$S$648,"cita encontrada*")+COUNTIFS(Filas!$A$2:$A$648,$A196,Filas!$B$2:$B$648,$B196,Filas!$S$2:$S$648,"página existe*")</f>
        <v>3</v>
      </c>
      <c r="I196" s="4" t="n">
        <f aca="false">COUNTIFS(Filas!$A$2:$A$648,$A196,Filas!$B$2:$B$648,$B196,Filas!$S$2:$S$648,"cita no encontrada*")+COUNTIFS(Filas!$A$2:$A$648,$A196,Filas!$B$2:$B$648,$B196,Filas!$S$2:$S$648,"página no accesible*")</f>
        <v>0</v>
      </c>
    </row>
    <row r="197" customFormat="false" ht="15" hidden="false" customHeight="false" outlineLevel="0" collapsed="false">
      <c r="A197" s="4" t="s">
        <v>5080</v>
      </c>
      <c r="B197" s="4" t="s">
        <v>5081</v>
      </c>
      <c r="C197" s="4" t="n">
        <f aca="false">COUNTIFS(Filas!$A$2:$A$648,$A197,Filas!$B$2:$B$648,$B197)</f>
        <v>12</v>
      </c>
      <c r="D197" s="4" t="n">
        <f aca="false">COUNTIFS(Filas!$A$2:$A$648,$A197,Filas!$B$2:$B$648,$B197,Filas!$N$2:$N$648,"mejora")</f>
        <v>8</v>
      </c>
      <c r="E197" s="4" t="n">
        <f aca="false">COUNTIFS(Filas!$A$2:$A$648,$A197,Filas!$B$2:$B$648,$B197,Filas!$N$2:$N$648,"sin cambio")</f>
        <v>0</v>
      </c>
      <c r="F197" s="4" t="n">
        <f aca="false">COUNTIFS(Filas!$A$2:$A$648,$A197,Filas!$B$2:$B$648,$B197,Filas!$N$2:$N$648,"empeora")</f>
        <v>0</v>
      </c>
      <c r="G197" s="4" t="n">
        <f aca="false">COUNTIFS(Filas!$A$2:$A$648,$A197,Filas!$B$2:$B$648,$B197,Filas!$N$2:$N$648,"mixto")</f>
        <v>1</v>
      </c>
      <c r="H197" s="4" t="n">
        <f aca="false">COUNTIFS(Filas!$A$2:$A$648,$A197,Filas!$B$2:$B$648,$B197,Filas!$S$2:$S$648,"cita encontrada*")+COUNTIFS(Filas!$A$2:$A$648,$A197,Filas!$B$2:$B$648,$B197,Filas!$S$2:$S$648,"página existe*")</f>
        <v>12</v>
      </c>
      <c r="I197" s="4" t="n">
        <f aca="false">COUNTIFS(Filas!$A$2:$A$648,$A197,Filas!$B$2:$B$648,$B197,Filas!$S$2:$S$648,"cita no encontrada*")+COUNTIFS(Filas!$A$2:$A$648,$A197,Filas!$B$2:$B$648,$B197,Filas!$S$2:$S$648,"página no accesible*")</f>
        <v>0</v>
      </c>
    </row>
    <row r="198" customFormat="false" ht="15" hidden="false" customHeight="false" outlineLevel="0" collapsed="false">
      <c r="A198" s="4" t="s">
        <v>5080</v>
      </c>
      <c r="B198" s="4" t="s">
        <v>5193</v>
      </c>
      <c r="C198" s="4" t="n">
        <f aca="false">COUNTIFS(Filas!$A$2:$A$648,$A198,Filas!$B$2:$B$648,$B198)</f>
        <v>4</v>
      </c>
      <c r="D198" s="4" t="n">
        <f aca="false">COUNTIFS(Filas!$A$2:$A$648,$A198,Filas!$B$2:$B$648,$B198,Filas!$N$2:$N$648,"mejora")</f>
        <v>0</v>
      </c>
      <c r="E198" s="4" t="n">
        <f aca="false">COUNTIFS(Filas!$A$2:$A$648,$A198,Filas!$B$2:$B$648,$B198,Filas!$N$2:$N$648,"sin cambio")</f>
        <v>1</v>
      </c>
      <c r="F198" s="4" t="n">
        <f aca="false">COUNTIFS(Filas!$A$2:$A$648,$A198,Filas!$B$2:$B$648,$B198,Filas!$N$2:$N$648,"empeora")</f>
        <v>0</v>
      </c>
      <c r="G198" s="4" t="n">
        <f aca="false">COUNTIFS(Filas!$A$2:$A$648,$A198,Filas!$B$2:$B$648,$B198,Filas!$N$2:$N$648,"mixto")</f>
        <v>0</v>
      </c>
      <c r="H198" s="4" t="n">
        <f aca="false">COUNTIFS(Filas!$A$2:$A$648,$A198,Filas!$B$2:$B$648,$B198,Filas!$S$2:$S$648,"cita encontrada*")+COUNTIFS(Filas!$A$2:$A$648,$A198,Filas!$B$2:$B$648,$B198,Filas!$S$2:$S$648,"página existe*")</f>
        <v>4</v>
      </c>
      <c r="I198" s="4" t="n">
        <f aca="false">COUNTIFS(Filas!$A$2:$A$648,$A198,Filas!$B$2:$B$648,$B198,Filas!$S$2:$S$648,"cita no encontrada*")+COUNTIFS(Filas!$A$2:$A$648,$A198,Filas!$B$2:$B$648,$B198,Filas!$S$2:$S$648,"página no accesible*")</f>
        <v>0</v>
      </c>
    </row>
    <row r="199" customFormat="false" ht="15" hidden="false" customHeight="false" outlineLevel="0" collapsed="false">
      <c r="A199" s="4" t="s">
        <v>5080</v>
      </c>
      <c r="B199" s="4" t="s">
        <v>5208</v>
      </c>
      <c r="C199" s="4" t="n">
        <f aca="false">COUNTIFS(Filas!$A$2:$A$648,$A199,Filas!$B$2:$B$648,$B199)</f>
        <v>4</v>
      </c>
      <c r="D199" s="4" t="n">
        <f aca="false">COUNTIFS(Filas!$A$2:$A$648,$A199,Filas!$B$2:$B$648,$B199,Filas!$N$2:$N$648,"mejora")</f>
        <v>2</v>
      </c>
      <c r="E199" s="4" t="n">
        <f aca="false">COUNTIFS(Filas!$A$2:$A$648,$A199,Filas!$B$2:$B$648,$B199,Filas!$N$2:$N$648,"sin cambio")</f>
        <v>0</v>
      </c>
      <c r="F199" s="4" t="n">
        <f aca="false">COUNTIFS(Filas!$A$2:$A$648,$A199,Filas!$B$2:$B$648,$B199,Filas!$N$2:$N$648,"empeora")</f>
        <v>0</v>
      </c>
      <c r="G199" s="4" t="n">
        <f aca="false">COUNTIFS(Filas!$A$2:$A$648,$A199,Filas!$B$2:$B$648,$B199,Filas!$N$2:$N$648,"mixto")</f>
        <v>0</v>
      </c>
      <c r="H199" s="4" t="n">
        <f aca="false">COUNTIFS(Filas!$A$2:$A$648,$A199,Filas!$B$2:$B$648,$B199,Filas!$S$2:$S$648,"cita encontrada*")+COUNTIFS(Filas!$A$2:$A$648,$A199,Filas!$B$2:$B$648,$B199,Filas!$S$2:$S$648,"página existe*")</f>
        <v>4</v>
      </c>
      <c r="I199" s="4" t="n">
        <f aca="false">COUNTIFS(Filas!$A$2:$A$648,$A199,Filas!$B$2:$B$648,$B199,Filas!$S$2:$S$648,"cita no encontrada*")+COUNTIFS(Filas!$A$2:$A$648,$A199,Filas!$B$2:$B$648,$B199,Filas!$S$2:$S$648,"página no accesible*")</f>
        <v>0</v>
      </c>
    </row>
    <row r="200" customFormat="false" ht="15" hidden="false" customHeight="false" outlineLevel="0" collapsed="false">
      <c r="A200" s="4" t="s">
        <v>5080</v>
      </c>
      <c r="B200" s="4" t="s">
        <v>5262</v>
      </c>
      <c r="C200" s="4" t="n">
        <f aca="false">COUNTIFS(Filas!$A$2:$A$648,$A200,Filas!$B$2:$B$648,$B200)</f>
        <v>1</v>
      </c>
      <c r="D200" s="4" t="n">
        <f aca="false">COUNTIFS(Filas!$A$2:$A$648,$A200,Filas!$B$2:$B$648,$B200,Filas!$N$2:$N$648,"mejora")</f>
        <v>0</v>
      </c>
      <c r="E200" s="4" t="n">
        <f aca="false">COUNTIFS(Filas!$A$2:$A$648,$A200,Filas!$B$2:$B$648,$B200,Filas!$N$2:$N$648,"sin cambio")</f>
        <v>0</v>
      </c>
      <c r="F200" s="4" t="n">
        <f aca="false">COUNTIFS(Filas!$A$2:$A$648,$A200,Filas!$B$2:$B$648,$B200,Filas!$N$2:$N$648,"empeora")</f>
        <v>0</v>
      </c>
      <c r="G200" s="4" t="n">
        <f aca="false">COUNTIFS(Filas!$A$2:$A$648,$A200,Filas!$B$2:$B$648,$B200,Filas!$N$2:$N$648,"mixto")</f>
        <v>1</v>
      </c>
      <c r="H200" s="4" t="n">
        <f aca="false">COUNTIFS(Filas!$A$2:$A$648,$A200,Filas!$B$2:$B$648,$B200,Filas!$S$2:$S$648,"cita encontrada*")+COUNTIFS(Filas!$A$2:$A$648,$A200,Filas!$B$2:$B$648,$B200,Filas!$S$2:$S$648,"página existe*")</f>
        <v>1</v>
      </c>
      <c r="I200" s="4" t="n">
        <f aca="false">COUNTIFS(Filas!$A$2:$A$648,$A200,Filas!$B$2:$B$648,$B200,Filas!$S$2:$S$648,"cita no encontrada*")+COUNTIFS(Filas!$A$2:$A$648,$A200,Filas!$B$2:$B$648,$B200,Filas!$S$2:$S$648,"página no accesible*")</f>
        <v>0</v>
      </c>
    </row>
    <row r="201" customFormat="false" ht="15" hidden="false" customHeight="false" outlineLevel="0" collapsed="false">
      <c r="A201" s="4" t="s">
        <v>5080</v>
      </c>
      <c r="B201" s="4" t="s">
        <v>5278</v>
      </c>
      <c r="C201" s="4" t="n">
        <f aca="false">COUNTIFS(Filas!$A$2:$A$648,$A201,Filas!$B$2:$B$648,$B201)</f>
        <v>1</v>
      </c>
      <c r="D201" s="4" t="n">
        <f aca="false">COUNTIFS(Filas!$A$2:$A$648,$A201,Filas!$B$2:$B$648,$B201,Filas!$N$2:$N$648,"mejora")</f>
        <v>0</v>
      </c>
      <c r="E201" s="4" t="n">
        <f aca="false">COUNTIFS(Filas!$A$2:$A$648,$A201,Filas!$B$2:$B$648,$B201,Filas!$N$2:$N$648,"sin cambio")</f>
        <v>1</v>
      </c>
      <c r="F201" s="4" t="n">
        <f aca="false">COUNTIFS(Filas!$A$2:$A$648,$A201,Filas!$B$2:$B$648,$B201,Filas!$N$2:$N$648,"empeora")</f>
        <v>0</v>
      </c>
      <c r="G201" s="4" t="n">
        <f aca="false">COUNTIFS(Filas!$A$2:$A$648,$A201,Filas!$B$2:$B$648,$B201,Filas!$N$2:$N$648,"mixto")</f>
        <v>0</v>
      </c>
      <c r="H201" s="4" t="n">
        <f aca="false">COUNTIFS(Filas!$A$2:$A$648,$A201,Filas!$B$2:$B$648,$B201,Filas!$S$2:$S$648,"cita encontrada*")+COUNTIFS(Filas!$A$2:$A$648,$A201,Filas!$B$2:$B$648,$B201,Filas!$S$2:$S$648,"página existe*")</f>
        <v>1</v>
      </c>
      <c r="I201" s="4" t="n">
        <f aca="false">COUNTIFS(Filas!$A$2:$A$648,$A201,Filas!$B$2:$B$648,$B201,Filas!$S$2:$S$648,"cita no encontrada*")+COUNTIFS(Filas!$A$2:$A$648,$A201,Filas!$B$2:$B$648,$B201,Filas!$S$2:$S$648,"página no accesible*")</f>
        <v>0</v>
      </c>
    </row>
    <row r="202" customFormat="false" ht="15" hidden="false" customHeight="false" outlineLevel="0" collapsed="false">
      <c r="A202" s="4" t="s">
        <v>5080</v>
      </c>
      <c r="B202" s="4" t="s">
        <v>5293</v>
      </c>
      <c r="C202" s="4" t="n">
        <f aca="false">COUNTIFS(Filas!$A$2:$A$648,$A202,Filas!$B$2:$B$648,$B202)</f>
        <v>1</v>
      </c>
      <c r="D202" s="4" t="n">
        <f aca="false">COUNTIFS(Filas!$A$2:$A$648,$A202,Filas!$B$2:$B$648,$B202,Filas!$N$2:$N$648,"mejora")</f>
        <v>0</v>
      </c>
      <c r="E202" s="4" t="n">
        <f aca="false">COUNTIFS(Filas!$A$2:$A$648,$A202,Filas!$B$2:$B$648,$B202,Filas!$N$2:$N$648,"sin cambio")</f>
        <v>0</v>
      </c>
      <c r="F202" s="4" t="n">
        <f aca="false">COUNTIFS(Filas!$A$2:$A$648,$A202,Filas!$B$2:$B$648,$B202,Filas!$N$2:$N$648,"empeora")</f>
        <v>0</v>
      </c>
      <c r="G202" s="4" t="n">
        <f aca="false">COUNTIFS(Filas!$A$2:$A$648,$A202,Filas!$B$2:$B$648,$B202,Filas!$N$2:$N$648,"mixto")</f>
        <v>1</v>
      </c>
      <c r="H202" s="4" t="n">
        <f aca="false">COUNTIFS(Filas!$A$2:$A$648,$A202,Filas!$B$2:$B$648,$B202,Filas!$S$2:$S$648,"cita encontrada*")+COUNTIFS(Filas!$A$2:$A$648,$A202,Filas!$B$2:$B$648,$B202,Filas!$S$2:$S$648,"página existe*")</f>
        <v>1</v>
      </c>
      <c r="I202" s="4" t="n">
        <f aca="false">COUNTIFS(Filas!$A$2:$A$648,$A202,Filas!$B$2:$B$648,$B202,Filas!$S$2:$S$648,"cita no encontrada*")+COUNTIFS(Filas!$A$2:$A$648,$A202,Filas!$B$2:$B$648,$B202,Filas!$S$2:$S$648,"página no accesible*")</f>
        <v>0</v>
      </c>
    </row>
    <row r="203" customFormat="false" ht="15" hidden="false" customHeight="false" outlineLevel="0" collapsed="false">
      <c r="A203" s="4" t="s">
        <v>5080</v>
      </c>
      <c r="B203" s="4" t="s">
        <v>5344</v>
      </c>
      <c r="C203" s="4" t="n">
        <f aca="false">COUNTIFS(Filas!$A$2:$A$648,$A203,Filas!$B$2:$B$648,$B203)</f>
        <v>1</v>
      </c>
      <c r="D203" s="4" t="n">
        <f aca="false">COUNTIFS(Filas!$A$2:$A$648,$A203,Filas!$B$2:$B$648,$B203,Filas!$N$2:$N$648,"mejora")</f>
        <v>1</v>
      </c>
      <c r="E203" s="4" t="n">
        <f aca="false">COUNTIFS(Filas!$A$2:$A$648,$A203,Filas!$B$2:$B$648,$B203,Filas!$N$2:$N$648,"sin cambio")</f>
        <v>0</v>
      </c>
      <c r="F203" s="4" t="n">
        <f aca="false">COUNTIFS(Filas!$A$2:$A$648,$A203,Filas!$B$2:$B$648,$B203,Filas!$N$2:$N$648,"empeora")</f>
        <v>0</v>
      </c>
      <c r="G203" s="4" t="n">
        <f aca="false">COUNTIFS(Filas!$A$2:$A$648,$A203,Filas!$B$2:$B$648,$B203,Filas!$N$2:$N$648,"mixto")</f>
        <v>0</v>
      </c>
      <c r="H203" s="4" t="n">
        <f aca="false">COUNTIFS(Filas!$A$2:$A$648,$A203,Filas!$B$2:$B$648,$B203,Filas!$S$2:$S$648,"cita encontrada*")+COUNTIFS(Filas!$A$2:$A$648,$A203,Filas!$B$2:$B$648,$B203,Filas!$S$2:$S$648,"página existe*")</f>
        <v>1</v>
      </c>
      <c r="I203" s="4" t="n">
        <f aca="false">COUNTIFS(Filas!$A$2:$A$648,$A203,Filas!$B$2:$B$648,$B203,Filas!$S$2:$S$648,"cita no encontrada*")+COUNTIFS(Filas!$A$2:$A$648,$A203,Filas!$B$2:$B$648,$B203,Filas!$S$2:$S$648,"página no accesible*")</f>
        <v>0</v>
      </c>
    </row>
    <row r="204" customFormat="false" ht="15" hidden="false" customHeight="false" outlineLevel="0" collapsed="false">
      <c r="A204" s="4" t="s">
        <v>5080</v>
      </c>
      <c r="B204" s="4" t="s">
        <v>5355</v>
      </c>
      <c r="C204" s="4" t="n">
        <f aca="false">COUNTIFS(Filas!$A$2:$A$648,$A204,Filas!$B$2:$B$648,$B204)</f>
        <v>1</v>
      </c>
      <c r="D204" s="4" t="n">
        <f aca="false">COUNTIFS(Filas!$A$2:$A$648,$A204,Filas!$B$2:$B$648,$B204,Filas!$N$2:$N$648,"mejora")</f>
        <v>0</v>
      </c>
      <c r="E204" s="4" t="n">
        <f aca="false">COUNTIFS(Filas!$A$2:$A$648,$A204,Filas!$B$2:$B$648,$B204,Filas!$N$2:$N$648,"sin cambio")</f>
        <v>0</v>
      </c>
      <c r="F204" s="4" t="n">
        <f aca="false">COUNTIFS(Filas!$A$2:$A$648,$A204,Filas!$B$2:$B$648,$B204,Filas!$N$2:$N$648,"empeora")</f>
        <v>1</v>
      </c>
      <c r="G204" s="4" t="n">
        <f aca="false">COUNTIFS(Filas!$A$2:$A$648,$A204,Filas!$B$2:$B$648,$B204,Filas!$N$2:$N$648,"mixto")</f>
        <v>0</v>
      </c>
      <c r="H204" s="4" t="n">
        <f aca="false">COUNTIFS(Filas!$A$2:$A$648,$A204,Filas!$B$2:$B$648,$B204,Filas!$S$2:$S$648,"cita encontrada*")+COUNTIFS(Filas!$A$2:$A$648,$A204,Filas!$B$2:$B$648,$B204,Filas!$S$2:$S$648,"página existe*")</f>
        <v>1</v>
      </c>
      <c r="I204" s="4" t="n">
        <f aca="false">COUNTIFS(Filas!$A$2:$A$648,$A204,Filas!$B$2:$B$648,$B204,Filas!$S$2:$S$648,"cita no encontrada*")+COUNTIFS(Filas!$A$2:$A$648,$A204,Filas!$B$2:$B$648,$B204,Filas!$S$2:$S$648,"página no accesible*")</f>
        <v>0</v>
      </c>
    </row>
    <row r="205" customFormat="false" ht="15" hidden="false" customHeight="false" outlineLevel="0" collapsed="false">
      <c r="A205" s="4" t="s">
        <v>5080</v>
      </c>
      <c r="B205" s="4" t="s">
        <v>5367</v>
      </c>
      <c r="C205" s="4" t="n">
        <f aca="false">COUNTIFS(Filas!$A$2:$A$648,$A205,Filas!$B$2:$B$648,$B205)</f>
        <v>1</v>
      </c>
      <c r="D205" s="4" t="n">
        <f aca="false">COUNTIFS(Filas!$A$2:$A$648,$A205,Filas!$B$2:$B$648,$B205,Filas!$N$2:$N$648,"mejora")</f>
        <v>0</v>
      </c>
      <c r="E205" s="4" t="n">
        <f aca="false">COUNTIFS(Filas!$A$2:$A$648,$A205,Filas!$B$2:$B$648,$B205,Filas!$N$2:$N$648,"sin cambio")</f>
        <v>1</v>
      </c>
      <c r="F205" s="4" t="n">
        <f aca="false">COUNTIFS(Filas!$A$2:$A$648,$A205,Filas!$B$2:$B$648,$B205,Filas!$N$2:$N$648,"empeora")</f>
        <v>0</v>
      </c>
      <c r="G205" s="4" t="n">
        <f aca="false">COUNTIFS(Filas!$A$2:$A$648,$A205,Filas!$B$2:$B$648,$B205,Filas!$N$2:$N$648,"mixto")</f>
        <v>0</v>
      </c>
      <c r="H205" s="4" t="n">
        <f aca="false">COUNTIFS(Filas!$A$2:$A$648,$A205,Filas!$B$2:$B$648,$B205,Filas!$S$2:$S$648,"cita encontrada*")+COUNTIFS(Filas!$A$2:$A$648,$A205,Filas!$B$2:$B$648,$B205,Filas!$S$2:$S$648,"página existe*")</f>
        <v>1</v>
      </c>
      <c r="I205" s="4" t="n">
        <f aca="false">COUNTIFS(Filas!$A$2:$A$648,$A205,Filas!$B$2:$B$648,$B205,Filas!$S$2:$S$648,"cita no encontrada*")+COUNTIFS(Filas!$A$2:$A$648,$A205,Filas!$B$2:$B$648,$B205,Filas!$S$2:$S$648,"página no accesible*")</f>
        <v>0</v>
      </c>
    </row>
    <row r="206" customFormat="false" ht="15" hidden="false" customHeight="false" outlineLevel="0" collapsed="false">
      <c r="A206" s="4" t="s">
        <v>5080</v>
      </c>
      <c r="B206" s="4" t="s">
        <v>5383</v>
      </c>
      <c r="C206" s="4" t="n">
        <f aca="false">COUNTIFS(Filas!$A$2:$A$648,$A206,Filas!$B$2:$B$648,$B206)</f>
        <v>2</v>
      </c>
      <c r="D206" s="4" t="n">
        <f aca="false">COUNTIFS(Filas!$A$2:$A$648,$A206,Filas!$B$2:$B$648,$B206,Filas!$N$2:$N$648,"mejora")</f>
        <v>1</v>
      </c>
      <c r="E206" s="4" t="n">
        <f aca="false">COUNTIFS(Filas!$A$2:$A$648,$A206,Filas!$B$2:$B$648,$B206,Filas!$N$2:$N$648,"sin cambio")</f>
        <v>0</v>
      </c>
      <c r="F206" s="4" t="n">
        <f aca="false">COUNTIFS(Filas!$A$2:$A$648,$A206,Filas!$B$2:$B$648,$B206,Filas!$N$2:$N$648,"empeora")</f>
        <v>0</v>
      </c>
      <c r="G206" s="4" t="n">
        <f aca="false">COUNTIFS(Filas!$A$2:$A$648,$A206,Filas!$B$2:$B$648,$B206,Filas!$N$2:$N$648,"mixto")</f>
        <v>1</v>
      </c>
      <c r="H206" s="4" t="n">
        <f aca="false">COUNTIFS(Filas!$A$2:$A$648,$A206,Filas!$B$2:$B$648,$B206,Filas!$S$2:$S$648,"cita encontrada*")+COUNTIFS(Filas!$A$2:$A$648,$A206,Filas!$B$2:$B$648,$B206,Filas!$S$2:$S$648,"página existe*")</f>
        <v>2</v>
      </c>
      <c r="I206" s="4" t="n">
        <f aca="false">COUNTIFS(Filas!$A$2:$A$648,$A206,Filas!$B$2:$B$648,$B206,Filas!$S$2:$S$648,"cita no encontrada*")+COUNTIFS(Filas!$A$2:$A$648,$A206,Filas!$B$2:$B$648,$B206,Filas!$S$2:$S$648,"página no accesible*")</f>
        <v>0</v>
      </c>
    </row>
    <row r="207" customFormat="false" ht="15" hidden="false" customHeight="false" outlineLevel="0" collapsed="false">
      <c r="A207" s="4" t="s">
        <v>5080</v>
      </c>
      <c r="B207" s="4" t="s">
        <v>5391</v>
      </c>
      <c r="C207" s="4" t="n">
        <f aca="false">COUNTIFS(Filas!$A$2:$A$648,$A207,Filas!$B$2:$B$648,$B207)</f>
        <v>1</v>
      </c>
      <c r="D207" s="4" t="n">
        <f aca="false">COUNTIFS(Filas!$A$2:$A$648,$A207,Filas!$B$2:$B$648,$B207,Filas!$N$2:$N$648,"mejora")</f>
        <v>1</v>
      </c>
      <c r="E207" s="4" t="n">
        <f aca="false">COUNTIFS(Filas!$A$2:$A$648,$A207,Filas!$B$2:$B$648,$B207,Filas!$N$2:$N$648,"sin cambio")</f>
        <v>0</v>
      </c>
      <c r="F207" s="4" t="n">
        <f aca="false">COUNTIFS(Filas!$A$2:$A$648,$A207,Filas!$B$2:$B$648,$B207,Filas!$N$2:$N$648,"empeora")</f>
        <v>0</v>
      </c>
      <c r="G207" s="4" t="n">
        <f aca="false">COUNTIFS(Filas!$A$2:$A$648,$A207,Filas!$B$2:$B$648,$B207,Filas!$N$2:$N$648,"mixto")</f>
        <v>0</v>
      </c>
      <c r="H207" s="4" t="n">
        <f aca="false">COUNTIFS(Filas!$A$2:$A$648,$A207,Filas!$B$2:$B$648,$B207,Filas!$S$2:$S$648,"cita encontrada*")+COUNTIFS(Filas!$A$2:$A$648,$A207,Filas!$B$2:$B$648,$B207,Filas!$S$2:$S$648,"página existe*")</f>
        <v>1</v>
      </c>
      <c r="I207" s="4" t="n">
        <f aca="false">COUNTIFS(Filas!$A$2:$A$648,$A207,Filas!$B$2:$B$648,$B207,Filas!$S$2:$S$648,"cita no encontrada*")+COUNTIFS(Filas!$A$2:$A$648,$A207,Filas!$B$2:$B$648,$B207,Filas!$S$2:$S$648,"página no accesible*")</f>
        <v>0</v>
      </c>
    </row>
    <row r="208" customFormat="false" ht="15" hidden="false" customHeight="false" outlineLevel="0" collapsed="false">
      <c r="A208" s="4" t="s">
        <v>5080</v>
      </c>
      <c r="B208" s="4" t="s">
        <v>5417</v>
      </c>
      <c r="C208" s="4" t="n">
        <f aca="false">COUNTIFS(Filas!$A$2:$A$648,$A208,Filas!$B$2:$B$648,$B208)</f>
        <v>2</v>
      </c>
      <c r="D208" s="4" t="n">
        <f aca="false">COUNTIFS(Filas!$A$2:$A$648,$A208,Filas!$B$2:$B$648,$B208,Filas!$N$2:$N$648,"mejora")</f>
        <v>2</v>
      </c>
      <c r="E208" s="4" t="n">
        <f aca="false">COUNTIFS(Filas!$A$2:$A$648,$A208,Filas!$B$2:$B$648,$B208,Filas!$N$2:$N$648,"sin cambio")</f>
        <v>0</v>
      </c>
      <c r="F208" s="4" t="n">
        <f aca="false">COUNTIFS(Filas!$A$2:$A$648,$A208,Filas!$B$2:$B$648,$B208,Filas!$N$2:$N$648,"empeora")</f>
        <v>0</v>
      </c>
      <c r="G208" s="4" t="n">
        <f aca="false">COUNTIFS(Filas!$A$2:$A$648,$A208,Filas!$B$2:$B$648,$B208,Filas!$N$2:$N$648,"mixto")</f>
        <v>0</v>
      </c>
      <c r="H208" s="4" t="n">
        <f aca="false">COUNTIFS(Filas!$A$2:$A$648,$A208,Filas!$B$2:$B$648,$B208,Filas!$S$2:$S$648,"cita encontrada*")+COUNTIFS(Filas!$A$2:$A$648,$A208,Filas!$B$2:$B$648,$B208,Filas!$S$2:$S$648,"página existe*")</f>
        <v>2</v>
      </c>
      <c r="I208" s="4" t="n">
        <f aca="false">COUNTIFS(Filas!$A$2:$A$648,$A208,Filas!$B$2:$B$648,$B208,Filas!$S$2:$S$648,"cita no encontrada*")+COUNTIFS(Filas!$A$2:$A$648,$A208,Filas!$B$2:$B$648,$B208,Filas!$S$2:$S$648,"página no accesible*")</f>
        <v>0</v>
      </c>
    </row>
    <row r="209" customFormat="false" ht="15" hidden="false" customHeight="false" outlineLevel="0" collapsed="false">
      <c r="A209" s="4" t="s">
        <v>5080</v>
      </c>
      <c r="B209" s="4" t="s">
        <v>5441</v>
      </c>
      <c r="C209" s="4" t="n">
        <f aca="false">COUNTIFS(Filas!$A$2:$A$648,$A209,Filas!$B$2:$B$648,$B209)</f>
        <v>1</v>
      </c>
      <c r="D209" s="4" t="n">
        <f aca="false">COUNTIFS(Filas!$A$2:$A$648,$A209,Filas!$B$2:$B$648,$B209,Filas!$N$2:$N$648,"mejora")</f>
        <v>1</v>
      </c>
      <c r="E209" s="4" t="n">
        <f aca="false">COUNTIFS(Filas!$A$2:$A$648,$A209,Filas!$B$2:$B$648,$B209,Filas!$N$2:$N$648,"sin cambio")</f>
        <v>0</v>
      </c>
      <c r="F209" s="4" t="n">
        <f aca="false">COUNTIFS(Filas!$A$2:$A$648,$A209,Filas!$B$2:$B$648,$B209,Filas!$N$2:$N$648,"empeora")</f>
        <v>0</v>
      </c>
      <c r="G209" s="4" t="n">
        <f aca="false">COUNTIFS(Filas!$A$2:$A$648,$A209,Filas!$B$2:$B$648,$B209,Filas!$N$2:$N$648,"mixto")</f>
        <v>0</v>
      </c>
      <c r="H209" s="4" t="n">
        <f aca="false">COUNTIFS(Filas!$A$2:$A$648,$A209,Filas!$B$2:$B$648,$B209,Filas!$S$2:$S$648,"cita encontrada*")+COUNTIFS(Filas!$A$2:$A$648,$A209,Filas!$B$2:$B$648,$B209,Filas!$S$2:$S$648,"página existe*")</f>
        <v>1</v>
      </c>
      <c r="I209" s="4" t="n">
        <f aca="false">COUNTIFS(Filas!$A$2:$A$648,$A209,Filas!$B$2:$B$648,$B209,Filas!$S$2:$S$648,"cita no encontrada*")+COUNTIFS(Filas!$A$2:$A$648,$A209,Filas!$B$2:$B$648,$B209,Filas!$S$2:$S$648,"página no accesible*")</f>
        <v>0</v>
      </c>
    </row>
    <row r="210" customFormat="false" ht="15" hidden="false" customHeight="false" outlineLevel="0" collapsed="false">
      <c r="A210" s="4" t="s">
        <v>5080</v>
      </c>
      <c r="B210" s="4" t="s">
        <v>5457</v>
      </c>
      <c r="C210" s="4" t="n">
        <f aca="false">COUNTIFS(Filas!$A$2:$A$648,$A210,Filas!$B$2:$B$648,$B210)</f>
        <v>1</v>
      </c>
      <c r="D210" s="4" t="n">
        <f aca="false">COUNTIFS(Filas!$A$2:$A$648,$A210,Filas!$B$2:$B$648,$B210,Filas!$N$2:$N$648,"mejora")</f>
        <v>1</v>
      </c>
      <c r="E210" s="4" t="n">
        <f aca="false">COUNTIFS(Filas!$A$2:$A$648,$A210,Filas!$B$2:$B$648,$B210,Filas!$N$2:$N$648,"sin cambio")</f>
        <v>0</v>
      </c>
      <c r="F210" s="4" t="n">
        <f aca="false">COUNTIFS(Filas!$A$2:$A$648,$A210,Filas!$B$2:$B$648,$B210,Filas!$N$2:$N$648,"empeora")</f>
        <v>0</v>
      </c>
      <c r="G210" s="4" t="n">
        <f aca="false">COUNTIFS(Filas!$A$2:$A$648,$A210,Filas!$B$2:$B$648,$B210,Filas!$N$2:$N$648,"mixto")</f>
        <v>0</v>
      </c>
      <c r="H210" s="4" t="n">
        <f aca="false">COUNTIFS(Filas!$A$2:$A$648,$A210,Filas!$B$2:$B$648,$B210,Filas!$S$2:$S$648,"cita encontrada*")+COUNTIFS(Filas!$A$2:$A$648,$A210,Filas!$B$2:$B$648,$B210,Filas!$S$2:$S$648,"página existe*")</f>
        <v>1</v>
      </c>
      <c r="I210" s="4" t="n">
        <f aca="false">COUNTIFS(Filas!$A$2:$A$648,$A210,Filas!$B$2:$B$648,$B210,Filas!$S$2:$S$648,"cita no encontrada*")+COUNTIFS(Filas!$A$2:$A$648,$A210,Filas!$B$2:$B$648,$B210,Filas!$S$2:$S$648,"página no accesible*")</f>
        <v>0</v>
      </c>
    </row>
    <row r="211" customFormat="false" ht="15" hidden="false" customHeight="false" outlineLevel="0" collapsed="false">
      <c r="A211" s="4" t="s">
        <v>5080</v>
      </c>
      <c r="B211" s="4" t="s">
        <v>5469</v>
      </c>
      <c r="C211" s="4" t="n">
        <f aca="false">COUNTIFS(Filas!$A$2:$A$648,$A211,Filas!$B$2:$B$648,$B211)</f>
        <v>1</v>
      </c>
      <c r="D211" s="4" t="n">
        <f aca="false">COUNTIFS(Filas!$A$2:$A$648,$A211,Filas!$B$2:$B$648,$B211,Filas!$N$2:$N$648,"mejora")</f>
        <v>1</v>
      </c>
      <c r="E211" s="4" t="n">
        <f aca="false">COUNTIFS(Filas!$A$2:$A$648,$A211,Filas!$B$2:$B$648,$B211,Filas!$N$2:$N$648,"sin cambio")</f>
        <v>0</v>
      </c>
      <c r="F211" s="4" t="n">
        <f aca="false">COUNTIFS(Filas!$A$2:$A$648,$A211,Filas!$B$2:$B$648,$B211,Filas!$N$2:$N$648,"empeora")</f>
        <v>0</v>
      </c>
      <c r="G211" s="4" t="n">
        <f aca="false">COUNTIFS(Filas!$A$2:$A$648,$A211,Filas!$B$2:$B$648,$B211,Filas!$N$2:$N$648,"mixto")</f>
        <v>0</v>
      </c>
      <c r="H211" s="4" t="n">
        <f aca="false">COUNTIFS(Filas!$A$2:$A$648,$A211,Filas!$B$2:$B$648,$B211,Filas!$S$2:$S$648,"cita encontrada*")+COUNTIFS(Filas!$A$2:$A$648,$A211,Filas!$B$2:$B$648,$B211,Filas!$S$2:$S$648,"página existe*")</f>
        <v>1</v>
      </c>
      <c r="I211" s="4" t="n">
        <f aca="false">COUNTIFS(Filas!$A$2:$A$648,$A211,Filas!$B$2:$B$648,$B211,Filas!$S$2:$S$648,"cita no encontrada*")+COUNTIFS(Filas!$A$2:$A$648,$A211,Filas!$B$2:$B$648,$B211,Filas!$S$2:$S$648,"página no accesible*")</f>
        <v>0</v>
      </c>
    </row>
    <row r="212" customFormat="false" ht="15" hidden="false" customHeight="false" outlineLevel="0" collapsed="false">
      <c r="A212" s="4" t="s">
        <v>5080</v>
      </c>
      <c r="B212" s="4" t="s">
        <v>5484</v>
      </c>
      <c r="C212" s="4" t="n">
        <f aca="false">COUNTIFS(Filas!$A$2:$A$648,$A212,Filas!$B$2:$B$648,$B212)</f>
        <v>1</v>
      </c>
      <c r="D212" s="4" t="n">
        <f aca="false">COUNTIFS(Filas!$A$2:$A$648,$A212,Filas!$B$2:$B$648,$B212,Filas!$N$2:$N$648,"mejora")</f>
        <v>0</v>
      </c>
      <c r="E212" s="4" t="n">
        <f aca="false">COUNTIFS(Filas!$A$2:$A$648,$A212,Filas!$B$2:$B$648,$B212,Filas!$N$2:$N$648,"sin cambio")</f>
        <v>0</v>
      </c>
      <c r="F212" s="4" t="n">
        <f aca="false">COUNTIFS(Filas!$A$2:$A$648,$A212,Filas!$B$2:$B$648,$B212,Filas!$N$2:$N$648,"empeora")</f>
        <v>0</v>
      </c>
      <c r="G212" s="4" t="n">
        <f aca="false">COUNTIFS(Filas!$A$2:$A$648,$A212,Filas!$B$2:$B$648,$B212,Filas!$N$2:$N$648,"mixto")</f>
        <v>0</v>
      </c>
      <c r="H212" s="4" t="n">
        <f aca="false">COUNTIFS(Filas!$A$2:$A$648,$A212,Filas!$B$2:$B$648,$B212,Filas!$S$2:$S$648,"cita encontrada*")+COUNTIFS(Filas!$A$2:$A$648,$A212,Filas!$B$2:$B$648,$B212,Filas!$S$2:$S$648,"página existe*")</f>
        <v>1</v>
      </c>
      <c r="I212" s="4" t="n">
        <f aca="false">COUNTIFS(Filas!$A$2:$A$648,$A212,Filas!$B$2:$B$648,$B212,Filas!$S$2:$S$648,"cita no encontrada*")+COUNTIFS(Filas!$A$2:$A$648,$A212,Filas!$B$2:$B$648,$B212,Filas!$S$2:$S$648,"página no accesible*")</f>
        <v>0</v>
      </c>
    </row>
    <row r="213" customFormat="false" ht="15" hidden="false" customHeight="false" outlineLevel="0" collapsed="false">
      <c r="A213" s="4" t="s">
        <v>5080</v>
      </c>
      <c r="B213" s="4" t="s">
        <v>5497</v>
      </c>
      <c r="C213" s="4" t="n">
        <f aca="false">COUNTIFS(Filas!$A$2:$A$648,$A213,Filas!$B$2:$B$648,$B213)</f>
        <v>1</v>
      </c>
      <c r="D213" s="4" t="n">
        <f aca="false">COUNTIFS(Filas!$A$2:$A$648,$A213,Filas!$B$2:$B$648,$B213,Filas!$N$2:$N$648,"mejora")</f>
        <v>0</v>
      </c>
      <c r="E213" s="4" t="n">
        <f aca="false">COUNTIFS(Filas!$A$2:$A$648,$A213,Filas!$B$2:$B$648,$B213,Filas!$N$2:$N$648,"sin cambio")</f>
        <v>0</v>
      </c>
      <c r="F213" s="4" t="n">
        <f aca="false">COUNTIFS(Filas!$A$2:$A$648,$A213,Filas!$B$2:$B$648,$B213,Filas!$N$2:$N$648,"empeora")</f>
        <v>0</v>
      </c>
      <c r="G213" s="4" t="n">
        <f aca="false">COUNTIFS(Filas!$A$2:$A$648,$A213,Filas!$B$2:$B$648,$B213,Filas!$N$2:$N$648,"mixto")</f>
        <v>0</v>
      </c>
      <c r="H213" s="4" t="n">
        <f aca="false">COUNTIFS(Filas!$A$2:$A$648,$A213,Filas!$B$2:$B$648,$B213,Filas!$S$2:$S$648,"cita encontrada*")+COUNTIFS(Filas!$A$2:$A$648,$A213,Filas!$B$2:$B$648,$B213,Filas!$S$2:$S$648,"página existe*")</f>
        <v>1</v>
      </c>
      <c r="I213" s="4" t="n">
        <f aca="false">COUNTIFS(Filas!$A$2:$A$648,$A213,Filas!$B$2:$B$648,$B213,Filas!$S$2:$S$648,"cita no encontrada*")+COUNTIFS(Filas!$A$2:$A$648,$A213,Filas!$B$2:$B$648,$B213,Filas!$S$2:$S$648,"página no accesible*")</f>
        <v>0</v>
      </c>
    </row>
    <row r="214" customFormat="false" ht="15" hidden="false" customHeight="false" outlineLevel="0" collapsed="false">
      <c r="A214" s="4" t="s">
        <v>5080</v>
      </c>
      <c r="B214" s="4" t="s">
        <v>5510</v>
      </c>
      <c r="C214" s="4" t="n">
        <f aca="false">COUNTIFS(Filas!$A$2:$A$648,$A214,Filas!$B$2:$B$648,$B214)</f>
        <v>3</v>
      </c>
      <c r="D214" s="4" t="n">
        <f aca="false">COUNTIFS(Filas!$A$2:$A$648,$A214,Filas!$B$2:$B$648,$B214,Filas!$N$2:$N$648,"mejora")</f>
        <v>0</v>
      </c>
      <c r="E214" s="4" t="n">
        <f aca="false">COUNTIFS(Filas!$A$2:$A$648,$A214,Filas!$B$2:$B$648,$B214,Filas!$N$2:$N$648,"sin cambio")</f>
        <v>0</v>
      </c>
      <c r="F214" s="4" t="n">
        <f aca="false">COUNTIFS(Filas!$A$2:$A$648,$A214,Filas!$B$2:$B$648,$B214,Filas!$N$2:$N$648,"empeora")</f>
        <v>0</v>
      </c>
      <c r="G214" s="4" t="n">
        <f aca="false">COUNTIFS(Filas!$A$2:$A$648,$A214,Filas!$B$2:$B$648,$B214,Filas!$N$2:$N$648,"mixto")</f>
        <v>2</v>
      </c>
      <c r="H214" s="4" t="n">
        <f aca="false">COUNTIFS(Filas!$A$2:$A$648,$A214,Filas!$B$2:$B$648,$B214,Filas!$S$2:$S$648,"cita encontrada*")+COUNTIFS(Filas!$A$2:$A$648,$A214,Filas!$B$2:$B$648,$B214,Filas!$S$2:$S$648,"página existe*")</f>
        <v>3</v>
      </c>
      <c r="I214" s="4" t="n">
        <f aca="false">COUNTIFS(Filas!$A$2:$A$648,$A214,Filas!$B$2:$B$648,$B214,Filas!$S$2:$S$648,"cita no encontrada*")+COUNTIFS(Filas!$A$2:$A$648,$A214,Filas!$B$2:$B$648,$B214,Filas!$S$2:$S$648,"página no accesible*")</f>
        <v>0</v>
      </c>
    </row>
    <row r="215" customFormat="false" ht="15" hidden="false" customHeight="false" outlineLevel="0" collapsed="false">
      <c r="A215" s="4" t="s">
        <v>5080</v>
      </c>
      <c r="B215" s="4" t="s">
        <v>5546</v>
      </c>
      <c r="C215" s="4" t="n">
        <f aca="false">COUNTIFS(Filas!$A$2:$A$648,$A215,Filas!$B$2:$B$648,$B215)</f>
        <v>1</v>
      </c>
      <c r="D215" s="4" t="n">
        <f aca="false">COUNTIFS(Filas!$A$2:$A$648,$A215,Filas!$B$2:$B$648,$B215,Filas!$N$2:$N$648,"mejora")</f>
        <v>1</v>
      </c>
      <c r="E215" s="4" t="n">
        <f aca="false">COUNTIFS(Filas!$A$2:$A$648,$A215,Filas!$B$2:$B$648,$B215,Filas!$N$2:$N$648,"sin cambio")</f>
        <v>0</v>
      </c>
      <c r="F215" s="4" t="n">
        <f aca="false">COUNTIFS(Filas!$A$2:$A$648,$A215,Filas!$B$2:$B$648,$B215,Filas!$N$2:$N$648,"empeora")</f>
        <v>0</v>
      </c>
      <c r="G215" s="4" t="n">
        <f aca="false">COUNTIFS(Filas!$A$2:$A$648,$A215,Filas!$B$2:$B$648,$B215,Filas!$N$2:$N$648,"mixto")</f>
        <v>0</v>
      </c>
      <c r="H215" s="4" t="n">
        <f aca="false">COUNTIFS(Filas!$A$2:$A$648,$A215,Filas!$B$2:$B$648,$B215,Filas!$S$2:$S$648,"cita encontrada*")+COUNTIFS(Filas!$A$2:$A$648,$A215,Filas!$B$2:$B$648,$B215,Filas!$S$2:$S$648,"página existe*")</f>
        <v>1</v>
      </c>
      <c r="I215" s="4" t="n">
        <f aca="false">COUNTIFS(Filas!$A$2:$A$648,$A215,Filas!$B$2:$B$648,$B215,Filas!$S$2:$S$648,"cita no encontrada*")+COUNTIFS(Filas!$A$2:$A$648,$A215,Filas!$B$2:$B$648,$B215,Filas!$S$2:$S$648,"página no accesible*")</f>
        <v>0</v>
      </c>
    </row>
    <row r="216" customFormat="false" ht="15" hidden="false" customHeight="false" outlineLevel="0" collapsed="false">
      <c r="A216" s="4" t="s">
        <v>5080</v>
      </c>
      <c r="B216" s="4" t="s">
        <v>5558</v>
      </c>
      <c r="C216" s="4" t="n">
        <f aca="false">COUNTIFS(Filas!$A$2:$A$648,$A216,Filas!$B$2:$B$648,$B216)</f>
        <v>1</v>
      </c>
      <c r="D216" s="4" t="n">
        <f aca="false">COUNTIFS(Filas!$A$2:$A$648,$A216,Filas!$B$2:$B$648,$B216,Filas!$N$2:$N$648,"mejora")</f>
        <v>0</v>
      </c>
      <c r="E216" s="4" t="n">
        <f aca="false">COUNTIFS(Filas!$A$2:$A$648,$A216,Filas!$B$2:$B$648,$B216,Filas!$N$2:$N$648,"sin cambio")</f>
        <v>0</v>
      </c>
      <c r="F216" s="4" t="n">
        <f aca="false">COUNTIFS(Filas!$A$2:$A$648,$A216,Filas!$B$2:$B$648,$B216,Filas!$N$2:$N$648,"empeora")</f>
        <v>0</v>
      </c>
      <c r="G216" s="4" t="n">
        <f aca="false">COUNTIFS(Filas!$A$2:$A$648,$A216,Filas!$B$2:$B$648,$B216,Filas!$N$2:$N$648,"mixto")</f>
        <v>0</v>
      </c>
      <c r="H216" s="4" t="n">
        <f aca="false">COUNTIFS(Filas!$A$2:$A$648,$A216,Filas!$B$2:$B$648,$B216,Filas!$S$2:$S$648,"cita encontrada*")+COUNTIFS(Filas!$A$2:$A$648,$A216,Filas!$B$2:$B$648,$B216,Filas!$S$2:$S$648,"página existe*")</f>
        <v>1</v>
      </c>
      <c r="I216" s="4" t="n">
        <f aca="false">COUNTIFS(Filas!$A$2:$A$648,$A216,Filas!$B$2:$B$648,$B216,Filas!$S$2:$S$648,"cita no encontrada*")+COUNTIFS(Filas!$A$2:$A$648,$A216,Filas!$B$2:$B$648,$B216,Filas!$S$2:$S$648,"página no accesible*")</f>
        <v>0</v>
      </c>
    </row>
    <row r="217" customFormat="false" ht="15" hidden="false" customHeight="false" outlineLevel="0" collapsed="false">
      <c r="A217" s="4" t="s">
        <v>5080</v>
      </c>
      <c r="B217" s="4" t="s">
        <v>5573</v>
      </c>
      <c r="C217" s="4" t="n">
        <f aca="false">COUNTIFS(Filas!$A$2:$A$648,$A217,Filas!$B$2:$B$648,$B217)</f>
        <v>1</v>
      </c>
      <c r="D217" s="4" t="n">
        <f aca="false">COUNTIFS(Filas!$A$2:$A$648,$A217,Filas!$B$2:$B$648,$B217,Filas!$N$2:$N$648,"mejora")</f>
        <v>1</v>
      </c>
      <c r="E217" s="4" t="n">
        <f aca="false">COUNTIFS(Filas!$A$2:$A$648,$A217,Filas!$B$2:$B$648,$B217,Filas!$N$2:$N$648,"sin cambio")</f>
        <v>0</v>
      </c>
      <c r="F217" s="4" t="n">
        <f aca="false">COUNTIFS(Filas!$A$2:$A$648,$A217,Filas!$B$2:$B$648,$B217,Filas!$N$2:$N$648,"empeora")</f>
        <v>0</v>
      </c>
      <c r="G217" s="4" t="n">
        <f aca="false">COUNTIFS(Filas!$A$2:$A$648,$A217,Filas!$B$2:$B$648,$B217,Filas!$N$2:$N$648,"mixto")</f>
        <v>0</v>
      </c>
      <c r="H217" s="4" t="n">
        <f aca="false">COUNTIFS(Filas!$A$2:$A$648,$A217,Filas!$B$2:$B$648,$B217,Filas!$S$2:$S$648,"cita encontrada*")+COUNTIFS(Filas!$A$2:$A$648,$A217,Filas!$B$2:$B$648,$B217,Filas!$S$2:$S$648,"página existe*")</f>
        <v>1</v>
      </c>
      <c r="I217" s="4" t="n">
        <f aca="false">COUNTIFS(Filas!$A$2:$A$648,$A217,Filas!$B$2:$B$648,$B217,Filas!$S$2:$S$648,"cita no encontrada*")+COUNTIFS(Filas!$A$2:$A$648,$A217,Filas!$B$2:$B$648,$B217,Filas!$S$2:$S$648,"página no accesible*")</f>
        <v>0</v>
      </c>
    </row>
    <row r="218" customFormat="false" ht="15" hidden="false" customHeight="false" outlineLevel="0" collapsed="false">
      <c r="A218" s="4" t="s">
        <v>5621</v>
      </c>
      <c r="B218" s="4" t="s">
        <v>5622</v>
      </c>
      <c r="C218" s="4" t="n">
        <f aca="false">COUNTIFS(Filas!$A$2:$A$648,$A218,Filas!$B$2:$B$648,$B218)</f>
        <v>4</v>
      </c>
      <c r="D218" s="4" t="n">
        <f aca="false">COUNTIFS(Filas!$A$2:$A$648,$A218,Filas!$B$2:$B$648,$B218,Filas!$N$2:$N$648,"mejora")</f>
        <v>3</v>
      </c>
      <c r="E218" s="4" t="n">
        <f aca="false">COUNTIFS(Filas!$A$2:$A$648,$A218,Filas!$B$2:$B$648,$B218,Filas!$N$2:$N$648,"sin cambio")</f>
        <v>0</v>
      </c>
      <c r="F218" s="4" t="n">
        <f aca="false">COUNTIFS(Filas!$A$2:$A$648,$A218,Filas!$B$2:$B$648,$B218,Filas!$N$2:$N$648,"empeora")</f>
        <v>0</v>
      </c>
      <c r="G218" s="4" t="n">
        <f aca="false">COUNTIFS(Filas!$A$2:$A$648,$A218,Filas!$B$2:$B$648,$B218,Filas!$N$2:$N$648,"mixto")</f>
        <v>0</v>
      </c>
      <c r="H218" s="4" t="n">
        <f aca="false">COUNTIFS(Filas!$A$2:$A$648,$A218,Filas!$B$2:$B$648,$B218,Filas!$S$2:$S$648,"cita encontrada*")+COUNTIFS(Filas!$A$2:$A$648,$A218,Filas!$B$2:$B$648,$B218,Filas!$S$2:$S$648,"página existe*")</f>
        <v>4</v>
      </c>
      <c r="I218" s="4" t="n">
        <f aca="false">COUNTIFS(Filas!$A$2:$A$648,$A218,Filas!$B$2:$B$648,$B218,Filas!$S$2:$S$648,"cita no encontrada*")+COUNTIFS(Filas!$A$2:$A$648,$A218,Filas!$B$2:$B$648,$B218,Filas!$S$2:$S$648,"página no accesible*")</f>
        <v>0</v>
      </c>
    </row>
    <row r="219" customFormat="false" ht="15" hidden="false" customHeight="false" outlineLevel="0" collapsed="false">
      <c r="A219" s="4" t="s">
        <v>5621</v>
      </c>
      <c r="B219" s="4" t="s">
        <v>5654</v>
      </c>
      <c r="C219" s="4" t="n">
        <f aca="false">COUNTIFS(Filas!$A$2:$A$648,$A219,Filas!$B$2:$B$648,$B219)</f>
        <v>3</v>
      </c>
      <c r="D219" s="4" t="n">
        <f aca="false">COUNTIFS(Filas!$A$2:$A$648,$A219,Filas!$B$2:$B$648,$B219,Filas!$N$2:$N$648,"mejora")</f>
        <v>3</v>
      </c>
      <c r="E219" s="4" t="n">
        <f aca="false">COUNTIFS(Filas!$A$2:$A$648,$A219,Filas!$B$2:$B$648,$B219,Filas!$N$2:$N$648,"sin cambio")</f>
        <v>0</v>
      </c>
      <c r="F219" s="4" t="n">
        <f aca="false">COUNTIFS(Filas!$A$2:$A$648,$A219,Filas!$B$2:$B$648,$B219,Filas!$N$2:$N$648,"empeora")</f>
        <v>0</v>
      </c>
      <c r="G219" s="4" t="n">
        <f aca="false">COUNTIFS(Filas!$A$2:$A$648,$A219,Filas!$B$2:$B$648,$B219,Filas!$N$2:$N$648,"mixto")</f>
        <v>0</v>
      </c>
      <c r="H219" s="4" t="n">
        <f aca="false">COUNTIFS(Filas!$A$2:$A$648,$A219,Filas!$B$2:$B$648,$B219,Filas!$S$2:$S$648,"cita encontrada*")+COUNTIFS(Filas!$A$2:$A$648,$A219,Filas!$B$2:$B$648,$B219,Filas!$S$2:$S$648,"página existe*")</f>
        <v>3</v>
      </c>
      <c r="I219" s="4" t="n">
        <f aca="false">COUNTIFS(Filas!$A$2:$A$648,$A219,Filas!$B$2:$B$648,$B219,Filas!$S$2:$S$648,"cita no encontrada*")+COUNTIFS(Filas!$A$2:$A$648,$A219,Filas!$B$2:$B$648,$B219,Filas!$S$2:$S$648,"página no accesible*")</f>
        <v>0</v>
      </c>
    </row>
    <row r="220" customFormat="false" ht="15" hidden="false" customHeight="false" outlineLevel="0" collapsed="false">
      <c r="A220" s="4" t="s">
        <v>5621</v>
      </c>
      <c r="B220" s="4" t="s">
        <v>5709</v>
      </c>
      <c r="C220" s="4" t="n">
        <f aca="false">COUNTIFS(Filas!$A$2:$A$648,$A220,Filas!$B$2:$B$648,$B220)</f>
        <v>1</v>
      </c>
      <c r="D220" s="4" t="n">
        <f aca="false">COUNTIFS(Filas!$A$2:$A$648,$A220,Filas!$B$2:$B$648,$B220,Filas!$N$2:$N$648,"mejora")</f>
        <v>0</v>
      </c>
      <c r="E220" s="4" t="n">
        <f aca="false">COUNTIFS(Filas!$A$2:$A$648,$A220,Filas!$B$2:$B$648,$B220,Filas!$N$2:$N$648,"sin cambio")</f>
        <v>1</v>
      </c>
      <c r="F220" s="4" t="n">
        <f aca="false">COUNTIFS(Filas!$A$2:$A$648,$A220,Filas!$B$2:$B$648,$B220,Filas!$N$2:$N$648,"empeora")</f>
        <v>0</v>
      </c>
      <c r="G220" s="4" t="n">
        <f aca="false">COUNTIFS(Filas!$A$2:$A$648,$A220,Filas!$B$2:$B$648,$B220,Filas!$N$2:$N$648,"mixto")</f>
        <v>0</v>
      </c>
      <c r="H220" s="4" t="n">
        <f aca="false">COUNTIFS(Filas!$A$2:$A$648,$A220,Filas!$B$2:$B$648,$B220,Filas!$S$2:$S$648,"cita encontrada*")+COUNTIFS(Filas!$A$2:$A$648,$A220,Filas!$B$2:$B$648,$B220,Filas!$S$2:$S$648,"página existe*")</f>
        <v>1</v>
      </c>
      <c r="I220" s="4" t="n">
        <f aca="false">COUNTIFS(Filas!$A$2:$A$648,$A220,Filas!$B$2:$B$648,$B220,Filas!$S$2:$S$648,"cita no encontrada*")+COUNTIFS(Filas!$A$2:$A$648,$A220,Filas!$B$2:$B$648,$B220,Filas!$S$2:$S$648,"página no accesible*")</f>
        <v>0</v>
      </c>
    </row>
    <row r="221" customFormat="false" ht="15" hidden="false" customHeight="false" outlineLevel="0" collapsed="false">
      <c r="A221" s="4" t="s">
        <v>5621</v>
      </c>
      <c r="B221" s="4" t="s">
        <v>5724</v>
      </c>
      <c r="C221" s="4" t="n">
        <f aca="false">COUNTIFS(Filas!$A$2:$A$648,$A221,Filas!$B$2:$B$648,$B221)</f>
        <v>1</v>
      </c>
      <c r="D221" s="4" t="n">
        <f aca="false">COUNTIFS(Filas!$A$2:$A$648,$A221,Filas!$B$2:$B$648,$B221,Filas!$N$2:$N$648,"mejora")</f>
        <v>0</v>
      </c>
      <c r="E221" s="4" t="n">
        <f aca="false">COUNTIFS(Filas!$A$2:$A$648,$A221,Filas!$B$2:$B$648,$B221,Filas!$N$2:$N$648,"sin cambio")</f>
        <v>0</v>
      </c>
      <c r="F221" s="4" t="n">
        <f aca="false">COUNTIFS(Filas!$A$2:$A$648,$A221,Filas!$B$2:$B$648,$B221,Filas!$N$2:$N$648,"empeora")</f>
        <v>0</v>
      </c>
      <c r="G221" s="4" t="n">
        <f aca="false">COUNTIFS(Filas!$A$2:$A$648,$A221,Filas!$B$2:$B$648,$B221,Filas!$N$2:$N$648,"mixto")</f>
        <v>1</v>
      </c>
      <c r="H221" s="4" t="n">
        <f aca="false">COUNTIFS(Filas!$A$2:$A$648,$A221,Filas!$B$2:$B$648,$B221,Filas!$S$2:$S$648,"cita encontrada*")+COUNTIFS(Filas!$A$2:$A$648,$A221,Filas!$B$2:$B$648,$B221,Filas!$S$2:$S$648,"página existe*")</f>
        <v>1</v>
      </c>
      <c r="I221" s="4" t="n">
        <f aca="false">COUNTIFS(Filas!$A$2:$A$648,$A221,Filas!$B$2:$B$648,$B221,Filas!$S$2:$S$648,"cita no encontrada*")+COUNTIFS(Filas!$A$2:$A$648,$A221,Filas!$B$2:$B$648,$B221,Filas!$S$2:$S$648,"página no accesible*")</f>
        <v>0</v>
      </c>
    </row>
    <row r="222" customFormat="false" ht="15" hidden="false" customHeight="false" outlineLevel="0" collapsed="false">
      <c r="A222" s="4" t="s">
        <v>5621</v>
      </c>
      <c r="B222" s="4" t="s">
        <v>5738</v>
      </c>
      <c r="C222" s="4" t="n">
        <f aca="false">COUNTIFS(Filas!$A$2:$A$648,$A222,Filas!$B$2:$B$648,$B222)</f>
        <v>1</v>
      </c>
      <c r="D222" s="4" t="n">
        <f aca="false">COUNTIFS(Filas!$A$2:$A$648,$A222,Filas!$B$2:$B$648,$B222,Filas!$N$2:$N$648,"mejora")</f>
        <v>0</v>
      </c>
      <c r="E222" s="4" t="n">
        <f aca="false">COUNTIFS(Filas!$A$2:$A$648,$A222,Filas!$B$2:$B$648,$B222,Filas!$N$2:$N$648,"sin cambio")</f>
        <v>0</v>
      </c>
      <c r="F222" s="4" t="n">
        <f aca="false">COUNTIFS(Filas!$A$2:$A$648,$A222,Filas!$B$2:$B$648,$B222,Filas!$N$2:$N$648,"empeora")</f>
        <v>0</v>
      </c>
      <c r="G222" s="4" t="n">
        <f aca="false">COUNTIFS(Filas!$A$2:$A$648,$A222,Filas!$B$2:$B$648,$B222,Filas!$N$2:$N$648,"mixto")</f>
        <v>1</v>
      </c>
      <c r="H222" s="4" t="n">
        <f aca="false">COUNTIFS(Filas!$A$2:$A$648,$A222,Filas!$B$2:$B$648,$B222,Filas!$S$2:$S$648,"cita encontrada*")+COUNTIFS(Filas!$A$2:$A$648,$A222,Filas!$B$2:$B$648,$B222,Filas!$S$2:$S$648,"página existe*")</f>
        <v>1</v>
      </c>
      <c r="I222" s="4" t="n">
        <f aca="false">COUNTIFS(Filas!$A$2:$A$648,$A222,Filas!$B$2:$B$648,$B222,Filas!$S$2:$S$648,"cita no encontrada*")+COUNTIFS(Filas!$A$2:$A$648,$A222,Filas!$B$2:$B$648,$B222,Filas!$S$2:$S$648,"página no accesible*")</f>
        <v>0</v>
      </c>
    </row>
    <row r="223" customFormat="false" ht="15" hidden="false" customHeight="false" outlineLevel="0" collapsed="false">
      <c r="A223" s="4" t="s">
        <v>5621</v>
      </c>
      <c r="B223" s="4" t="s">
        <v>5726</v>
      </c>
      <c r="C223" s="4" t="n">
        <f aca="false">COUNTIFS(Filas!$A$2:$A$648,$A223,Filas!$B$2:$B$648,$B223)</f>
        <v>4</v>
      </c>
      <c r="D223" s="4" t="n">
        <f aca="false">COUNTIFS(Filas!$A$2:$A$648,$A223,Filas!$B$2:$B$648,$B223,Filas!$N$2:$N$648,"mejora")</f>
        <v>1</v>
      </c>
      <c r="E223" s="4" t="n">
        <f aca="false">COUNTIFS(Filas!$A$2:$A$648,$A223,Filas!$B$2:$B$648,$B223,Filas!$N$2:$N$648,"sin cambio")</f>
        <v>1</v>
      </c>
      <c r="F223" s="4" t="n">
        <f aca="false">COUNTIFS(Filas!$A$2:$A$648,$A223,Filas!$B$2:$B$648,$B223,Filas!$N$2:$N$648,"empeora")</f>
        <v>0</v>
      </c>
      <c r="G223" s="4" t="n">
        <f aca="false">COUNTIFS(Filas!$A$2:$A$648,$A223,Filas!$B$2:$B$648,$B223,Filas!$N$2:$N$648,"mixto")</f>
        <v>1</v>
      </c>
      <c r="H223" s="4" t="n">
        <f aca="false">COUNTIFS(Filas!$A$2:$A$648,$A223,Filas!$B$2:$B$648,$B223,Filas!$S$2:$S$648,"cita encontrada*")+COUNTIFS(Filas!$A$2:$A$648,$A223,Filas!$B$2:$B$648,$B223,Filas!$S$2:$S$648,"página existe*")</f>
        <v>4</v>
      </c>
      <c r="I223" s="4" t="n">
        <f aca="false">COUNTIFS(Filas!$A$2:$A$648,$A223,Filas!$B$2:$B$648,$B223,Filas!$S$2:$S$648,"cita no encontrada*")+COUNTIFS(Filas!$A$2:$A$648,$A223,Filas!$B$2:$B$648,$B223,Filas!$S$2:$S$648,"página no accesible*")</f>
        <v>0</v>
      </c>
    </row>
    <row r="224" customFormat="false" ht="15" hidden="false" customHeight="false" outlineLevel="0" collapsed="false">
      <c r="A224" s="4" t="s">
        <v>5621</v>
      </c>
      <c r="B224" s="4" t="s">
        <v>5763</v>
      </c>
      <c r="C224" s="4" t="n">
        <f aca="false">COUNTIFS(Filas!$A$2:$A$648,$A224,Filas!$B$2:$B$648,$B224)</f>
        <v>1</v>
      </c>
      <c r="D224" s="4" t="n">
        <f aca="false">COUNTIFS(Filas!$A$2:$A$648,$A224,Filas!$B$2:$B$648,$B224,Filas!$N$2:$N$648,"mejora")</f>
        <v>0</v>
      </c>
      <c r="E224" s="4" t="n">
        <f aca="false">COUNTIFS(Filas!$A$2:$A$648,$A224,Filas!$B$2:$B$648,$B224,Filas!$N$2:$N$648,"sin cambio")</f>
        <v>0</v>
      </c>
      <c r="F224" s="4" t="n">
        <f aca="false">COUNTIFS(Filas!$A$2:$A$648,$A224,Filas!$B$2:$B$648,$B224,Filas!$N$2:$N$648,"empeora")</f>
        <v>0</v>
      </c>
      <c r="G224" s="4" t="n">
        <f aca="false">COUNTIFS(Filas!$A$2:$A$648,$A224,Filas!$B$2:$B$648,$B224,Filas!$N$2:$N$648,"mixto")</f>
        <v>1</v>
      </c>
      <c r="H224" s="4" t="n">
        <f aca="false">COUNTIFS(Filas!$A$2:$A$648,$A224,Filas!$B$2:$B$648,$B224,Filas!$S$2:$S$648,"cita encontrada*")+COUNTIFS(Filas!$A$2:$A$648,$A224,Filas!$B$2:$B$648,$B224,Filas!$S$2:$S$648,"página existe*")</f>
        <v>1</v>
      </c>
      <c r="I224" s="4" t="n">
        <f aca="false">COUNTIFS(Filas!$A$2:$A$648,$A224,Filas!$B$2:$B$648,$B224,Filas!$S$2:$S$648,"cita no encontrada*")+COUNTIFS(Filas!$A$2:$A$648,$A224,Filas!$B$2:$B$648,$B224,Filas!$S$2:$S$648,"página no accesible*")</f>
        <v>0</v>
      </c>
    </row>
    <row r="225" customFormat="false" ht="15" hidden="false" customHeight="false" outlineLevel="0" collapsed="false">
      <c r="A225" s="4" t="s">
        <v>5621</v>
      </c>
      <c r="B225" s="4" t="s">
        <v>5802</v>
      </c>
      <c r="C225" s="4" t="n">
        <f aca="false">COUNTIFS(Filas!$A$2:$A$648,$A225,Filas!$B$2:$B$648,$B225)</f>
        <v>1</v>
      </c>
      <c r="D225" s="4" t="n">
        <f aca="false">COUNTIFS(Filas!$A$2:$A$648,$A225,Filas!$B$2:$B$648,$B225,Filas!$N$2:$N$648,"mejora")</f>
        <v>0</v>
      </c>
      <c r="E225" s="4" t="n">
        <f aca="false">COUNTIFS(Filas!$A$2:$A$648,$A225,Filas!$B$2:$B$648,$B225,Filas!$N$2:$N$648,"sin cambio")</f>
        <v>0</v>
      </c>
      <c r="F225" s="4" t="n">
        <f aca="false">COUNTIFS(Filas!$A$2:$A$648,$A225,Filas!$B$2:$B$648,$B225,Filas!$N$2:$N$648,"empeora")</f>
        <v>0</v>
      </c>
      <c r="G225" s="4" t="n">
        <f aca="false">COUNTIFS(Filas!$A$2:$A$648,$A225,Filas!$B$2:$B$648,$B225,Filas!$N$2:$N$648,"mixto")</f>
        <v>1</v>
      </c>
      <c r="H225" s="4" t="n">
        <f aca="false">COUNTIFS(Filas!$A$2:$A$648,$A225,Filas!$B$2:$B$648,$B225,Filas!$S$2:$S$648,"cita encontrada*")+COUNTIFS(Filas!$A$2:$A$648,$A225,Filas!$B$2:$B$648,$B225,Filas!$S$2:$S$648,"página existe*")</f>
        <v>1</v>
      </c>
      <c r="I225" s="4" t="n">
        <f aca="false">COUNTIFS(Filas!$A$2:$A$648,$A225,Filas!$B$2:$B$648,$B225,Filas!$S$2:$S$648,"cita no encontrada*")+COUNTIFS(Filas!$A$2:$A$648,$A225,Filas!$B$2:$B$648,$B225,Filas!$S$2:$S$648,"página no accesible*")</f>
        <v>0</v>
      </c>
    </row>
    <row r="226" customFormat="false" ht="15" hidden="false" customHeight="false" outlineLevel="0" collapsed="false">
      <c r="A226" s="4" t="s">
        <v>5621</v>
      </c>
      <c r="B226" s="4" t="s">
        <v>5816</v>
      </c>
      <c r="C226" s="4" t="n">
        <f aca="false">COUNTIFS(Filas!$A$2:$A$648,$A226,Filas!$B$2:$B$648,$B226)</f>
        <v>3</v>
      </c>
      <c r="D226" s="4" t="n">
        <f aca="false">COUNTIFS(Filas!$A$2:$A$648,$A226,Filas!$B$2:$B$648,$B226,Filas!$N$2:$N$648,"mejora")</f>
        <v>1</v>
      </c>
      <c r="E226" s="4" t="n">
        <f aca="false">COUNTIFS(Filas!$A$2:$A$648,$A226,Filas!$B$2:$B$648,$B226,Filas!$N$2:$N$648,"sin cambio")</f>
        <v>0</v>
      </c>
      <c r="F226" s="4" t="n">
        <f aca="false">COUNTIFS(Filas!$A$2:$A$648,$A226,Filas!$B$2:$B$648,$B226,Filas!$N$2:$N$648,"empeora")</f>
        <v>0</v>
      </c>
      <c r="G226" s="4" t="n">
        <f aca="false">COUNTIFS(Filas!$A$2:$A$648,$A226,Filas!$B$2:$B$648,$B226,Filas!$N$2:$N$648,"mixto")</f>
        <v>1</v>
      </c>
      <c r="H226" s="4" t="n">
        <f aca="false">COUNTIFS(Filas!$A$2:$A$648,$A226,Filas!$B$2:$B$648,$B226,Filas!$S$2:$S$648,"cita encontrada*")+COUNTIFS(Filas!$A$2:$A$648,$A226,Filas!$B$2:$B$648,$B226,Filas!$S$2:$S$648,"página existe*")</f>
        <v>3</v>
      </c>
      <c r="I226" s="4" t="n">
        <f aca="false">COUNTIFS(Filas!$A$2:$A$648,$A226,Filas!$B$2:$B$648,$B226,Filas!$S$2:$S$648,"cita no encontrada*")+COUNTIFS(Filas!$A$2:$A$648,$A226,Filas!$B$2:$B$648,$B226,Filas!$S$2:$S$648,"página no accesible*")</f>
        <v>0</v>
      </c>
    </row>
    <row r="227" customFormat="false" ht="15" hidden="false" customHeight="false" outlineLevel="0" collapsed="false">
      <c r="A227" s="4" t="s">
        <v>5621</v>
      </c>
      <c r="B227" s="4" t="s">
        <v>5831</v>
      </c>
      <c r="C227" s="4" t="n">
        <f aca="false">COUNTIFS(Filas!$A$2:$A$648,$A227,Filas!$B$2:$B$648,$B227)</f>
        <v>4</v>
      </c>
      <c r="D227" s="4" t="n">
        <f aca="false">COUNTIFS(Filas!$A$2:$A$648,$A227,Filas!$B$2:$B$648,$B227,Filas!$N$2:$N$648,"mejora")</f>
        <v>3</v>
      </c>
      <c r="E227" s="4" t="n">
        <f aca="false">COUNTIFS(Filas!$A$2:$A$648,$A227,Filas!$B$2:$B$648,$B227,Filas!$N$2:$N$648,"sin cambio")</f>
        <v>0</v>
      </c>
      <c r="F227" s="4" t="n">
        <f aca="false">COUNTIFS(Filas!$A$2:$A$648,$A227,Filas!$B$2:$B$648,$B227,Filas!$N$2:$N$648,"empeora")</f>
        <v>0</v>
      </c>
      <c r="G227" s="4" t="n">
        <f aca="false">COUNTIFS(Filas!$A$2:$A$648,$A227,Filas!$B$2:$B$648,$B227,Filas!$N$2:$N$648,"mixto")</f>
        <v>0</v>
      </c>
      <c r="H227" s="4" t="n">
        <f aca="false">COUNTIFS(Filas!$A$2:$A$648,$A227,Filas!$B$2:$B$648,$B227,Filas!$S$2:$S$648,"cita encontrada*")+COUNTIFS(Filas!$A$2:$A$648,$A227,Filas!$B$2:$B$648,$B227,Filas!$S$2:$S$648,"página existe*")</f>
        <v>4</v>
      </c>
      <c r="I227" s="4" t="n">
        <f aca="false">COUNTIFS(Filas!$A$2:$A$648,$A227,Filas!$B$2:$B$648,$B227,Filas!$S$2:$S$648,"cita no encontrada*")+COUNTIFS(Filas!$A$2:$A$648,$A227,Filas!$B$2:$B$648,$B227,Filas!$S$2:$S$648,"página no accesible*")</f>
        <v>0</v>
      </c>
    </row>
    <row r="228" customFormat="false" ht="15" hidden="false" customHeight="false" outlineLevel="0" collapsed="false">
      <c r="A228" s="4" t="s">
        <v>5621</v>
      </c>
      <c r="B228" s="4" t="s">
        <v>5870</v>
      </c>
      <c r="C228" s="4" t="n">
        <f aca="false">COUNTIFS(Filas!$A$2:$A$648,$A228,Filas!$B$2:$B$648,$B228)</f>
        <v>1</v>
      </c>
      <c r="D228" s="4" t="n">
        <f aca="false">COUNTIFS(Filas!$A$2:$A$648,$A228,Filas!$B$2:$B$648,$B228,Filas!$N$2:$N$648,"mejora")</f>
        <v>0</v>
      </c>
      <c r="E228" s="4" t="n">
        <f aca="false">COUNTIFS(Filas!$A$2:$A$648,$A228,Filas!$B$2:$B$648,$B228,Filas!$N$2:$N$648,"sin cambio")</f>
        <v>0</v>
      </c>
      <c r="F228" s="4" t="n">
        <f aca="false">COUNTIFS(Filas!$A$2:$A$648,$A228,Filas!$B$2:$B$648,$B228,Filas!$N$2:$N$648,"empeora")</f>
        <v>0</v>
      </c>
      <c r="G228" s="4" t="n">
        <f aca="false">COUNTIFS(Filas!$A$2:$A$648,$A228,Filas!$B$2:$B$648,$B228,Filas!$N$2:$N$648,"mixto")</f>
        <v>1</v>
      </c>
      <c r="H228" s="4" t="n">
        <f aca="false">COUNTIFS(Filas!$A$2:$A$648,$A228,Filas!$B$2:$B$648,$B228,Filas!$S$2:$S$648,"cita encontrada*")+COUNTIFS(Filas!$A$2:$A$648,$A228,Filas!$B$2:$B$648,$B228,Filas!$S$2:$S$648,"página existe*")</f>
        <v>1</v>
      </c>
      <c r="I228" s="4" t="n">
        <f aca="false">COUNTIFS(Filas!$A$2:$A$648,$A228,Filas!$B$2:$B$648,$B228,Filas!$S$2:$S$648,"cita no encontrada*")+COUNTIFS(Filas!$A$2:$A$648,$A228,Filas!$B$2:$B$648,$B228,Filas!$S$2:$S$648,"página no accesible*")</f>
        <v>0</v>
      </c>
    </row>
    <row r="229" customFormat="false" ht="15" hidden="false" customHeight="false" outlineLevel="0" collapsed="false">
      <c r="A229" s="4" t="s">
        <v>5621</v>
      </c>
      <c r="B229" s="4" t="s">
        <v>5884</v>
      </c>
      <c r="C229" s="4" t="n">
        <f aca="false">COUNTIFS(Filas!$A$2:$A$648,$A229,Filas!$B$2:$B$648,$B229)</f>
        <v>1</v>
      </c>
      <c r="D229" s="4" t="n">
        <f aca="false">COUNTIFS(Filas!$A$2:$A$648,$A229,Filas!$B$2:$B$648,$B229,Filas!$N$2:$N$648,"mejora")</f>
        <v>1</v>
      </c>
      <c r="E229" s="4" t="n">
        <f aca="false">COUNTIFS(Filas!$A$2:$A$648,$A229,Filas!$B$2:$B$648,$B229,Filas!$N$2:$N$648,"sin cambio")</f>
        <v>0</v>
      </c>
      <c r="F229" s="4" t="n">
        <f aca="false">COUNTIFS(Filas!$A$2:$A$648,$A229,Filas!$B$2:$B$648,$B229,Filas!$N$2:$N$648,"empeora")</f>
        <v>0</v>
      </c>
      <c r="G229" s="4" t="n">
        <f aca="false">COUNTIFS(Filas!$A$2:$A$648,$A229,Filas!$B$2:$B$648,$B229,Filas!$N$2:$N$648,"mixto")</f>
        <v>0</v>
      </c>
      <c r="H229" s="4" t="n">
        <f aca="false">COUNTIFS(Filas!$A$2:$A$648,$A229,Filas!$B$2:$B$648,$B229,Filas!$S$2:$S$648,"cita encontrada*")+COUNTIFS(Filas!$A$2:$A$648,$A229,Filas!$B$2:$B$648,$B229,Filas!$S$2:$S$648,"página existe*")</f>
        <v>1</v>
      </c>
      <c r="I229" s="4" t="n">
        <f aca="false">COUNTIFS(Filas!$A$2:$A$648,$A229,Filas!$B$2:$B$648,$B229,Filas!$S$2:$S$648,"cita no encontrada*")+COUNTIFS(Filas!$A$2:$A$648,$A229,Filas!$B$2:$B$648,$B229,Filas!$S$2:$S$648,"página no accesible*")</f>
        <v>0</v>
      </c>
    </row>
    <row r="230" customFormat="false" ht="15" hidden="false" customHeight="false" outlineLevel="0" collapsed="false">
      <c r="A230" s="4" t="s">
        <v>5621</v>
      </c>
      <c r="B230" s="4" t="s">
        <v>5894</v>
      </c>
      <c r="C230" s="4" t="n">
        <f aca="false">COUNTIFS(Filas!$A$2:$A$648,$A230,Filas!$B$2:$B$648,$B230)</f>
        <v>1</v>
      </c>
      <c r="D230" s="4" t="n">
        <f aca="false">COUNTIFS(Filas!$A$2:$A$648,$A230,Filas!$B$2:$B$648,$B230,Filas!$N$2:$N$648,"mejora")</f>
        <v>1</v>
      </c>
      <c r="E230" s="4" t="n">
        <f aca="false">COUNTIFS(Filas!$A$2:$A$648,$A230,Filas!$B$2:$B$648,$B230,Filas!$N$2:$N$648,"sin cambio")</f>
        <v>0</v>
      </c>
      <c r="F230" s="4" t="n">
        <f aca="false">COUNTIFS(Filas!$A$2:$A$648,$A230,Filas!$B$2:$B$648,$B230,Filas!$N$2:$N$648,"empeora")</f>
        <v>0</v>
      </c>
      <c r="G230" s="4" t="n">
        <f aca="false">COUNTIFS(Filas!$A$2:$A$648,$A230,Filas!$B$2:$B$648,$B230,Filas!$N$2:$N$648,"mixto")</f>
        <v>0</v>
      </c>
      <c r="H230" s="4" t="n">
        <f aca="false">COUNTIFS(Filas!$A$2:$A$648,$A230,Filas!$B$2:$B$648,$B230,Filas!$S$2:$S$648,"cita encontrada*")+COUNTIFS(Filas!$A$2:$A$648,$A230,Filas!$B$2:$B$648,$B230,Filas!$S$2:$S$648,"página existe*")</f>
        <v>1</v>
      </c>
      <c r="I230" s="4" t="n">
        <f aca="false">COUNTIFS(Filas!$A$2:$A$648,$A230,Filas!$B$2:$B$648,$B230,Filas!$S$2:$S$648,"cita no encontrada*")+COUNTIFS(Filas!$A$2:$A$648,$A230,Filas!$B$2:$B$648,$B230,Filas!$S$2:$S$648,"página no accesible*")</f>
        <v>0</v>
      </c>
    </row>
    <row r="231" customFormat="false" ht="15" hidden="false" customHeight="false" outlineLevel="0" collapsed="false">
      <c r="A231" s="4" t="s">
        <v>5621</v>
      </c>
      <c r="B231" s="4" t="s">
        <v>5905</v>
      </c>
      <c r="C231" s="4" t="n">
        <f aca="false">COUNTIFS(Filas!$A$2:$A$648,$A231,Filas!$B$2:$B$648,$B231)</f>
        <v>1</v>
      </c>
      <c r="D231" s="4" t="n">
        <f aca="false">COUNTIFS(Filas!$A$2:$A$648,$A231,Filas!$B$2:$B$648,$B231,Filas!$N$2:$N$648,"mejora")</f>
        <v>0</v>
      </c>
      <c r="E231" s="4" t="n">
        <f aca="false">COUNTIFS(Filas!$A$2:$A$648,$A231,Filas!$B$2:$B$648,$B231,Filas!$N$2:$N$648,"sin cambio")</f>
        <v>0</v>
      </c>
      <c r="F231" s="4" t="n">
        <f aca="false">COUNTIFS(Filas!$A$2:$A$648,$A231,Filas!$B$2:$B$648,$B231,Filas!$N$2:$N$648,"empeora")</f>
        <v>0</v>
      </c>
      <c r="G231" s="4" t="n">
        <f aca="false">COUNTIFS(Filas!$A$2:$A$648,$A231,Filas!$B$2:$B$648,$B231,Filas!$N$2:$N$648,"mixto")</f>
        <v>0</v>
      </c>
      <c r="H231" s="4" t="n">
        <f aca="false">COUNTIFS(Filas!$A$2:$A$648,$A231,Filas!$B$2:$B$648,$B231,Filas!$S$2:$S$648,"cita encontrada*")+COUNTIFS(Filas!$A$2:$A$648,$A231,Filas!$B$2:$B$648,$B231,Filas!$S$2:$S$648,"página existe*")</f>
        <v>1</v>
      </c>
      <c r="I231" s="4" t="n">
        <f aca="false">COUNTIFS(Filas!$A$2:$A$648,$A231,Filas!$B$2:$B$648,$B231,Filas!$S$2:$S$648,"cita no encontrada*")+COUNTIFS(Filas!$A$2:$A$648,$A231,Filas!$B$2:$B$648,$B231,Filas!$S$2:$S$648,"página no accesible*")</f>
        <v>0</v>
      </c>
    </row>
    <row r="232" customFormat="false" ht="15" hidden="false" customHeight="false" outlineLevel="0" collapsed="false">
      <c r="A232" s="4" t="s">
        <v>5621</v>
      </c>
      <c r="B232" s="4" t="s">
        <v>5915</v>
      </c>
      <c r="C232" s="4" t="n">
        <f aca="false">COUNTIFS(Filas!$A$2:$A$648,$A232,Filas!$B$2:$B$648,$B232)</f>
        <v>5</v>
      </c>
      <c r="D232" s="4" t="n">
        <f aca="false">COUNTIFS(Filas!$A$2:$A$648,$A232,Filas!$B$2:$B$648,$B232,Filas!$N$2:$N$648,"mejora")</f>
        <v>2</v>
      </c>
      <c r="E232" s="4" t="n">
        <f aca="false">COUNTIFS(Filas!$A$2:$A$648,$A232,Filas!$B$2:$B$648,$B232,Filas!$N$2:$N$648,"sin cambio")</f>
        <v>0</v>
      </c>
      <c r="F232" s="4" t="n">
        <f aca="false">COUNTIFS(Filas!$A$2:$A$648,$A232,Filas!$B$2:$B$648,$B232,Filas!$N$2:$N$648,"empeora")</f>
        <v>0</v>
      </c>
      <c r="G232" s="4" t="n">
        <f aca="false">COUNTIFS(Filas!$A$2:$A$648,$A232,Filas!$B$2:$B$648,$B232,Filas!$N$2:$N$648,"mixto")</f>
        <v>0</v>
      </c>
      <c r="H232" s="4" t="n">
        <f aca="false">COUNTIFS(Filas!$A$2:$A$648,$A232,Filas!$B$2:$B$648,$B232,Filas!$S$2:$S$648,"cita encontrada*")+COUNTIFS(Filas!$A$2:$A$648,$A232,Filas!$B$2:$B$648,$B232,Filas!$S$2:$S$648,"página existe*")</f>
        <v>5</v>
      </c>
      <c r="I232" s="4" t="n">
        <f aca="false">COUNTIFS(Filas!$A$2:$A$648,$A232,Filas!$B$2:$B$648,$B232,Filas!$S$2:$S$648,"cita no encontrada*")+COUNTIFS(Filas!$A$2:$A$648,$A232,Filas!$B$2:$B$648,$B232,Filas!$S$2:$S$648,"página no accesible*")</f>
        <v>0</v>
      </c>
    </row>
    <row r="233" customFormat="false" ht="15" hidden="false" customHeight="false" outlineLevel="0" collapsed="false">
      <c r="A233" s="4" t="s">
        <v>5621</v>
      </c>
      <c r="B233" s="4" t="s">
        <v>5939</v>
      </c>
      <c r="C233" s="4" t="n">
        <f aca="false">COUNTIFS(Filas!$A$2:$A$648,$A233,Filas!$B$2:$B$648,$B233)</f>
        <v>1</v>
      </c>
      <c r="D233" s="4" t="n">
        <f aca="false">COUNTIFS(Filas!$A$2:$A$648,$A233,Filas!$B$2:$B$648,$B233,Filas!$N$2:$N$648,"mejora")</f>
        <v>1</v>
      </c>
      <c r="E233" s="4" t="n">
        <f aca="false">COUNTIFS(Filas!$A$2:$A$648,$A233,Filas!$B$2:$B$648,$B233,Filas!$N$2:$N$648,"sin cambio")</f>
        <v>0</v>
      </c>
      <c r="F233" s="4" t="n">
        <f aca="false">COUNTIFS(Filas!$A$2:$A$648,$A233,Filas!$B$2:$B$648,$B233,Filas!$N$2:$N$648,"empeora")</f>
        <v>0</v>
      </c>
      <c r="G233" s="4" t="n">
        <f aca="false">COUNTIFS(Filas!$A$2:$A$648,$A233,Filas!$B$2:$B$648,$B233,Filas!$N$2:$N$648,"mixto")</f>
        <v>0</v>
      </c>
      <c r="H233" s="4" t="n">
        <f aca="false">COUNTIFS(Filas!$A$2:$A$648,$A233,Filas!$B$2:$B$648,$B233,Filas!$S$2:$S$648,"cita encontrada*")+COUNTIFS(Filas!$A$2:$A$648,$A233,Filas!$B$2:$B$648,$B233,Filas!$S$2:$S$648,"página existe*")</f>
        <v>1</v>
      </c>
      <c r="I233" s="4" t="n">
        <f aca="false">COUNTIFS(Filas!$A$2:$A$648,$A233,Filas!$B$2:$B$648,$B233,Filas!$S$2:$S$648,"cita no encontrada*")+COUNTIFS(Filas!$A$2:$A$648,$A233,Filas!$B$2:$B$648,$B233,Filas!$S$2:$S$648,"página no accesible*")</f>
        <v>0</v>
      </c>
    </row>
    <row r="234" customFormat="false" ht="15" hidden="false" customHeight="false" outlineLevel="0" collapsed="false">
      <c r="A234" s="4" t="s">
        <v>5621</v>
      </c>
      <c r="B234" s="4" t="s">
        <v>5950</v>
      </c>
      <c r="C234" s="4" t="n">
        <f aca="false">COUNTIFS(Filas!$A$2:$A$648,$A234,Filas!$B$2:$B$648,$B234)</f>
        <v>1</v>
      </c>
      <c r="D234" s="4" t="n">
        <f aca="false">COUNTIFS(Filas!$A$2:$A$648,$A234,Filas!$B$2:$B$648,$B234,Filas!$N$2:$N$648,"mejora")</f>
        <v>1</v>
      </c>
      <c r="E234" s="4" t="n">
        <f aca="false">COUNTIFS(Filas!$A$2:$A$648,$A234,Filas!$B$2:$B$648,$B234,Filas!$N$2:$N$648,"sin cambio")</f>
        <v>0</v>
      </c>
      <c r="F234" s="4" t="n">
        <f aca="false">COUNTIFS(Filas!$A$2:$A$648,$A234,Filas!$B$2:$B$648,$B234,Filas!$N$2:$N$648,"empeora")</f>
        <v>0</v>
      </c>
      <c r="G234" s="4" t="n">
        <f aca="false">COUNTIFS(Filas!$A$2:$A$648,$A234,Filas!$B$2:$B$648,$B234,Filas!$N$2:$N$648,"mixto")</f>
        <v>0</v>
      </c>
      <c r="H234" s="4" t="n">
        <f aca="false">COUNTIFS(Filas!$A$2:$A$648,$A234,Filas!$B$2:$B$648,$B234,Filas!$S$2:$S$648,"cita encontrada*")+COUNTIFS(Filas!$A$2:$A$648,$A234,Filas!$B$2:$B$648,$B234,Filas!$S$2:$S$648,"página existe*")</f>
        <v>1</v>
      </c>
      <c r="I234" s="4" t="n">
        <f aca="false">COUNTIFS(Filas!$A$2:$A$648,$A234,Filas!$B$2:$B$648,$B234,Filas!$S$2:$S$648,"cita no encontrada*")+COUNTIFS(Filas!$A$2:$A$648,$A234,Filas!$B$2:$B$648,$B234,Filas!$S$2:$S$648,"página no accesible*")</f>
        <v>0</v>
      </c>
    </row>
    <row r="235" customFormat="false" ht="15" hidden="false" customHeight="false" outlineLevel="0" collapsed="false">
      <c r="A235" s="4" t="s">
        <v>5621</v>
      </c>
      <c r="B235" s="4" t="s">
        <v>5964</v>
      </c>
      <c r="C235" s="4" t="n">
        <f aca="false">COUNTIFS(Filas!$A$2:$A$648,$A235,Filas!$B$2:$B$648,$B235)</f>
        <v>1</v>
      </c>
      <c r="D235" s="4" t="n">
        <f aca="false">COUNTIFS(Filas!$A$2:$A$648,$A235,Filas!$B$2:$B$648,$B235,Filas!$N$2:$N$648,"mejora")</f>
        <v>0</v>
      </c>
      <c r="E235" s="4" t="n">
        <f aca="false">COUNTIFS(Filas!$A$2:$A$648,$A235,Filas!$B$2:$B$648,$B235,Filas!$N$2:$N$648,"sin cambio")</f>
        <v>0</v>
      </c>
      <c r="F235" s="4" t="n">
        <f aca="false">COUNTIFS(Filas!$A$2:$A$648,$A235,Filas!$B$2:$B$648,$B235,Filas!$N$2:$N$648,"empeora")</f>
        <v>0</v>
      </c>
      <c r="G235" s="4" t="n">
        <f aca="false">COUNTIFS(Filas!$A$2:$A$648,$A235,Filas!$B$2:$B$648,$B235,Filas!$N$2:$N$648,"mixto")</f>
        <v>1</v>
      </c>
      <c r="H235" s="4" t="n">
        <f aca="false">COUNTIFS(Filas!$A$2:$A$648,$A235,Filas!$B$2:$B$648,$B235,Filas!$S$2:$S$648,"cita encontrada*")+COUNTIFS(Filas!$A$2:$A$648,$A235,Filas!$B$2:$B$648,$B235,Filas!$S$2:$S$648,"página existe*")</f>
        <v>1</v>
      </c>
      <c r="I235" s="4" t="n">
        <f aca="false">COUNTIFS(Filas!$A$2:$A$648,$A235,Filas!$B$2:$B$648,$B235,Filas!$S$2:$S$648,"cita no encontrada*")+COUNTIFS(Filas!$A$2:$A$648,$A235,Filas!$B$2:$B$648,$B235,Filas!$S$2:$S$648,"página no accesible*")</f>
        <v>0</v>
      </c>
    </row>
    <row r="236" customFormat="false" ht="15" hidden="false" customHeight="false" outlineLevel="0" collapsed="false">
      <c r="A236" s="4" t="s">
        <v>5621</v>
      </c>
      <c r="B236" s="4" t="s">
        <v>5979</v>
      </c>
      <c r="C236" s="4" t="n">
        <f aca="false">COUNTIFS(Filas!$A$2:$A$648,$A236,Filas!$B$2:$B$648,$B236)</f>
        <v>3</v>
      </c>
      <c r="D236" s="4" t="n">
        <f aca="false">COUNTIFS(Filas!$A$2:$A$648,$A236,Filas!$B$2:$B$648,$B236,Filas!$N$2:$N$648,"mejora")</f>
        <v>0</v>
      </c>
      <c r="E236" s="4" t="n">
        <f aca="false">COUNTIFS(Filas!$A$2:$A$648,$A236,Filas!$B$2:$B$648,$B236,Filas!$N$2:$N$648,"sin cambio")</f>
        <v>0</v>
      </c>
      <c r="F236" s="4" t="n">
        <f aca="false">COUNTIFS(Filas!$A$2:$A$648,$A236,Filas!$B$2:$B$648,$B236,Filas!$N$2:$N$648,"empeora")</f>
        <v>0</v>
      </c>
      <c r="G236" s="4" t="n">
        <f aca="false">COUNTIFS(Filas!$A$2:$A$648,$A236,Filas!$B$2:$B$648,$B236,Filas!$N$2:$N$648,"mixto")</f>
        <v>2</v>
      </c>
      <c r="H236" s="4" t="n">
        <f aca="false">COUNTIFS(Filas!$A$2:$A$648,$A236,Filas!$B$2:$B$648,$B236,Filas!$S$2:$S$648,"cita encontrada*")+COUNTIFS(Filas!$A$2:$A$648,$A236,Filas!$B$2:$B$648,$B236,Filas!$S$2:$S$648,"página existe*")</f>
        <v>3</v>
      </c>
      <c r="I236" s="4" t="n">
        <f aca="false">COUNTIFS(Filas!$A$2:$A$648,$A236,Filas!$B$2:$B$648,$B236,Filas!$S$2:$S$648,"cita no encontrada*")+COUNTIFS(Filas!$A$2:$A$648,$A236,Filas!$B$2:$B$648,$B236,Filas!$S$2:$S$648,"página no accesible*")</f>
        <v>0</v>
      </c>
    </row>
    <row r="237" customFormat="false" ht="15" hidden="false" customHeight="false" outlineLevel="0" collapsed="false">
      <c r="A237" s="4" t="s">
        <v>5621</v>
      </c>
      <c r="B237" s="4" t="s">
        <v>6001</v>
      </c>
      <c r="C237" s="4" t="n">
        <f aca="false">COUNTIFS(Filas!$A$2:$A$648,$A237,Filas!$B$2:$B$648,$B237)</f>
        <v>1</v>
      </c>
      <c r="D237" s="4" t="n">
        <f aca="false">COUNTIFS(Filas!$A$2:$A$648,$A237,Filas!$B$2:$B$648,$B237,Filas!$N$2:$N$648,"mejora")</f>
        <v>0</v>
      </c>
      <c r="E237" s="4" t="n">
        <f aca="false">COUNTIFS(Filas!$A$2:$A$648,$A237,Filas!$B$2:$B$648,$B237,Filas!$N$2:$N$648,"sin cambio")</f>
        <v>0</v>
      </c>
      <c r="F237" s="4" t="n">
        <f aca="false">COUNTIFS(Filas!$A$2:$A$648,$A237,Filas!$B$2:$B$648,$B237,Filas!$N$2:$N$648,"empeora")</f>
        <v>0</v>
      </c>
      <c r="G237" s="4" t="n">
        <f aca="false">COUNTIFS(Filas!$A$2:$A$648,$A237,Filas!$B$2:$B$648,$B237,Filas!$N$2:$N$648,"mixto")</f>
        <v>1</v>
      </c>
      <c r="H237" s="4" t="n">
        <f aca="false">COUNTIFS(Filas!$A$2:$A$648,$A237,Filas!$B$2:$B$648,$B237,Filas!$S$2:$S$648,"cita encontrada*")+COUNTIFS(Filas!$A$2:$A$648,$A237,Filas!$B$2:$B$648,$B237,Filas!$S$2:$S$648,"página existe*")</f>
        <v>1</v>
      </c>
      <c r="I237" s="4" t="n">
        <f aca="false">COUNTIFS(Filas!$A$2:$A$648,$A237,Filas!$B$2:$B$648,$B237,Filas!$S$2:$S$648,"cita no encontrada*")+COUNTIFS(Filas!$A$2:$A$648,$A237,Filas!$B$2:$B$648,$B237,Filas!$S$2:$S$648,"página no accesible*")</f>
        <v>0</v>
      </c>
    </row>
    <row r="238" customFormat="false" ht="15" hidden="false" customHeight="false" outlineLevel="0" collapsed="false">
      <c r="A238" s="4" t="s">
        <v>5621</v>
      </c>
      <c r="B238" s="4" t="s">
        <v>6015</v>
      </c>
      <c r="C238" s="4" t="n">
        <f aca="false">COUNTIFS(Filas!$A$2:$A$648,$A238,Filas!$B$2:$B$648,$B238)</f>
        <v>1</v>
      </c>
      <c r="D238" s="4" t="n">
        <f aca="false">COUNTIFS(Filas!$A$2:$A$648,$A238,Filas!$B$2:$B$648,$B238,Filas!$N$2:$N$648,"mejora")</f>
        <v>0</v>
      </c>
      <c r="E238" s="4" t="n">
        <f aca="false">COUNTIFS(Filas!$A$2:$A$648,$A238,Filas!$B$2:$B$648,$B238,Filas!$N$2:$N$648,"sin cambio")</f>
        <v>0</v>
      </c>
      <c r="F238" s="4" t="n">
        <f aca="false">COUNTIFS(Filas!$A$2:$A$648,$A238,Filas!$B$2:$B$648,$B238,Filas!$N$2:$N$648,"empeora")</f>
        <v>0</v>
      </c>
      <c r="G238" s="4" t="n">
        <f aca="false">COUNTIFS(Filas!$A$2:$A$648,$A238,Filas!$B$2:$B$648,$B238,Filas!$N$2:$N$648,"mixto")</f>
        <v>1</v>
      </c>
      <c r="H238" s="4" t="n">
        <f aca="false">COUNTIFS(Filas!$A$2:$A$648,$A238,Filas!$B$2:$B$648,$B238,Filas!$S$2:$S$648,"cita encontrada*")+COUNTIFS(Filas!$A$2:$A$648,$A238,Filas!$B$2:$B$648,$B238,Filas!$S$2:$S$648,"página existe*")</f>
        <v>1</v>
      </c>
      <c r="I238" s="4" t="n">
        <f aca="false">COUNTIFS(Filas!$A$2:$A$648,$A238,Filas!$B$2:$B$648,$B238,Filas!$S$2:$S$648,"cita no encontrada*")+COUNTIFS(Filas!$A$2:$A$648,$A238,Filas!$B$2:$B$648,$B238,Filas!$S$2:$S$648,"página no accesible*")</f>
        <v>0</v>
      </c>
    </row>
    <row r="239" customFormat="false" ht="15" hidden="false" customHeight="false" outlineLevel="0" collapsed="false">
      <c r="A239" s="4" t="s">
        <v>5621</v>
      </c>
      <c r="B239" s="4" t="s">
        <v>6028</v>
      </c>
      <c r="C239" s="4" t="n">
        <f aca="false">COUNTIFS(Filas!$A$2:$A$648,$A239,Filas!$B$2:$B$648,$B239)</f>
        <v>1</v>
      </c>
      <c r="D239" s="4" t="n">
        <f aca="false">COUNTIFS(Filas!$A$2:$A$648,$A239,Filas!$B$2:$B$648,$B239,Filas!$N$2:$N$648,"mejora")</f>
        <v>0</v>
      </c>
      <c r="E239" s="4" t="n">
        <f aca="false">COUNTIFS(Filas!$A$2:$A$648,$A239,Filas!$B$2:$B$648,$B239,Filas!$N$2:$N$648,"sin cambio")</f>
        <v>1</v>
      </c>
      <c r="F239" s="4" t="n">
        <f aca="false">COUNTIFS(Filas!$A$2:$A$648,$A239,Filas!$B$2:$B$648,$B239,Filas!$N$2:$N$648,"empeora")</f>
        <v>0</v>
      </c>
      <c r="G239" s="4" t="n">
        <f aca="false">COUNTIFS(Filas!$A$2:$A$648,$A239,Filas!$B$2:$B$648,$B239,Filas!$N$2:$N$648,"mixto")</f>
        <v>0</v>
      </c>
      <c r="H239" s="4" t="n">
        <f aca="false">COUNTIFS(Filas!$A$2:$A$648,$A239,Filas!$B$2:$B$648,$B239,Filas!$S$2:$S$648,"cita encontrada*")+COUNTIFS(Filas!$A$2:$A$648,$A239,Filas!$B$2:$B$648,$B239,Filas!$S$2:$S$648,"página existe*")</f>
        <v>1</v>
      </c>
      <c r="I239" s="4" t="n">
        <f aca="false">COUNTIFS(Filas!$A$2:$A$648,$A239,Filas!$B$2:$B$648,$B239,Filas!$S$2:$S$648,"cita no encontrada*")+COUNTIFS(Filas!$A$2:$A$648,$A239,Filas!$B$2:$B$648,$B239,Filas!$S$2:$S$648,"página no accesible*")</f>
        <v>0</v>
      </c>
    </row>
    <row r="240" customFormat="false" ht="15" hidden="false" customHeight="false" outlineLevel="0" collapsed="false">
      <c r="A240" s="4" t="s">
        <v>5621</v>
      </c>
      <c r="B240" s="4" t="s">
        <v>6038</v>
      </c>
      <c r="C240" s="4" t="n">
        <f aca="false">COUNTIFS(Filas!$A$2:$A$648,$A240,Filas!$B$2:$B$648,$B240)</f>
        <v>1</v>
      </c>
      <c r="D240" s="4" t="n">
        <f aca="false">COUNTIFS(Filas!$A$2:$A$648,$A240,Filas!$B$2:$B$648,$B240,Filas!$N$2:$N$648,"mejora")</f>
        <v>1</v>
      </c>
      <c r="E240" s="4" t="n">
        <f aca="false">COUNTIFS(Filas!$A$2:$A$648,$A240,Filas!$B$2:$B$648,$B240,Filas!$N$2:$N$648,"sin cambio")</f>
        <v>0</v>
      </c>
      <c r="F240" s="4" t="n">
        <f aca="false">COUNTIFS(Filas!$A$2:$A$648,$A240,Filas!$B$2:$B$648,$B240,Filas!$N$2:$N$648,"empeora")</f>
        <v>0</v>
      </c>
      <c r="G240" s="4" t="n">
        <f aca="false">COUNTIFS(Filas!$A$2:$A$648,$A240,Filas!$B$2:$B$648,$B240,Filas!$N$2:$N$648,"mixto")</f>
        <v>0</v>
      </c>
      <c r="H240" s="4" t="n">
        <f aca="false">COUNTIFS(Filas!$A$2:$A$648,$A240,Filas!$B$2:$B$648,$B240,Filas!$S$2:$S$648,"cita encontrada*")+COUNTIFS(Filas!$A$2:$A$648,$A240,Filas!$B$2:$B$648,$B240,Filas!$S$2:$S$648,"página existe*")</f>
        <v>1</v>
      </c>
      <c r="I240" s="4" t="n">
        <f aca="false">COUNTIFS(Filas!$A$2:$A$648,$A240,Filas!$B$2:$B$648,$B240,Filas!$S$2:$S$648,"cita no encontrada*")+COUNTIFS(Filas!$A$2:$A$648,$A240,Filas!$B$2:$B$648,$B240,Filas!$S$2:$S$648,"página no accesible*")</f>
        <v>0</v>
      </c>
    </row>
    <row r="241" customFormat="false" ht="15" hidden="false" customHeight="false" outlineLevel="0" collapsed="false">
      <c r="A241" s="4" t="s">
        <v>5621</v>
      </c>
      <c r="B241" s="4" t="s">
        <v>6049</v>
      </c>
      <c r="C241" s="4" t="n">
        <f aca="false">COUNTIFS(Filas!$A$2:$A$648,$A241,Filas!$B$2:$B$648,$B241)</f>
        <v>2</v>
      </c>
      <c r="D241" s="4" t="n">
        <f aca="false">COUNTIFS(Filas!$A$2:$A$648,$A241,Filas!$B$2:$B$648,$B241,Filas!$N$2:$N$648,"mejora")</f>
        <v>2</v>
      </c>
      <c r="E241" s="4" t="n">
        <f aca="false">COUNTIFS(Filas!$A$2:$A$648,$A241,Filas!$B$2:$B$648,$B241,Filas!$N$2:$N$648,"sin cambio")</f>
        <v>0</v>
      </c>
      <c r="F241" s="4" t="n">
        <f aca="false">COUNTIFS(Filas!$A$2:$A$648,$A241,Filas!$B$2:$B$648,$B241,Filas!$N$2:$N$648,"empeora")</f>
        <v>0</v>
      </c>
      <c r="G241" s="4" t="n">
        <f aca="false">COUNTIFS(Filas!$A$2:$A$648,$A241,Filas!$B$2:$B$648,$B241,Filas!$N$2:$N$648,"mixto")</f>
        <v>0</v>
      </c>
      <c r="H241" s="4" t="n">
        <f aca="false">COUNTIFS(Filas!$A$2:$A$648,$A241,Filas!$B$2:$B$648,$B241,Filas!$S$2:$S$648,"cita encontrada*")+COUNTIFS(Filas!$A$2:$A$648,$A241,Filas!$B$2:$B$648,$B241,Filas!$S$2:$S$648,"página existe*")</f>
        <v>2</v>
      </c>
      <c r="I241" s="4" t="n">
        <f aca="false">COUNTIFS(Filas!$A$2:$A$648,$A241,Filas!$B$2:$B$648,$B241,Filas!$S$2:$S$648,"cita no encontrada*")+COUNTIFS(Filas!$A$2:$A$648,$A241,Filas!$B$2:$B$648,$B241,Filas!$S$2:$S$648,"página no accesible*")</f>
        <v>0</v>
      </c>
    </row>
    <row r="242" customFormat="false" ht="15" hidden="false" customHeight="false" outlineLevel="0" collapsed="false">
      <c r="A242" s="4" t="s">
        <v>5621</v>
      </c>
      <c r="B242" s="4" t="s">
        <v>6074</v>
      </c>
      <c r="C242" s="4" t="n">
        <f aca="false">COUNTIFS(Filas!$A$2:$A$648,$A242,Filas!$B$2:$B$648,$B242)</f>
        <v>1</v>
      </c>
      <c r="D242" s="4" t="n">
        <f aca="false">COUNTIFS(Filas!$A$2:$A$648,$A242,Filas!$B$2:$B$648,$B242,Filas!$N$2:$N$648,"mejora")</f>
        <v>1</v>
      </c>
      <c r="E242" s="4" t="n">
        <f aca="false">COUNTIFS(Filas!$A$2:$A$648,$A242,Filas!$B$2:$B$648,$B242,Filas!$N$2:$N$648,"sin cambio")</f>
        <v>0</v>
      </c>
      <c r="F242" s="4" t="n">
        <f aca="false">COUNTIFS(Filas!$A$2:$A$648,$A242,Filas!$B$2:$B$648,$B242,Filas!$N$2:$N$648,"empeora")</f>
        <v>0</v>
      </c>
      <c r="G242" s="4" t="n">
        <f aca="false">COUNTIFS(Filas!$A$2:$A$648,$A242,Filas!$B$2:$B$648,$B242,Filas!$N$2:$N$648,"mixto")</f>
        <v>0</v>
      </c>
      <c r="H242" s="4" t="n">
        <f aca="false">COUNTIFS(Filas!$A$2:$A$648,$A242,Filas!$B$2:$B$648,$B242,Filas!$S$2:$S$648,"cita encontrada*")+COUNTIFS(Filas!$A$2:$A$648,$A242,Filas!$B$2:$B$648,$B242,Filas!$S$2:$S$648,"página existe*")</f>
        <v>1</v>
      </c>
      <c r="I242" s="4" t="n">
        <f aca="false">COUNTIFS(Filas!$A$2:$A$648,$A242,Filas!$B$2:$B$648,$B242,Filas!$S$2:$S$648,"cita no encontrada*")+COUNTIFS(Filas!$A$2:$A$648,$A242,Filas!$B$2:$B$648,$B242,Filas!$S$2:$S$648,"página no accesible*")</f>
        <v>0</v>
      </c>
    </row>
    <row r="243" customFormat="false" ht="15" hidden="false" customHeight="false" outlineLevel="0" collapsed="false">
      <c r="A243" s="4" t="s">
        <v>5621</v>
      </c>
      <c r="B243" s="4" t="s">
        <v>6084</v>
      </c>
      <c r="C243" s="4" t="n">
        <f aca="false">COUNTIFS(Filas!$A$2:$A$648,$A243,Filas!$B$2:$B$648,$B243)</f>
        <v>1</v>
      </c>
      <c r="D243" s="4" t="n">
        <f aca="false">COUNTIFS(Filas!$A$2:$A$648,$A243,Filas!$B$2:$B$648,$B243,Filas!$N$2:$N$648,"mejora")</f>
        <v>0</v>
      </c>
      <c r="E243" s="4" t="n">
        <f aca="false">COUNTIFS(Filas!$A$2:$A$648,$A243,Filas!$B$2:$B$648,$B243,Filas!$N$2:$N$648,"sin cambio")</f>
        <v>0</v>
      </c>
      <c r="F243" s="4" t="n">
        <f aca="false">COUNTIFS(Filas!$A$2:$A$648,$A243,Filas!$B$2:$B$648,$B243,Filas!$N$2:$N$648,"empeora")</f>
        <v>0</v>
      </c>
      <c r="G243" s="4" t="n">
        <f aca="false">COUNTIFS(Filas!$A$2:$A$648,$A243,Filas!$B$2:$B$648,$B243,Filas!$N$2:$N$648,"mixto")</f>
        <v>1</v>
      </c>
      <c r="H243" s="4" t="n">
        <f aca="false">COUNTIFS(Filas!$A$2:$A$648,$A243,Filas!$B$2:$B$648,$B243,Filas!$S$2:$S$648,"cita encontrada*")+COUNTIFS(Filas!$A$2:$A$648,$A243,Filas!$B$2:$B$648,$B243,Filas!$S$2:$S$648,"página existe*")</f>
        <v>1</v>
      </c>
      <c r="I243" s="4" t="n">
        <f aca="false">COUNTIFS(Filas!$A$2:$A$648,$A243,Filas!$B$2:$B$648,$B243,Filas!$S$2:$S$648,"cita no encontrada*")+COUNTIFS(Filas!$A$2:$A$648,$A243,Filas!$B$2:$B$648,$B243,Filas!$S$2:$S$648,"página no accesible*")</f>
        <v>0</v>
      </c>
    </row>
    <row r="244" customFormat="false" ht="15" hidden="false" customHeight="false" outlineLevel="0" collapsed="false">
      <c r="A244" s="4" t="s">
        <v>5621</v>
      </c>
      <c r="B244" s="4" t="s">
        <v>6099</v>
      </c>
      <c r="C244" s="4" t="n">
        <f aca="false">COUNTIFS(Filas!$A$2:$A$648,$A244,Filas!$B$2:$B$648,$B244)</f>
        <v>1</v>
      </c>
      <c r="D244" s="4" t="n">
        <f aca="false">COUNTIFS(Filas!$A$2:$A$648,$A244,Filas!$B$2:$B$648,$B244,Filas!$N$2:$N$648,"mejora")</f>
        <v>1</v>
      </c>
      <c r="E244" s="4" t="n">
        <f aca="false">COUNTIFS(Filas!$A$2:$A$648,$A244,Filas!$B$2:$B$648,$B244,Filas!$N$2:$N$648,"sin cambio")</f>
        <v>0</v>
      </c>
      <c r="F244" s="4" t="n">
        <f aca="false">COUNTIFS(Filas!$A$2:$A$648,$A244,Filas!$B$2:$B$648,$B244,Filas!$N$2:$N$648,"empeora")</f>
        <v>0</v>
      </c>
      <c r="G244" s="4" t="n">
        <f aca="false">COUNTIFS(Filas!$A$2:$A$648,$A244,Filas!$B$2:$B$648,$B244,Filas!$N$2:$N$648,"mixto")</f>
        <v>0</v>
      </c>
      <c r="H244" s="4" t="n">
        <f aca="false">COUNTIFS(Filas!$A$2:$A$648,$A244,Filas!$B$2:$B$648,$B244,Filas!$S$2:$S$648,"cita encontrada*")+COUNTIFS(Filas!$A$2:$A$648,$A244,Filas!$B$2:$B$648,$B244,Filas!$S$2:$S$648,"página existe*")</f>
        <v>1</v>
      </c>
      <c r="I244" s="4" t="n">
        <f aca="false">COUNTIFS(Filas!$A$2:$A$648,$A244,Filas!$B$2:$B$648,$B244,Filas!$S$2:$S$648,"cita no encontrada*")+COUNTIFS(Filas!$A$2:$A$648,$A244,Filas!$B$2:$B$648,$B244,Filas!$S$2:$S$648,"página no accesible*")</f>
        <v>0</v>
      </c>
    </row>
    <row r="245" customFormat="false" ht="15" hidden="false" customHeight="false" outlineLevel="0" collapsed="false">
      <c r="A245" s="4" t="s">
        <v>5621</v>
      </c>
      <c r="B245" s="4" t="s">
        <v>6111</v>
      </c>
      <c r="C245" s="4" t="n">
        <f aca="false">COUNTIFS(Filas!$A$2:$A$648,$A245,Filas!$B$2:$B$648,$B245)</f>
        <v>1</v>
      </c>
      <c r="D245" s="4" t="n">
        <f aca="false">COUNTIFS(Filas!$A$2:$A$648,$A245,Filas!$B$2:$B$648,$B245,Filas!$N$2:$N$648,"mejora")</f>
        <v>0</v>
      </c>
      <c r="E245" s="4" t="n">
        <f aca="false">COUNTIFS(Filas!$A$2:$A$648,$A245,Filas!$B$2:$B$648,$B245,Filas!$N$2:$N$648,"sin cambio")</f>
        <v>0</v>
      </c>
      <c r="F245" s="4" t="n">
        <f aca="false">COUNTIFS(Filas!$A$2:$A$648,$A245,Filas!$B$2:$B$648,$B245,Filas!$N$2:$N$648,"empeora")</f>
        <v>0</v>
      </c>
      <c r="G245" s="4" t="n">
        <f aca="false">COUNTIFS(Filas!$A$2:$A$648,$A245,Filas!$B$2:$B$648,$B245,Filas!$N$2:$N$648,"mixto")</f>
        <v>0</v>
      </c>
      <c r="H245" s="4" t="n">
        <f aca="false">COUNTIFS(Filas!$A$2:$A$648,$A245,Filas!$B$2:$B$648,$B245,Filas!$S$2:$S$648,"cita encontrada*")+COUNTIFS(Filas!$A$2:$A$648,$A245,Filas!$B$2:$B$648,$B245,Filas!$S$2:$S$648,"página existe*")</f>
        <v>1</v>
      </c>
      <c r="I245" s="4" t="n">
        <f aca="false">COUNTIFS(Filas!$A$2:$A$648,$A245,Filas!$B$2:$B$648,$B245,Filas!$S$2:$S$648,"cita no encontrada*")+COUNTIFS(Filas!$A$2:$A$648,$A245,Filas!$B$2:$B$648,$B245,Filas!$S$2:$S$648,"página no accesible*")</f>
        <v>0</v>
      </c>
    </row>
    <row r="246" customFormat="false" ht="15" hidden="false" customHeight="false" outlineLevel="0" collapsed="false">
      <c r="A246" s="4" t="s">
        <v>6182</v>
      </c>
      <c r="B246" s="4" t="s">
        <v>6183</v>
      </c>
      <c r="C246" s="4" t="n">
        <f aca="false">COUNTIFS(Filas!$A$2:$A$648,$A246,Filas!$B$2:$B$648,$B246)</f>
        <v>1</v>
      </c>
      <c r="D246" s="4" t="n">
        <f aca="false">COUNTIFS(Filas!$A$2:$A$648,$A246,Filas!$B$2:$B$648,$B246,Filas!$N$2:$N$648,"mejora")</f>
        <v>0</v>
      </c>
      <c r="E246" s="4" t="n">
        <f aca="false">COUNTIFS(Filas!$A$2:$A$648,$A246,Filas!$B$2:$B$648,$B246,Filas!$N$2:$N$648,"sin cambio")</f>
        <v>0</v>
      </c>
      <c r="F246" s="4" t="n">
        <f aca="false">COUNTIFS(Filas!$A$2:$A$648,$A246,Filas!$B$2:$B$648,$B246,Filas!$N$2:$N$648,"empeora")</f>
        <v>0</v>
      </c>
      <c r="G246" s="4" t="n">
        <f aca="false">COUNTIFS(Filas!$A$2:$A$648,$A246,Filas!$B$2:$B$648,$B246,Filas!$N$2:$N$648,"mixto")</f>
        <v>1</v>
      </c>
      <c r="H246" s="4" t="n">
        <f aca="false">COUNTIFS(Filas!$A$2:$A$648,$A246,Filas!$B$2:$B$648,$B246,Filas!$S$2:$S$648,"cita encontrada*")+COUNTIFS(Filas!$A$2:$A$648,$A246,Filas!$B$2:$B$648,$B246,Filas!$S$2:$S$648,"página existe*")</f>
        <v>1</v>
      </c>
      <c r="I246" s="4" t="n">
        <f aca="false">COUNTIFS(Filas!$A$2:$A$648,$A246,Filas!$B$2:$B$648,$B246,Filas!$S$2:$S$648,"cita no encontrada*")+COUNTIFS(Filas!$A$2:$A$648,$A246,Filas!$B$2:$B$648,$B246,Filas!$S$2:$S$648,"página no accesible*")</f>
        <v>0</v>
      </c>
    </row>
    <row r="247" customFormat="false" ht="15" hidden="false" customHeight="false" outlineLevel="0" collapsed="false">
      <c r="A247" s="4" t="s">
        <v>6182</v>
      </c>
      <c r="B247" s="4" t="s">
        <v>6199</v>
      </c>
      <c r="C247" s="4" t="n">
        <f aca="false">COUNTIFS(Filas!$A$2:$A$648,$A247,Filas!$B$2:$B$648,$B247)</f>
        <v>1</v>
      </c>
      <c r="D247" s="4" t="n">
        <f aca="false">COUNTIFS(Filas!$A$2:$A$648,$A247,Filas!$B$2:$B$648,$B247,Filas!$N$2:$N$648,"mejora")</f>
        <v>1</v>
      </c>
      <c r="E247" s="4" t="n">
        <f aca="false">COUNTIFS(Filas!$A$2:$A$648,$A247,Filas!$B$2:$B$648,$B247,Filas!$N$2:$N$648,"sin cambio")</f>
        <v>0</v>
      </c>
      <c r="F247" s="4" t="n">
        <f aca="false">COUNTIFS(Filas!$A$2:$A$648,$A247,Filas!$B$2:$B$648,$B247,Filas!$N$2:$N$648,"empeora")</f>
        <v>0</v>
      </c>
      <c r="G247" s="4" t="n">
        <f aca="false">COUNTIFS(Filas!$A$2:$A$648,$A247,Filas!$B$2:$B$648,$B247,Filas!$N$2:$N$648,"mixto")</f>
        <v>0</v>
      </c>
      <c r="H247" s="4" t="n">
        <f aca="false">COUNTIFS(Filas!$A$2:$A$648,$A247,Filas!$B$2:$B$648,$B247,Filas!$S$2:$S$648,"cita encontrada*")+COUNTIFS(Filas!$A$2:$A$648,$A247,Filas!$B$2:$B$648,$B247,Filas!$S$2:$S$648,"página existe*")</f>
        <v>1</v>
      </c>
      <c r="I247" s="4" t="n">
        <f aca="false">COUNTIFS(Filas!$A$2:$A$648,$A247,Filas!$B$2:$B$648,$B247,Filas!$S$2:$S$648,"cita no encontrada*")+COUNTIFS(Filas!$A$2:$A$648,$A247,Filas!$B$2:$B$648,$B247,Filas!$S$2:$S$648,"página no accesible*")</f>
        <v>0</v>
      </c>
    </row>
    <row r="248" customFormat="false" ht="15" hidden="false" customHeight="false" outlineLevel="0" collapsed="false">
      <c r="A248" s="4" t="s">
        <v>6182</v>
      </c>
      <c r="B248" s="4" t="s">
        <v>2576</v>
      </c>
      <c r="C248" s="4" t="n">
        <f aca="false">COUNTIFS(Filas!$A$2:$A$648,$A248,Filas!$B$2:$B$648,$B248)</f>
        <v>2</v>
      </c>
      <c r="D248" s="4" t="n">
        <f aca="false">COUNTIFS(Filas!$A$2:$A$648,$A248,Filas!$B$2:$B$648,$B248,Filas!$N$2:$N$648,"mejora")</f>
        <v>2</v>
      </c>
      <c r="E248" s="4" t="n">
        <f aca="false">COUNTIFS(Filas!$A$2:$A$648,$A248,Filas!$B$2:$B$648,$B248,Filas!$N$2:$N$648,"sin cambio")</f>
        <v>0</v>
      </c>
      <c r="F248" s="4" t="n">
        <f aca="false">COUNTIFS(Filas!$A$2:$A$648,$A248,Filas!$B$2:$B$648,$B248,Filas!$N$2:$N$648,"empeora")</f>
        <v>0</v>
      </c>
      <c r="G248" s="4" t="n">
        <f aca="false">COUNTIFS(Filas!$A$2:$A$648,$A248,Filas!$B$2:$B$648,$B248,Filas!$N$2:$N$648,"mixto")</f>
        <v>0</v>
      </c>
      <c r="H248" s="4" t="n">
        <f aca="false">COUNTIFS(Filas!$A$2:$A$648,$A248,Filas!$B$2:$B$648,$B248,Filas!$S$2:$S$648,"cita encontrada*")+COUNTIFS(Filas!$A$2:$A$648,$A248,Filas!$B$2:$B$648,$B248,Filas!$S$2:$S$648,"página existe*")</f>
        <v>2</v>
      </c>
      <c r="I248" s="4" t="n">
        <f aca="false">COUNTIFS(Filas!$A$2:$A$648,$A248,Filas!$B$2:$B$648,$B248,Filas!$S$2:$S$648,"cita no encontrada*")+COUNTIFS(Filas!$A$2:$A$648,$A248,Filas!$B$2:$B$648,$B248,Filas!$S$2:$S$648,"página no accesible*")</f>
        <v>0</v>
      </c>
    </row>
    <row r="249" customFormat="false" ht="15" hidden="false" customHeight="false" outlineLevel="0" collapsed="false">
      <c r="A249" s="4" t="s">
        <v>6182</v>
      </c>
      <c r="B249" s="4" t="s">
        <v>6232</v>
      </c>
      <c r="C249" s="4" t="n">
        <f aca="false">COUNTIFS(Filas!$A$2:$A$648,$A249,Filas!$B$2:$B$648,$B249)</f>
        <v>1</v>
      </c>
      <c r="D249" s="4" t="n">
        <f aca="false">COUNTIFS(Filas!$A$2:$A$648,$A249,Filas!$B$2:$B$648,$B249,Filas!$N$2:$N$648,"mejora")</f>
        <v>1</v>
      </c>
      <c r="E249" s="4" t="n">
        <f aca="false">COUNTIFS(Filas!$A$2:$A$648,$A249,Filas!$B$2:$B$648,$B249,Filas!$N$2:$N$648,"sin cambio")</f>
        <v>0</v>
      </c>
      <c r="F249" s="4" t="n">
        <f aca="false">COUNTIFS(Filas!$A$2:$A$648,$A249,Filas!$B$2:$B$648,$B249,Filas!$N$2:$N$648,"empeora")</f>
        <v>0</v>
      </c>
      <c r="G249" s="4" t="n">
        <f aca="false">COUNTIFS(Filas!$A$2:$A$648,$A249,Filas!$B$2:$B$648,$B249,Filas!$N$2:$N$648,"mixto")</f>
        <v>0</v>
      </c>
      <c r="H249" s="4" t="n">
        <f aca="false">COUNTIFS(Filas!$A$2:$A$648,$A249,Filas!$B$2:$B$648,$B249,Filas!$S$2:$S$648,"cita encontrada*")+COUNTIFS(Filas!$A$2:$A$648,$A249,Filas!$B$2:$B$648,$B249,Filas!$S$2:$S$648,"página existe*")</f>
        <v>1</v>
      </c>
      <c r="I249" s="4" t="n">
        <f aca="false">COUNTIFS(Filas!$A$2:$A$648,$A249,Filas!$B$2:$B$648,$B249,Filas!$S$2:$S$648,"cita no encontrada*")+COUNTIFS(Filas!$A$2:$A$648,$A249,Filas!$B$2:$B$648,$B249,Filas!$S$2:$S$648,"página no accesible*")</f>
        <v>0</v>
      </c>
    </row>
    <row r="250" customFormat="false" ht="15" hidden="false" customHeight="false" outlineLevel="0" collapsed="false">
      <c r="A250" s="4" t="s">
        <v>6182</v>
      </c>
      <c r="B250" s="4" t="s">
        <v>2252</v>
      </c>
      <c r="C250" s="4" t="n">
        <f aca="false">COUNTIFS(Filas!$A$2:$A$648,$A250,Filas!$B$2:$B$648,$B250)</f>
        <v>1</v>
      </c>
      <c r="D250" s="4" t="n">
        <f aca="false">COUNTIFS(Filas!$A$2:$A$648,$A250,Filas!$B$2:$B$648,$B250,Filas!$N$2:$N$648,"mejora")</f>
        <v>1</v>
      </c>
      <c r="E250" s="4" t="n">
        <f aca="false">COUNTIFS(Filas!$A$2:$A$648,$A250,Filas!$B$2:$B$648,$B250,Filas!$N$2:$N$648,"sin cambio")</f>
        <v>0</v>
      </c>
      <c r="F250" s="4" t="n">
        <f aca="false">COUNTIFS(Filas!$A$2:$A$648,$A250,Filas!$B$2:$B$648,$B250,Filas!$N$2:$N$648,"empeora")</f>
        <v>0</v>
      </c>
      <c r="G250" s="4" t="n">
        <f aca="false">COUNTIFS(Filas!$A$2:$A$648,$A250,Filas!$B$2:$B$648,$B250,Filas!$N$2:$N$648,"mixto")</f>
        <v>0</v>
      </c>
      <c r="H250" s="4" t="n">
        <f aca="false">COUNTIFS(Filas!$A$2:$A$648,$A250,Filas!$B$2:$B$648,$B250,Filas!$S$2:$S$648,"cita encontrada*")+COUNTIFS(Filas!$A$2:$A$648,$A250,Filas!$B$2:$B$648,$B250,Filas!$S$2:$S$648,"página existe*")</f>
        <v>1</v>
      </c>
      <c r="I250" s="4" t="n">
        <f aca="false">COUNTIFS(Filas!$A$2:$A$648,$A250,Filas!$B$2:$B$648,$B250,Filas!$S$2:$S$648,"cita no encontrada*")+COUNTIFS(Filas!$A$2:$A$648,$A250,Filas!$B$2:$B$648,$B250,Filas!$S$2:$S$648,"página no accesible*")</f>
        <v>0</v>
      </c>
    </row>
    <row r="251" customFormat="false" ht="15" hidden="false" customHeight="false" outlineLevel="0" collapsed="false">
      <c r="A251" s="4" t="s">
        <v>6182</v>
      </c>
      <c r="B251" s="4" t="s">
        <v>6254</v>
      </c>
      <c r="C251" s="4" t="n">
        <f aca="false">COUNTIFS(Filas!$A$2:$A$648,$A251,Filas!$B$2:$B$648,$B251)</f>
        <v>1</v>
      </c>
      <c r="D251" s="4" t="n">
        <f aca="false">COUNTIFS(Filas!$A$2:$A$648,$A251,Filas!$B$2:$B$648,$B251,Filas!$N$2:$N$648,"mejora")</f>
        <v>1</v>
      </c>
      <c r="E251" s="4" t="n">
        <f aca="false">COUNTIFS(Filas!$A$2:$A$648,$A251,Filas!$B$2:$B$648,$B251,Filas!$N$2:$N$648,"sin cambio")</f>
        <v>0</v>
      </c>
      <c r="F251" s="4" t="n">
        <f aca="false">COUNTIFS(Filas!$A$2:$A$648,$A251,Filas!$B$2:$B$648,$B251,Filas!$N$2:$N$648,"empeora")</f>
        <v>0</v>
      </c>
      <c r="G251" s="4" t="n">
        <f aca="false">COUNTIFS(Filas!$A$2:$A$648,$A251,Filas!$B$2:$B$648,$B251,Filas!$N$2:$N$648,"mixto")</f>
        <v>0</v>
      </c>
      <c r="H251" s="4" t="n">
        <f aca="false">COUNTIFS(Filas!$A$2:$A$648,$A251,Filas!$B$2:$B$648,$B251,Filas!$S$2:$S$648,"cita encontrada*")+COUNTIFS(Filas!$A$2:$A$648,$A251,Filas!$B$2:$B$648,$B251,Filas!$S$2:$S$648,"página existe*")</f>
        <v>1</v>
      </c>
      <c r="I251" s="4" t="n">
        <f aca="false">COUNTIFS(Filas!$A$2:$A$648,$A251,Filas!$B$2:$B$648,$B251,Filas!$S$2:$S$648,"cita no encontrada*")+COUNTIFS(Filas!$A$2:$A$648,$A251,Filas!$B$2:$B$648,$B251,Filas!$S$2:$S$648,"página no accesible*")</f>
        <v>0</v>
      </c>
    </row>
    <row r="252" customFormat="false" ht="15" hidden="false" customHeight="false" outlineLevel="0" collapsed="false">
      <c r="A252" s="4" t="s">
        <v>6182</v>
      </c>
      <c r="B252" s="4" t="s">
        <v>6265</v>
      </c>
      <c r="C252" s="4" t="n">
        <f aca="false">COUNTIFS(Filas!$A$2:$A$648,$A252,Filas!$B$2:$B$648,$B252)</f>
        <v>1</v>
      </c>
      <c r="D252" s="4" t="n">
        <f aca="false">COUNTIFS(Filas!$A$2:$A$648,$A252,Filas!$B$2:$B$648,$B252,Filas!$N$2:$N$648,"mejora")</f>
        <v>0</v>
      </c>
      <c r="E252" s="4" t="n">
        <f aca="false">COUNTIFS(Filas!$A$2:$A$648,$A252,Filas!$B$2:$B$648,$B252,Filas!$N$2:$N$648,"sin cambio")</f>
        <v>0</v>
      </c>
      <c r="F252" s="4" t="n">
        <f aca="false">COUNTIFS(Filas!$A$2:$A$648,$A252,Filas!$B$2:$B$648,$B252,Filas!$N$2:$N$648,"empeora")</f>
        <v>1</v>
      </c>
      <c r="G252" s="4" t="n">
        <f aca="false">COUNTIFS(Filas!$A$2:$A$648,$A252,Filas!$B$2:$B$648,$B252,Filas!$N$2:$N$648,"mixto")</f>
        <v>0</v>
      </c>
      <c r="H252" s="4" t="n">
        <f aca="false">COUNTIFS(Filas!$A$2:$A$648,$A252,Filas!$B$2:$B$648,$B252,Filas!$S$2:$S$648,"cita encontrada*")+COUNTIFS(Filas!$A$2:$A$648,$A252,Filas!$B$2:$B$648,$B252,Filas!$S$2:$S$648,"página existe*")</f>
        <v>1</v>
      </c>
      <c r="I252" s="4" t="n">
        <f aca="false">COUNTIFS(Filas!$A$2:$A$648,$A252,Filas!$B$2:$B$648,$B252,Filas!$S$2:$S$648,"cita no encontrada*")+COUNTIFS(Filas!$A$2:$A$648,$A252,Filas!$B$2:$B$648,$B252,Filas!$S$2:$S$648,"página no accesible*")</f>
        <v>0</v>
      </c>
    </row>
    <row r="253" customFormat="false" ht="15" hidden="false" customHeight="false" outlineLevel="0" collapsed="false">
      <c r="A253" s="4" t="s">
        <v>6182</v>
      </c>
      <c r="B253" s="4" t="s">
        <v>6276</v>
      </c>
      <c r="C253" s="4" t="n">
        <f aca="false">COUNTIFS(Filas!$A$2:$A$648,$A253,Filas!$B$2:$B$648,$B253)</f>
        <v>2</v>
      </c>
      <c r="D253" s="4" t="n">
        <f aca="false">COUNTIFS(Filas!$A$2:$A$648,$A253,Filas!$B$2:$B$648,$B253,Filas!$N$2:$N$648,"mejora")</f>
        <v>0</v>
      </c>
      <c r="E253" s="4" t="n">
        <f aca="false">COUNTIFS(Filas!$A$2:$A$648,$A253,Filas!$B$2:$B$648,$B253,Filas!$N$2:$N$648,"sin cambio")</f>
        <v>0</v>
      </c>
      <c r="F253" s="4" t="n">
        <f aca="false">COUNTIFS(Filas!$A$2:$A$648,$A253,Filas!$B$2:$B$648,$B253,Filas!$N$2:$N$648,"empeora")</f>
        <v>0</v>
      </c>
      <c r="G253" s="4" t="n">
        <f aca="false">COUNTIFS(Filas!$A$2:$A$648,$A253,Filas!$B$2:$B$648,$B253,Filas!$N$2:$N$648,"mixto")</f>
        <v>2</v>
      </c>
      <c r="H253" s="4" t="n">
        <f aca="false">COUNTIFS(Filas!$A$2:$A$648,$A253,Filas!$B$2:$B$648,$B253,Filas!$S$2:$S$648,"cita encontrada*")+COUNTIFS(Filas!$A$2:$A$648,$A253,Filas!$B$2:$B$648,$B253,Filas!$S$2:$S$648,"página existe*")</f>
        <v>2</v>
      </c>
      <c r="I253" s="4" t="n">
        <f aca="false">COUNTIFS(Filas!$A$2:$A$648,$A253,Filas!$B$2:$B$648,$B253,Filas!$S$2:$S$648,"cita no encontrada*")+COUNTIFS(Filas!$A$2:$A$648,$A253,Filas!$B$2:$B$648,$B253,Filas!$S$2:$S$648,"página no accesible*")</f>
        <v>0</v>
      </c>
    </row>
    <row r="254" customFormat="false" ht="15" hidden="false" customHeight="false" outlineLevel="0" collapsed="false">
      <c r="A254" s="4" t="s">
        <v>6182</v>
      </c>
      <c r="B254" s="4" t="s">
        <v>6299</v>
      </c>
      <c r="C254" s="4" t="n">
        <f aca="false">COUNTIFS(Filas!$A$2:$A$648,$A254,Filas!$B$2:$B$648,$B254)</f>
        <v>2</v>
      </c>
      <c r="D254" s="4" t="n">
        <f aca="false">COUNTIFS(Filas!$A$2:$A$648,$A254,Filas!$B$2:$B$648,$B254,Filas!$N$2:$N$648,"mejora")</f>
        <v>2</v>
      </c>
      <c r="E254" s="4" t="n">
        <f aca="false">COUNTIFS(Filas!$A$2:$A$648,$A254,Filas!$B$2:$B$648,$B254,Filas!$N$2:$N$648,"sin cambio")</f>
        <v>0</v>
      </c>
      <c r="F254" s="4" t="n">
        <f aca="false">COUNTIFS(Filas!$A$2:$A$648,$A254,Filas!$B$2:$B$648,$B254,Filas!$N$2:$N$648,"empeora")</f>
        <v>0</v>
      </c>
      <c r="G254" s="4" t="n">
        <f aca="false">COUNTIFS(Filas!$A$2:$A$648,$A254,Filas!$B$2:$B$648,$B254,Filas!$N$2:$N$648,"mixto")</f>
        <v>0</v>
      </c>
      <c r="H254" s="4" t="n">
        <f aca="false">COUNTIFS(Filas!$A$2:$A$648,$A254,Filas!$B$2:$B$648,$B254,Filas!$S$2:$S$648,"cita encontrada*")+COUNTIFS(Filas!$A$2:$A$648,$A254,Filas!$B$2:$B$648,$B254,Filas!$S$2:$S$648,"página existe*")</f>
        <v>1</v>
      </c>
      <c r="I254" s="4" t="n">
        <f aca="false">COUNTIFS(Filas!$A$2:$A$648,$A254,Filas!$B$2:$B$648,$B254,Filas!$S$2:$S$648,"cita no encontrada*")+COUNTIFS(Filas!$A$2:$A$648,$A254,Filas!$B$2:$B$648,$B254,Filas!$S$2:$S$648,"página no accesible*")</f>
        <v>1</v>
      </c>
    </row>
    <row r="255" customFormat="false" ht="15" hidden="false" customHeight="false" outlineLevel="0" collapsed="false">
      <c r="A255" s="4" t="s">
        <v>6182</v>
      </c>
      <c r="B255" s="4" t="s">
        <v>6312</v>
      </c>
      <c r="C255" s="4" t="n">
        <f aca="false">COUNTIFS(Filas!$A$2:$A$648,$A255,Filas!$B$2:$B$648,$B255)</f>
        <v>1</v>
      </c>
      <c r="D255" s="4" t="n">
        <f aca="false">COUNTIFS(Filas!$A$2:$A$648,$A255,Filas!$B$2:$B$648,$B255,Filas!$N$2:$N$648,"mejora")</f>
        <v>0</v>
      </c>
      <c r="E255" s="4" t="n">
        <f aca="false">COUNTIFS(Filas!$A$2:$A$648,$A255,Filas!$B$2:$B$648,$B255,Filas!$N$2:$N$648,"sin cambio")</f>
        <v>0</v>
      </c>
      <c r="F255" s="4" t="n">
        <f aca="false">COUNTIFS(Filas!$A$2:$A$648,$A255,Filas!$B$2:$B$648,$B255,Filas!$N$2:$N$648,"empeora")</f>
        <v>1</v>
      </c>
      <c r="G255" s="4" t="n">
        <f aca="false">COUNTIFS(Filas!$A$2:$A$648,$A255,Filas!$B$2:$B$648,$B255,Filas!$N$2:$N$648,"mixto")</f>
        <v>0</v>
      </c>
      <c r="H255" s="4" t="n">
        <f aca="false">COUNTIFS(Filas!$A$2:$A$648,$A255,Filas!$B$2:$B$648,$B255,Filas!$S$2:$S$648,"cita encontrada*")+COUNTIFS(Filas!$A$2:$A$648,$A255,Filas!$B$2:$B$648,$B255,Filas!$S$2:$S$648,"página existe*")</f>
        <v>1</v>
      </c>
      <c r="I255" s="4" t="n">
        <f aca="false">COUNTIFS(Filas!$A$2:$A$648,$A255,Filas!$B$2:$B$648,$B255,Filas!$S$2:$S$648,"cita no encontrada*")+COUNTIFS(Filas!$A$2:$A$648,$A255,Filas!$B$2:$B$648,$B255,Filas!$S$2:$S$648,"página no accesible*")</f>
        <v>0</v>
      </c>
    </row>
    <row r="256" customFormat="false" ht="15" hidden="false" customHeight="false" outlineLevel="0" collapsed="false">
      <c r="A256" s="4" t="s">
        <v>6182</v>
      </c>
      <c r="B256" s="4" t="s">
        <v>6325</v>
      </c>
      <c r="C256" s="4" t="n">
        <f aca="false">COUNTIFS(Filas!$A$2:$A$648,$A256,Filas!$B$2:$B$648,$B256)</f>
        <v>1</v>
      </c>
      <c r="D256" s="4" t="n">
        <f aca="false">COUNTIFS(Filas!$A$2:$A$648,$A256,Filas!$B$2:$B$648,$B256,Filas!$N$2:$N$648,"mejora")</f>
        <v>0</v>
      </c>
      <c r="E256" s="4" t="n">
        <f aca="false">COUNTIFS(Filas!$A$2:$A$648,$A256,Filas!$B$2:$B$648,$B256,Filas!$N$2:$N$648,"sin cambio")</f>
        <v>0</v>
      </c>
      <c r="F256" s="4" t="n">
        <f aca="false">COUNTIFS(Filas!$A$2:$A$648,$A256,Filas!$B$2:$B$648,$B256,Filas!$N$2:$N$648,"empeora")</f>
        <v>1</v>
      </c>
      <c r="G256" s="4" t="n">
        <f aca="false">COUNTIFS(Filas!$A$2:$A$648,$A256,Filas!$B$2:$B$648,$B256,Filas!$N$2:$N$648,"mixto")</f>
        <v>0</v>
      </c>
      <c r="H256" s="4" t="n">
        <f aca="false">COUNTIFS(Filas!$A$2:$A$648,$A256,Filas!$B$2:$B$648,$B256,Filas!$S$2:$S$648,"cita encontrada*")+COUNTIFS(Filas!$A$2:$A$648,$A256,Filas!$B$2:$B$648,$B256,Filas!$S$2:$S$648,"página existe*")</f>
        <v>1</v>
      </c>
      <c r="I256" s="4" t="n">
        <f aca="false">COUNTIFS(Filas!$A$2:$A$648,$A256,Filas!$B$2:$B$648,$B256,Filas!$S$2:$S$648,"cita no encontrada*")+COUNTIFS(Filas!$A$2:$A$648,$A256,Filas!$B$2:$B$648,$B256,Filas!$S$2:$S$648,"página no accesible*")</f>
        <v>0</v>
      </c>
    </row>
    <row r="257" customFormat="false" ht="15" hidden="false" customHeight="false" outlineLevel="0" collapsed="false">
      <c r="A257" s="4" t="s">
        <v>6182</v>
      </c>
      <c r="B257" s="4" t="s">
        <v>6335</v>
      </c>
      <c r="C257" s="4" t="n">
        <f aca="false">COUNTIFS(Filas!$A$2:$A$648,$A257,Filas!$B$2:$B$648,$B257)</f>
        <v>1</v>
      </c>
      <c r="D257" s="4" t="n">
        <f aca="false">COUNTIFS(Filas!$A$2:$A$648,$A257,Filas!$B$2:$B$648,$B257,Filas!$N$2:$N$648,"mejora")</f>
        <v>0</v>
      </c>
      <c r="E257" s="4" t="n">
        <f aca="false">COUNTIFS(Filas!$A$2:$A$648,$A257,Filas!$B$2:$B$648,$B257,Filas!$N$2:$N$648,"sin cambio")</f>
        <v>0</v>
      </c>
      <c r="F257" s="4" t="n">
        <f aca="false">COUNTIFS(Filas!$A$2:$A$648,$A257,Filas!$B$2:$B$648,$B257,Filas!$N$2:$N$648,"empeora")</f>
        <v>0</v>
      </c>
      <c r="G257" s="4" t="n">
        <f aca="false">COUNTIFS(Filas!$A$2:$A$648,$A257,Filas!$B$2:$B$648,$B257,Filas!$N$2:$N$648,"mixto")</f>
        <v>1</v>
      </c>
      <c r="H257" s="4" t="n">
        <f aca="false">COUNTIFS(Filas!$A$2:$A$648,$A257,Filas!$B$2:$B$648,$B257,Filas!$S$2:$S$648,"cita encontrada*")+COUNTIFS(Filas!$A$2:$A$648,$A257,Filas!$B$2:$B$648,$B257,Filas!$S$2:$S$648,"página existe*")</f>
        <v>1</v>
      </c>
      <c r="I257" s="4" t="n">
        <f aca="false">COUNTIFS(Filas!$A$2:$A$648,$A257,Filas!$B$2:$B$648,$B257,Filas!$S$2:$S$648,"cita no encontrada*")+COUNTIFS(Filas!$A$2:$A$648,$A257,Filas!$B$2:$B$648,$B257,Filas!$S$2:$S$648,"página no accesible*")</f>
        <v>0</v>
      </c>
    </row>
    <row r="258" customFormat="false" ht="15" hidden="false" customHeight="false" outlineLevel="0" collapsed="false">
      <c r="A258" s="4" t="s">
        <v>6182</v>
      </c>
      <c r="B258" s="4" t="s">
        <v>6348</v>
      </c>
      <c r="C258" s="4" t="n">
        <f aca="false">COUNTIFS(Filas!$A$2:$A$648,$A258,Filas!$B$2:$B$648,$B258)</f>
        <v>1</v>
      </c>
      <c r="D258" s="4" t="n">
        <f aca="false">COUNTIFS(Filas!$A$2:$A$648,$A258,Filas!$B$2:$B$648,$B258,Filas!$N$2:$N$648,"mejora")</f>
        <v>0</v>
      </c>
      <c r="E258" s="4" t="n">
        <f aca="false">COUNTIFS(Filas!$A$2:$A$648,$A258,Filas!$B$2:$B$648,$B258,Filas!$N$2:$N$648,"sin cambio")</f>
        <v>0</v>
      </c>
      <c r="F258" s="4" t="n">
        <f aca="false">COUNTIFS(Filas!$A$2:$A$648,$A258,Filas!$B$2:$B$648,$B258,Filas!$N$2:$N$648,"empeora")</f>
        <v>0</v>
      </c>
      <c r="G258" s="4" t="n">
        <f aca="false">COUNTIFS(Filas!$A$2:$A$648,$A258,Filas!$B$2:$B$648,$B258,Filas!$N$2:$N$648,"mixto")</f>
        <v>1</v>
      </c>
      <c r="H258" s="4" t="n">
        <f aca="false">COUNTIFS(Filas!$A$2:$A$648,$A258,Filas!$B$2:$B$648,$B258,Filas!$S$2:$S$648,"cita encontrada*")+COUNTIFS(Filas!$A$2:$A$648,$A258,Filas!$B$2:$B$648,$B258,Filas!$S$2:$S$648,"página existe*")</f>
        <v>1</v>
      </c>
      <c r="I258" s="4" t="n">
        <f aca="false">COUNTIFS(Filas!$A$2:$A$648,$A258,Filas!$B$2:$B$648,$B258,Filas!$S$2:$S$648,"cita no encontrada*")+COUNTIFS(Filas!$A$2:$A$648,$A258,Filas!$B$2:$B$648,$B258,Filas!$S$2:$S$648,"página no accesible*")</f>
        <v>0</v>
      </c>
    </row>
    <row r="259" customFormat="false" ht="15" hidden="false" customHeight="false" outlineLevel="0" collapsed="false">
      <c r="A259" s="4" t="s">
        <v>6182</v>
      </c>
      <c r="B259" s="4" t="s">
        <v>6358</v>
      </c>
      <c r="C259" s="4" t="n">
        <f aca="false">COUNTIFS(Filas!$A$2:$A$648,$A259,Filas!$B$2:$B$648,$B259)</f>
        <v>2</v>
      </c>
      <c r="D259" s="4" t="n">
        <f aca="false">COUNTIFS(Filas!$A$2:$A$648,$A259,Filas!$B$2:$B$648,$B259,Filas!$N$2:$N$648,"mejora")</f>
        <v>1</v>
      </c>
      <c r="E259" s="4" t="n">
        <f aca="false">COUNTIFS(Filas!$A$2:$A$648,$A259,Filas!$B$2:$B$648,$B259,Filas!$N$2:$N$648,"sin cambio")</f>
        <v>0</v>
      </c>
      <c r="F259" s="4" t="n">
        <f aca="false">COUNTIFS(Filas!$A$2:$A$648,$A259,Filas!$B$2:$B$648,$B259,Filas!$N$2:$N$648,"empeora")</f>
        <v>1</v>
      </c>
      <c r="G259" s="4" t="n">
        <f aca="false">COUNTIFS(Filas!$A$2:$A$648,$A259,Filas!$B$2:$B$648,$B259,Filas!$N$2:$N$648,"mixto")</f>
        <v>0</v>
      </c>
      <c r="H259" s="4" t="n">
        <f aca="false">COUNTIFS(Filas!$A$2:$A$648,$A259,Filas!$B$2:$B$648,$B259,Filas!$S$2:$S$648,"cita encontrada*")+COUNTIFS(Filas!$A$2:$A$648,$A259,Filas!$B$2:$B$648,$B259,Filas!$S$2:$S$648,"página existe*")</f>
        <v>2</v>
      </c>
      <c r="I259" s="4" t="n">
        <f aca="false">COUNTIFS(Filas!$A$2:$A$648,$A259,Filas!$B$2:$B$648,$B259,Filas!$S$2:$S$648,"cita no encontrada*")+COUNTIFS(Filas!$A$2:$A$648,$A259,Filas!$B$2:$B$648,$B259,Filas!$S$2:$S$648,"página no accesible*")</f>
        <v>0</v>
      </c>
    </row>
    <row r="260" customFormat="false" ht="15" hidden="false" customHeight="false" outlineLevel="0" collapsed="false">
      <c r="A260" s="4" t="s">
        <v>6182</v>
      </c>
      <c r="B260" s="4" t="s">
        <v>304</v>
      </c>
      <c r="C260" s="4" t="n">
        <f aca="false">COUNTIFS(Filas!$A$2:$A$648,$A260,Filas!$B$2:$B$648,$B260)</f>
        <v>1</v>
      </c>
      <c r="D260" s="4" t="n">
        <f aca="false">COUNTIFS(Filas!$A$2:$A$648,$A260,Filas!$B$2:$B$648,$B260,Filas!$N$2:$N$648,"mejora")</f>
        <v>0</v>
      </c>
      <c r="E260" s="4" t="n">
        <f aca="false">COUNTIFS(Filas!$A$2:$A$648,$A260,Filas!$B$2:$B$648,$B260,Filas!$N$2:$N$648,"sin cambio")</f>
        <v>1</v>
      </c>
      <c r="F260" s="4" t="n">
        <f aca="false">COUNTIFS(Filas!$A$2:$A$648,$A260,Filas!$B$2:$B$648,$B260,Filas!$N$2:$N$648,"empeora")</f>
        <v>0</v>
      </c>
      <c r="G260" s="4" t="n">
        <f aca="false">COUNTIFS(Filas!$A$2:$A$648,$A260,Filas!$B$2:$B$648,$B260,Filas!$N$2:$N$648,"mixto")</f>
        <v>0</v>
      </c>
      <c r="H260" s="4" t="n">
        <f aca="false">COUNTIFS(Filas!$A$2:$A$648,$A260,Filas!$B$2:$B$648,$B260,Filas!$S$2:$S$648,"cita encontrada*")+COUNTIFS(Filas!$A$2:$A$648,$A260,Filas!$B$2:$B$648,$B260,Filas!$S$2:$S$648,"página existe*")</f>
        <v>1</v>
      </c>
      <c r="I260" s="4" t="n">
        <f aca="false">COUNTIFS(Filas!$A$2:$A$648,$A260,Filas!$B$2:$B$648,$B260,Filas!$S$2:$S$648,"cita no encontrada*")+COUNTIFS(Filas!$A$2:$A$648,$A260,Filas!$B$2:$B$648,$B260,Filas!$S$2:$S$648,"página no accesible*")</f>
        <v>0</v>
      </c>
    </row>
    <row r="261" customFormat="false" ht="15" hidden="false" customHeight="false" outlineLevel="0" collapsed="false">
      <c r="A261" s="4" t="s">
        <v>6182</v>
      </c>
      <c r="B261" s="4" t="s">
        <v>6392</v>
      </c>
      <c r="C261" s="4" t="n">
        <f aca="false">COUNTIFS(Filas!$A$2:$A$648,$A261,Filas!$B$2:$B$648,$B261)</f>
        <v>1</v>
      </c>
      <c r="D261" s="4" t="n">
        <f aca="false">COUNTIFS(Filas!$A$2:$A$648,$A261,Filas!$B$2:$B$648,$B261,Filas!$N$2:$N$648,"mejora")</f>
        <v>0</v>
      </c>
      <c r="E261" s="4" t="n">
        <f aca="false">COUNTIFS(Filas!$A$2:$A$648,$A261,Filas!$B$2:$B$648,$B261,Filas!$N$2:$N$648,"sin cambio")</f>
        <v>0</v>
      </c>
      <c r="F261" s="4" t="n">
        <f aca="false">COUNTIFS(Filas!$A$2:$A$648,$A261,Filas!$B$2:$B$648,$B261,Filas!$N$2:$N$648,"empeora")</f>
        <v>1</v>
      </c>
      <c r="G261" s="4" t="n">
        <f aca="false">COUNTIFS(Filas!$A$2:$A$648,$A261,Filas!$B$2:$B$648,$B261,Filas!$N$2:$N$648,"mixto")</f>
        <v>0</v>
      </c>
      <c r="H261" s="4" t="n">
        <f aca="false">COUNTIFS(Filas!$A$2:$A$648,$A261,Filas!$B$2:$B$648,$B261,Filas!$S$2:$S$648,"cita encontrada*")+COUNTIFS(Filas!$A$2:$A$648,$A261,Filas!$B$2:$B$648,$B261,Filas!$S$2:$S$648,"página existe*")</f>
        <v>1</v>
      </c>
      <c r="I261" s="4" t="n">
        <f aca="false">COUNTIFS(Filas!$A$2:$A$648,$A261,Filas!$B$2:$B$648,$B261,Filas!$S$2:$S$648,"cita no encontrada*")+COUNTIFS(Filas!$A$2:$A$648,$A261,Filas!$B$2:$B$648,$B261,Filas!$S$2:$S$648,"página no accesible*")</f>
        <v>0</v>
      </c>
    </row>
    <row r="262" customFormat="false" ht="15" hidden="false" customHeight="false" outlineLevel="0" collapsed="false">
      <c r="A262" s="4" t="s">
        <v>6182</v>
      </c>
      <c r="B262" s="4" t="s">
        <v>6403</v>
      </c>
      <c r="C262" s="4" t="n">
        <f aca="false">COUNTIFS(Filas!$A$2:$A$648,$A262,Filas!$B$2:$B$648,$B262)</f>
        <v>1</v>
      </c>
      <c r="D262" s="4" t="n">
        <f aca="false">COUNTIFS(Filas!$A$2:$A$648,$A262,Filas!$B$2:$B$648,$B262,Filas!$N$2:$N$648,"mejora")</f>
        <v>0</v>
      </c>
      <c r="E262" s="4" t="n">
        <f aca="false">COUNTIFS(Filas!$A$2:$A$648,$A262,Filas!$B$2:$B$648,$B262,Filas!$N$2:$N$648,"sin cambio")</f>
        <v>0</v>
      </c>
      <c r="F262" s="4" t="n">
        <f aca="false">COUNTIFS(Filas!$A$2:$A$648,$A262,Filas!$B$2:$B$648,$B262,Filas!$N$2:$N$648,"empeora")</f>
        <v>1</v>
      </c>
      <c r="G262" s="4" t="n">
        <f aca="false">COUNTIFS(Filas!$A$2:$A$648,$A262,Filas!$B$2:$B$648,$B262,Filas!$N$2:$N$648,"mixto")</f>
        <v>0</v>
      </c>
      <c r="H262" s="4" t="n">
        <f aca="false">COUNTIFS(Filas!$A$2:$A$648,$A262,Filas!$B$2:$B$648,$B262,Filas!$S$2:$S$648,"cita encontrada*")+COUNTIFS(Filas!$A$2:$A$648,$A262,Filas!$B$2:$B$648,$B262,Filas!$S$2:$S$648,"página existe*")</f>
        <v>1</v>
      </c>
      <c r="I262" s="4" t="n">
        <f aca="false">COUNTIFS(Filas!$A$2:$A$648,$A262,Filas!$B$2:$B$648,$B262,Filas!$S$2:$S$648,"cita no encontrada*")+COUNTIFS(Filas!$A$2:$A$648,$A262,Filas!$B$2:$B$648,$B262,Filas!$S$2:$S$648,"página no accesible*")</f>
        <v>0</v>
      </c>
    </row>
    <row r="263" customFormat="false" ht="15" hidden="false" customHeight="false" outlineLevel="0" collapsed="false">
      <c r="A263" s="4" t="s">
        <v>6182</v>
      </c>
      <c r="B263" s="4" t="s">
        <v>6414</v>
      </c>
      <c r="C263" s="4" t="n">
        <f aca="false">COUNTIFS(Filas!$A$2:$A$648,$A263,Filas!$B$2:$B$648,$B263)</f>
        <v>1</v>
      </c>
      <c r="D263" s="4" t="n">
        <f aca="false">COUNTIFS(Filas!$A$2:$A$648,$A263,Filas!$B$2:$B$648,$B263,Filas!$N$2:$N$648,"mejora")</f>
        <v>0</v>
      </c>
      <c r="E263" s="4" t="n">
        <f aca="false">COUNTIFS(Filas!$A$2:$A$648,$A263,Filas!$B$2:$B$648,$B263,Filas!$N$2:$N$648,"sin cambio")</f>
        <v>0</v>
      </c>
      <c r="F263" s="4" t="n">
        <f aca="false">COUNTIFS(Filas!$A$2:$A$648,$A263,Filas!$B$2:$B$648,$B263,Filas!$N$2:$N$648,"empeora")</f>
        <v>1</v>
      </c>
      <c r="G263" s="4" t="n">
        <f aca="false">COUNTIFS(Filas!$A$2:$A$648,$A263,Filas!$B$2:$B$648,$B263,Filas!$N$2:$N$648,"mixto")</f>
        <v>0</v>
      </c>
      <c r="H263" s="4" t="n">
        <f aca="false">COUNTIFS(Filas!$A$2:$A$648,$A263,Filas!$B$2:$B$648,$B263,Filas!$S$2:$S$648,"cita encontrada*")+COUNTIFS(Filas!$A$2:$A$648,$A263,Filas!$B$2:$B$648,$B263,Filas!$S$2:$S$648,"página existe*")</f>
        <v>1</v>
      </c>
      <c r="I263" s="4" t="n">
        <f aca="false">COUNTIFS(Filas!$A$2:$A$648,$A263,Filas!$B$2:$B$648,$B263,Filas!$S$2:$S$648,"cita no encontrada*")+COUNTIFS(Filas!$A$2:$A$648,$A263,Filas!$B$2:$B$648,$B263,Filas!$S$2:$S$648,"página no accesible*")</f>
        <v>0</v>
      </c>
    </row>
    <row r="264" customFormat="false" ht="15" hidden="false" customHeight="false" outlineLevel="0" collapsed="false">
      <c r="A264" s="4" t="s">
        <v>6182</v>
      </c>
      <c r="B264" s="4" t="s">
        <v>6424</v>
      </c>
      <c r="C264" s="4" t="n">
        <f aca="false">COUNTIFS(Filas!$A$2:$A$648,$A264,Filas!$B$2:$B$648,$B264)</f>
        <v>2</v>
      </c>
      <c r="D264" s="4" t="n">
        <f aca="false">COUNTIFS(Filas!$A$2:$A$648,$A264,Filas!$B$2:$B$648,$B264,Filas!$N$2:$N$648,"mejora")</f>
        <v>0</v>
      </c>
      <c r="E264" s="4" t="n">
        <f aca="false">COUNTIFS(Filas!$A$2:$A$648,$A264,Filas!$B$2:$B$648,$B264,Filas!$N$2:$N$648,"sin cambio")</f>
        <v>0</v>
      </c>
      <c r="F264" s="4" t="n">
        <f aca="false">COUNTIFS(Filas!$A$2:$A$648,$A264,Filas!$B$2:$B$648,$B264,Filas!$N$2:$N$648,"empeora")</f>
        <v>2</v>
      </c>
      <c r="G264" s="4" t="n">
        <f aca="false">COUNTIFS(Filas!$A$2:$A$648,$A264,Filas!$B$2:$B$648,$B264,Filas!$N$2:$N$648,"mixto")</f>
        <v>0</v>
      </c>
      <c r="H264" s="4" t="n">
        <f aca="false">COUNTIFS(Filas!$A$2:$A$648,$A264,Filas!$B$2:$B$648,$B264,Filas!$S$2:$S$648,"cita encontrada*")+COUNTIFS(Filas!$A$2:$A$648,$A264,Filas!$B$2:$B$648,$B264,Filas!$S$2:$S$648,"página existe*")</f>
        <v>2</v>
      </c>
      <c r="I264" s="4" t="n">
        <f aca="false">COUNTIFS(Filas!$A$2:$A$648,$A264,Filas!$B$2:$B$648,$B264,Filas!$S$2:$S$648,"cita no encontrada*")+COUNTIFS(Filas!$A$2:$A$648,$A264,Filas!$B$2:$B$648,$B264,Filas!$S$2:$S$648,"página no accesible*")</f>
        <v>0</v>
      </c>
    </row>
    <row r="265" customFormat="false" ht="15" hidden="false" customHeight="false" outlineLevel="0" collapsed="false">
      <c r="A265" s="4" t="s">
        <v>6182</v>
      </c>
      <c r="B265" s="4" t="s">
        <v>6443</v>
      </c>
      <c r="C265" s="4" t="n">
        <f aca="false">COUNTIFS(Filas!$A$2:$A$648,$A265,Filas!$B$2:$B$648,$B265)</f>
        <v>1</v>
      </c>
      <c r="D265" s="4" t="n">
        <f aca="false">COUNTIFS(Filas!$A$2:$A$648,$A265,Filas!$B$2:$B$648,$B265,Filas!$N$2:$N$648,"mejora")</f>
        <v>0</v>
      </c>
      <c r="E265" s="4" t="n">
        <f aca="false">COUNTIFS(Filas!$A$2:$A$648,$A265,Filas!$B$2:$B$648,$B265,Filas!$N$2:$N$648,"sin cambio")</f>
        <v>0</v>
      </c>
      <c r="F265" s="4" t="n">
        <f aca="false">COUNTIFS(Filas!$A$2:$A$648,$A265,Filas!$B$2:$B$648,$B265,Filas!$N$2:$N$648,"empeora")</f>
        <v>1</v>
      </c>
      <c r="G265" s="4" t="n">
        <f aca="false">COUNTIFS(Filas!$A$2:$A$648,$A265,Filas!$B$2:$B$648,$B265,Filas!$N$2:$N$648,"mixto")</f>
        <v>0</v>
      </c>
      <c r="H265" s="4" t="n">
        <f aca="false">COUNTIFS(Filas!$A$2:$A$648,$A265,Filas!$B$2:$B$648,$B265,Filas!$S$2:$S$648,"cita encontrada*")+COUNTIFS(Filas!$A$2:$A$648,$A265,Filas!$B$2:$B$648,$B265,Filas!$S$2:$S$648,"página existe*")</f>
        <v>1</v>
      </c>
      <c r="I265" s="4" t="n">
        <f aca="false">COUNTIFS(Filas!$A$2:$A$648,$A265,Filas!$B$2:$B$648,$B265,Filas!$S$2:$S$648,"cita no encontrada*")+COUNTIFS(Filas!$A$2:$A$648,$A265,Filas!$B$2:$B$648,$B265,Filas!$S$2:$S$648,"página no accesible*")</f>
        <v>0</v>
      </c>
    </row>
    <row r="266" customFormat="false" ht="15" hidden="false" customHeight="false" outlineLevel="0" collapsed="false">
      <c r="A266" s="4" t="s">
        <v>6182</v>
      </c>
      <c r="B266" s="4" t="s">
        <v>6456</v>
      </c>
      <c r="C266" s="4" t="n">
        <f aca="false">COUNTIFS(Filas!$A$2:$A$648,$A266,Filas!$B$2:$B$648,$B266)</f>
        <v>1</v>
      </c>
      <c r="D266" s="4" t="n">
        <f aca="false">COUNTIFS(Filas!$A$2:$A$648,$A266,Filas!$B$2:$B$648,$B266,Filas!$N$2:$N$648,"mejora")</f>
        <v>0</v>
      </c>
      <c r="E266" s="4" t="n">
        <f aca="false">COUNTIFS(Filas!$A$2:$A$648,$A266,Filas!$B$2:$B$648,$B266,Filas!$N$2:$N$648,"sin cambio")</f>
        <v>0</v>
      </c>
      <c r="F266" s="4" t="n">
        <f aca="false">COUNTIFS(Filas!$A$2:$A$648,$A266,Filas!$B$2:$B$648,$B266,Filas!$N$2:$N$648,"empeora")</f>
        <v>1</v>
      </c>
      <c r="G266" s="4" t="n">
        <f aca="false">COUNTIFS(Filas!$A$2:$A$648,$A266,Filas!$B$2:$B$648,$B266,Filas!$N$2:$N$648,"mixto")</f>
        <v>0</v>
      </c>
      <c r="H266" s="4" t="n">
        <f aca="false">COUNTIFS(Filas!$A$2:$A$648,$A266,Filas!$B$2:$B$648,$B266,Filas!$S$2:$S$648,"cita encontrada*")+COUNTIFS(Filas!$A$2:$A$648,$A266,Filas!$B$2:$B$648,$B266,Filas!$S$2:$S$648,"página existe*")</f>
        <v>1</v>
      </c>
      <c r="I266" s="4" t="n">
        <f aca="false">COUNTIFS(Filas!$A$2:$A$648,$A266,Filas!$B$2:$B$648,$B266,Filas!$S$2:$S$648,"cita no encontrada*")+COUNTIFS(Filas!$A$2:$A$648,$A266,Filas!$B$2:$B$648,$B266,Filas!$S$2:$S$648,"página no accesible*")</f>
        <v>0</v>
      </c>
    </row>
    <row r="267" customFormat="false" ht="15" hidden="false" customHeight="false" outlineLevel="0" collapsed="false">
      <c r="A267" s="4" t="s">
        <v>6182</v>
      </c>
      <c r="B267" s="4" t="s">
        <v>6468</v>
      </c>
      <c r="C267" s="4" t="n">
        <f aca="false">COUNTIFS(Filas!$A$2:$A$648,$A267,Filas!$B$2:$B$648,$B267)</f>
        <v>1</v>
      </c>
      <c r="D267" s="4" t="n">
        <f aca="false">COUNTIFS(Filas!$A$2:$A$648,$A267,Filas!$B$2:$B$648,$B267,Filas!$N$2:$N$648,"mejora")</f>
        <v>0</v>
      </c>
      <c r="E267" s="4" t="n">
        <f aca="false">COUNTIFS(Filas!$A$2:$A$648,$A267,Filas!$B$2:$B$648,$B267,Filas!$N$2:$N$648,"sin cambio")</f>
        <v>0</v>
      </c>
      <c r="F267" s="4" t="n">
        <f aca="false">COUNTIFS(Filas!$A$2:$A$648,$A267,Filas!$B$2:$B$648,$B267,Filas!$N$2:$N$648,"empeora")</f>
        <v>0</v>
      </c>
      <c r="G267" s="4" t="n">
        <f aca="false">COUNTIFS(Filas!$A$2:$A$648,$A267,Filas!$B$2:$B$648,$B267,Filas!$N$2:$N$648,"mixto")</f>
        <v>1</v>
      </c>
      <c r="H267" s="4" t="n">
        <f aca="false">COUNTIFS(Filas!$A$2:$A$648,$A267,Filas!$B$2:$B$648,$B267,Filas!$S$2:$S$648,"cita encontrada*")+COUNTIFS(Filas!$A$2:$A$648,$A267,Filas!$B$2:$B$648,$B267,Filas!$S$2:$S$648,"página existe*")</f>
        <v>1</v>
      </c>
      <c r="I267" s="4" t="n">
        <f aca="false">COUNTIFS(Filas!$A$2:$A$648,$A267,Filas!$B$2:$B$648,$B267,Filas!$S$2:$S$648,"cita no encontrada*")+COUNTIFS(Filas!$A$2:$A$648,$A267,Filas!$B$2:$B$648,$B267,Filas!$S$2:$S$648,"página no accesible*")</f>
        <v>0</v>
      </c>
    </row>
    <row r="268" customFormat="false" ht="15" hidden="false" customHeight="false" outlineLevel="0" collapsed="false">
      <c r="A268" s="4" t="s">
        <v>6182</v>
      </c>
      <c r="B268" s="4" t="s">
        <v>6482</v>
      </c>
      <c r="C268" s="4" t="n">
        <f aca="false">COUNTIFS(Filas!$A$2:$A$648,$A268,Filas!$B$2:$B$648,$B268)</f>
        <v>1</v>
      </c>
      <c r="D268" s="4" t="n">
        <f aca="false">COUNTIFS(Filas!$A$2:$A$648,$A268,Filas!$B$2:$B$648,$B268,Filas!$N$2:$N$648,"mejora")</f>
        <v>0</v>
      </c>
      <c r="E268" s="4" t="n">
        <f aca="false">COUNTIFS(Filas!$A$2:$A$648,$A268,Filas!$B$2:$B$648,$B268,Filas!$N$2:$N$648,"sin cambio")</f>
        <v>0</v>
      </c>
      <c r="F268" s="4" t="n">
        <f aca="false">COUNTIFS(Filas!$A$2:$A$648,$A268,Filas!$B$2:$B$648,$B268,Filas!$N$2:$N$648,"empeora")</f>
        <v>1</v>
      </c>
      <c r="G268" s="4" t="n">
        <f aca="false">COUNTIFS(Filas!$A$2:$A$648,$A268,Filas!$B$2:$B$648,$B268,Filas!$N$2:$N$648,"mixto")</f>
        <v>0</v>
      </c>
      <c r="H268" s="4" t="n">
        <f aca="false">COUNTIFS(Filas!$A$2:$A$648,$A268,Filas!$B$2:$B$648,$B268,Filas!$S$2:$S$648,"cita encontrada*")+COUNTIFS(Filas!$A$2:$A$648,$A268,Filas!$B$2:$B$648,$B268,Filas!$S$2:$S$648,"página existe*")</f>
        <v>1</v>
      </c>
      <c r="I268" s="4" t="n">
        <f aca="false">COUNTIFS(Filas!$A$2:$A$648,$A268,Filas!$B$2:$B$648,$B268,Filas!$S$2:$S$648,"cita no encontrada*")+COUNTIFS(Filas!$A$2:$A$648,$A268,Filas!$B$2:$B$648,$B268,Filas!$S$2:$S$648,"página no accesible*")</f>
        <v>0</v>
      </c>
    </row>
    <row r="269" customFormat="false" ht="15" hidden="false" customHeight="false" outlineLevel="0" collapsed="false">
      <c r="A269" s="4" t="s">
        <v>6182</v>
      </c>
      <c r="B269" s="4" t="s">
        <v>6494</v>
      </c>
      <c r="C269" s="4" t="n">
        <f aca="false">COUNTIFS(Filas!$A$2:$A$648,$A269,Filas!$B$2:$B$648,$B269)</f>
        <v>1</v>
      </c>
      <c r="D269" s="4" t="n">
        <f aca="false">COUNTIFS(Filas!$A$2:$A$648,$A269,Filas!$B$2:$B$648,$B269,Filas!$N$2:$N$648,"mejora")</f>
        <v>0</v>
      </c>
      <c r="E269" s="4" t="n">
        <f aca="false">COUNTIFS(Filas!$A$2:$A$648,$A269,Filas!$B$2:$B$648,$B269,Filas!$N$2:$N$648,"sin cambio")</f>
        <v>0</v>
      </c>
      <c r="F269" s="4" t="n">
        <f aca="false">COUNTIFS(Filas!$A$2:$A$648,$A269,Filas!$B$2:$B$648,$B269,Filas!$N$2:$N$648,"empeora")</f>
        <v>1</v>
      </c>
      <c r="G269" s="4" t="n">
        <f aca="false">COUNTIFS(Filas!$A$2:$A$648,$A269,Filas!$B$2:$B$648,$B269,Filas!$N$2:$N$648,"mixto")</f>
        <v>0</v>
      </c>
      <c r="H269" s="4" t="n">
        <f aca="false">COUNTIFS(Filas!$A$2:$A$648,$A269,Filas!$B$2:$B$648,$B269,Filas!$S$2:$S$648,"cita encontrada*")+COUNTIFS(Filas!$A$2:$A$648,$A269,Filas!$B$2:$B$648,$B269,Filas!$S$2:$S$648,"página existe*")</f>
        <v>1</v>
      </c>
      <c r="I269" s="4" t="n">
        <f aca="false">COUNTIFS(Filas!$A$2:$A$648,$A269,Filas!$B$2:$B$648,$B269,Filas!$S$2:$S$648,"cita no encontrada*")+COUNTIFS(Filas!$A$2:$A$648,$A269,Filas!$B$2:$B$648,$B269,Filas!$S$2:$S$648,"página no accesible*")</f>
        <v>0</v>
      </c>
    </row>
    <row r="270" customFormat="false" ht="15" hidden="false" customHeight="false" outlineLevel="0" collapsed="false">
      <c r="A270" s="4" t="s">
        <v>6182</v>
      </c>
      <c r="B270" s="4" t="s">
        <v>6501</v>
      </c>
      <c r="C270" s="4" t="n">
        <f aca="false">COUNTIFS(Filas!$A$2:$A$648,$A270,Filas!$B$2:$B$648,$B270)</f>
        <v>1</v>
      </c>
      <c r="D270" s="4" t="n">
        <f aca="false">COUNTIFS(Filas!$A$2:$A$648,$A270,Filas!$B$2:$B$648,$B270,Filas!$N$2:$N$648,"mejora")</f>
        <v>0</v>
      </c>
      <c r="E270" s="4" t="n">
        <f aca="false">COUNTIFS(Filas!$A$2:$A$648,$A270,Filas!$B$2:$B$648,$B270,Filas!$N$2:$N$648,"sin cambio")</f>
        <v>0</v>
      </c>
      <c r="F270" s="4" t="n">
        <f aca="false">COUNTIFS(Filas!$A$2:$A$648,$A270,Filas!$B$2:$B$648,$B270,Filas!$N$2:$N$648,"empeora")</f>
        <v>0</v>
      </c>
      <c r="G270" s="4" t="n">
        <f aca="false">COUNTIFS(Filas!$A$2:$A$648,$A270,Filas!$B$2:$B$648,$B270,Filas!$N$2:$N$648,"mixto")</f>
        <v>1</v>
      </c>
      <c r="H270" s="4" t="n">
        <f aca="false">COUNTIFS(Filas!$A$2:$A$648,$A270,Filas!$B$2:$B$648,$B270,Filas!$S$2:$S$648,"cita encontrada*")+COUNTIFS(Filas!$A$2:$A$648,$A270,Filas!$B$2:$B$648,$B270,Filas!$S$2:$S$648,"página existe*")</f>
        <v>1</v>
      </c>
      <c r="I270" s="4" t="n">
        <f aca="false">COUNTIFS(Filas!$A$2:$A$648,$A270,Filas!$B$2:$B$648,$B270,Filas!$S$2:$S$648,"cita no encontrada*")+COUNTIFS(Filas!$A$2:$A$648,$A270,Filas!$B$2:$B$648,$B270,Filas!$S$2:$S$648,"página no accesible*")</f>
        <v>0</v>
      </c>
    </row>
    <row r="271" customFormat="false" ht="15" hidden="false" customHeight="false" outlineLevel="0" collapsed="false">
      <c r="A271" s="4" t="s">
        <v>6182</v>
      </c>
      <c r="B271" s="4" t="s">
        <v>6509</v>
      </c>
      <c r="C271" s="4" t="n">
        <f aca="false">COUNTIFS(Filas!$A$2:$A$648,$A271,Filas!$B$2:$B$648,$B271)</f>
        <v>1</v>
      </c>
      <c r="D271" s="4" t="n">
        <f aca="false">COUNTIFS(Filas!$A$2:$A$648,$A271,Filas!$B$2:$B$648,$B271,Filas!$N$2:$N$648,"mejora")</f>
        <v>0</v>
      </c>
      <c r="E271" s="4" t="n">
        <f aca="false">COUNTIFS(Filas!$A$2:$A$648,$A271,Filas!$B$2:$B$648,$B271,Filas!$N$2:$N$648,"sin cambio")</f>
        <v>0</v>
      </c>
      <c r="F271" s="4" t="n">
        <f aca="false">COUNTIFS(Filas!$A$2:$A$648,$A271,Filas!$B$2:$B$648,$B271,Filas!$N$2:$N$648,"empeora")</f>
        <v>1</v>
      </c>
      <c r="G271" s="4" t="n">
        <f aca="false">COUNTIFS(Filas!$A$2:$A$648,$A271,Filas!$B$2:$B$648,$B271,Filas!$N$2:$N$648,"mixto")</f>
        <v>0</v>
      </c>
      <c r="H271" s="4" t="n">
        <f aca="false">COUNTIFS(Filas!$A$2:$A$648,$A271,Filas!$B$2:$B$648,$B271,Filas!$S$2:$S$648,"cita encontrada*")+COUNTIFS(Filas!$A$2:$A$648,$A271,Filas!$B$2:$B$648,$B271,Filas!$S$2:$S$648,"página existe*")</f>
        <v>1</v>
      </c>
      <c r="I271" s="4" t="n">
        <f aca="false">COUNTIFS(Filas!$A$2:$A$648,$A271,Filas!$B$2:$B$648,$B271,Filas!$S$2:$S$648,"cita no encontrada*")+COUNTIFS(Filas!$A$2:$A$648,$A271,Filas!$B$2:$B$648,$B271,Filas!$S$2:$S$648,"página no accesible*")</f>
        <v>0</v>
      </c>
    </row>
    <row r="272" customFormat="false" ht="15" hidden="false" customHeight="false" outlineLevel="0" collapsed="false">
      <c r="A272" s="4" t="s">
        <v>6182</v>
      </c>
      <c r="B272" s="4" t="s">
        <v>6519</v>
      </c>
      <c r="C272" s="4" t="n">
        <f aca="false">COUNTIFS(Filas!$A$2:$A$648,$A272,Filas!$B$2:$B$648,$B272)</f>
        <v>1</v>
      </c>
      <c r="D272" s="4" t="n">
        <f aca="false">COUNTIFS(Filas!$A$2:$A$648,$A272,Filas!$B$2:$B$648,$B272,Filas!$N$2:$N$648,"mejora")</f>
        <v>0</v>
      </c>
      <c r="E272" s="4" t="n">
        <f aca="false">COUNTIFS(Filas!$A$2:$A$648,$A272,Filas!$B$2:$B$648,$B272,Filas!$N$2:$N$648,"sin cambio")</f>
        <v>0</v>
      </c>
      <c r="F272" s="4" t="n">
        <f aca="false">COUNTIFS(Filas!$A$2:$A$648,$A272,Filas!$B$2:$B$648,$B272,Filas!$N$2:$N$648,"empeora")</f>
        <v>1</v>
      </c>
      <c r="G272" s="4" t="n">
        <f aca="false">COUNTIFS(Filas!$A$2:$A$648,$A272,Filas!$B$2:$B$648,$B272,Filas!$N$2:$N$648,"mixto")</f>
        <v>0</v>
      </c>
      <c r="H272" s="4" t="n">
        <f aca="false">COUNTIFS(Filas!$A$2:$A$648,$A272,Filas!$B$2:$B$648,$B272,Filas!$S$2:$S$648,"cita encontrada*")+COUNTIFS(Filas!$A$2:$A$648,$A272,Filas!$B$2:$B$648,$B272,Filas!$S$2:$S$648,"página existe*")</f>
        <v>1</v>
      </c>
      <c r="I272" s="4" t="n">
        <f aca="false">COUNTIFS(Filas!$A$2:$A$648,$A272,Filas!$B$2:$B$648,$B272,Filas!$S$2:$S$648,"cita no encontrada*")+COUNTIFS(Filas!$A$2:$A$648,$A272,Filas!$B$2:$B$648,$B272,Filas!$S$2:$S$648,"página no accesible*")</f>
        <v>0</v>
      </c>
    </row>
    <row r="273" customFormat="false" ht="15" hidden="false" customHeight="false" outlineLevel="0" collapsed="false">
      <c r="A273" s="4" t="s">
        <v>6182</v>
      </c>
      <c r="B273" s="4" t="s">
        <v>6529</v>
      </c>
      <c r="C273" s="4" t="n">
        <f aca="false">COUNTIFS(Filas!$A$2:$A$648,$A273,Filas!$B$2:$B$648,$B273)</f>
        <v>4</v>
      </c>
      <c r="D273" s="4" t="n">
        <f aca="false">COUNTIFS(Filas!$A$2:$A$648,$A273,Filas!$B$2:$B$648,$B273,Filas!$N$2:$N$648,"mejora")</f>
        <v>2</v>
      </c>
      <c r="E273" s="4" t="n">
        <f aca="false">COUNTIFS(Filas!$A$2:$A$648,$A273,Filas!$B$2:$B$648,$B273,Filas!$N$2:$N$648,"sin cambio")</f>
        <v>0</v>
      </c>
      <c r="F273" s="4" t="n">
        <f aca="false">COUNTIFS(Filas!$A$2:$A$648,$A273,Filas!$B$2:$B$648,$B273,Filas!$N$2:$N$648,"empeora")</f>
        <v>0</v>
      </c>
      <c r="G273" s="4" t="n">
        <f aca="false">COUNTIFS(Filas!$A$2:$A$648,$A273,Filas!$B$2:$B$648,$B273,Filas!$N$2:$N$648,"mixto")</f>
        <v>0</v>
      </c>
      <c r="H273" s="4" t="n">
        <f aca="false">COUNTIFS(Filas!$A$2:$A$648,$A273,Filas!$B$2:$B$648,$B273,Filas!$S$2:$S$648,"cita encontrada*")+COUNTIFS(Filas!$A$2:$A$648,$A273,Filas!$B$2:$B$648,$B273,Filas!$S$2:$S$648,"página existe*")</f>
        <v>4</v>
      </c>
      <c r="I273" s="4" t="n">
        <f aca="false">COUNTIFS(Filas!$A$2:$A$648,$A273,Filas!$B$2:$B$648,$B273,Filas!$S$2:$S$648,"cita no encontrada*")+COUNTIFS(Filas!$A$2:$A$648,$A273,Filas!$B$2:$B$648,$B273,Filas!$S$2:$S$648,"página no accesible*")</f>
        <v>0</v>
      </c>
    </row>
    <row r="274" customFormat="false" ht="15" hidden="false" customHeight="false" outlineLevel="0" collapsed="false">
      <c r="A274" s="4" t="s">
        <v>6182</v>
      </c>
      <c r="B274" s="4" t="s">
        <v>6564</v>
      </c>
      <c r="C274" s="4" t="n">
        <f aca="false">COUNTIFS(Filas!$A$2:$A$648,$A274,Filas!$B$2:$B$648,$B274)</f>
        <v>1</v>
      </c>
      <c r="D274" s="4" t="n">
        <f aca="false">COUNTIFS(Filas!$A$2:$A$648,$A274,Filas!$B$2:$B$648,$B274,Filas!$N$2:$N$648,"mejora")</f>
        <v>0</v>
      </c>
      <c r="E274" s="4" t="n">
        <f aca="false">COUNTIFS(Filas!$A$2:$A$648,$A274,Filas!$B$2:$B$648,$B274,Filas!$N$2:$N$648,"sin cambio")</f>
        <v>0</v>
      </c>
      <c r="F274" s="4" t="n">
        <f aca="false">COUNTIFS(Filas!$A$2:$A$648,$A274,Filas!$B$2:$B$648,$B274,Filas!$N$2:$N$648,"empeora")</f>
        <v>0</v>
      </c>
      <c r="G274" s="4" t="n">
        <f aca="false">COUNTIFS(Filas!$A$2:$A$648,$A274,Filas!$B$2:$B$648,$B274,Filas!$N$2:$N$648,"mixto")</f>
        <v>1</v>
      </c>
      <c r="H274" s="4" t="n">
        <f aca="false">COUNTIFS(Filas!$A$2:$A$648,$A274,Filas!$B$2:$B$648,$B274,Filas!$S$2:$S$648,"cita encontrada*")+COUNTIFS(Filas!$A$2:$A$648,$A274,Filas!$B$2:$B$648,$B274,Filas!$S$2:$S$648,"página existe*")</f>
        <v>1</v>
      </c>
      <c r="I274" s="4" t="n">
        <f aca="false">COUNTIFS(Filas!$A$2:$A$648,$A274,Filas!$B$2:$B$648,$B274,Filas!$S$2:$S$648,"cita no encontrada*")+COUNTIFS(Filas!$A$2:$A$648,$A274,Filas!$B$2:$B$648,$B274,Filas!$S$2:$S$648,"página no accesible*")</f>
        <v>0</v>
      </c>
    </row>
    <row r="275" customFormat="false" ht="15" hidden="false" customHeight="false" outlineLevel="0" collapsed="false">
      <c r="A275" s="4" t="s">
        <v>6182</v>
      </c>
      <c r="B275" s="4" t="s">
        <v>6577</v>
      </c>
      <c r="C275" s="4" t="n">
        <f aca="false">COUNTIFS(Filas!$A$2:$A$648,$A275,Filas!$B$2:$B$648,$B275)</f>
        <v>1</v>
      </c>
      <c r="D275" s="4" t="n">
        <f aca="false">COUNTIFS(Filas!$A$2:$A$648,$A275,Filas!$B$2:$B$648,$B275,Filas!$N$2:$N$648,"mejora")</f>
        <v>0</v>
      </c>
      <c r="E275" s="4" t="n">
        <f aca="false">COUNTIFS(Filas!$A$2:$A$648,$A275,Filas!$B$2:$B$648,$B275,Filas!$N$2:$N$648,"sin cambio")</f>
        <v>0</v>
      </c>
      <c r="F275" s="4" t="n">
        <f aca="false">COUNTIFS(Filas!$A$2:$A$648,$A275,Filas!$B$2:$B$648,$B275,Filas!$N$2:$N$648,"empeora")</f>
        <v>0</v>
      </c>
      <c r="G275" s="4" t="n">
        <f aca="false">COUNTIFS(Filas!$A$2:$A$648,$A275,Filas!$B$2:$B$648,$B275,Filas!$N$2:$N$648,"mixto")</f>
        <v>0</v>
      </c>
      <c r="H275" s="4" t="n">
        <f aca="false">COUNTIFS(Filas!$A$2:$A$648,$A275,Filas!$B$2:$B$648,$B275,Filas!$S$2:$S$648,"cita encontrada*")+COUNTIFS(Filas!$A$2:$A$648,$A275,Filas!$B$2:$B$648,$B275,Filas!$S$2:$S$648,"página existe*")</f>
        <v>1</v>
      </c>
      <c r="I275" s="4" t="n">
        <f aca="false">COUNTIFS(Filas!$A$2:$A$648,$A275,Filas!$B$2:$B$648,$B275,Filas!$S$2:$S$648,"cita no encontrada*")+COUNTIFS(Filas!$A$2:$A$648,$A275,Filas!$B$2:$B$648,$B275,Filas!$S$2:$S$648,"página no accesible*")</f>
        <v>0</v>
      </c>
    </row>
    <row r="276" customFormat="false" ht="15" hidden="false" customHeight="false" outlineLevel="0" collapsed="false">
      <c r="A276" s="4" t="s">
        <v>6182</v>
      </c>
      <c r="B276" s="4" t="s">
        <v>6601</v>
      </c>
      <c r="C276" s="4" t="n">
        <f aca="false">COUNTIFS(Filas!$A$2:$A$648,$A276,Filas!$B$2:$B$648,$B276)</f>
        <v>1</v>
      </c>
      <c r="D276" s="4" t="n">
        <f aca="false">COUNTIFS(Filas!$A$2:$A$648,$A276,Filas!$B$2:$B$648,$B276,Filas!$N$2:$N$648,"mejora")</f>
        <v>0</v>
      </c>
      <c r="E276" s="4" t="n">
        <f aca="false">COUNTIFS(Filas!$A$2:$A$648,$A276,Filas!$B$2:$B$648,$B276,Filas!$N$2:$N$648,"sin cambio")</f>
        <v>0</v>
      </c>
      <c r="F276" s="4" t="n">
        <f aca="false">COUNTIFS(Filas!$A$2:$A$648,$A276,Filas!$B$2:$B$648,$B276,Filas!$N$2:$N$648,"empeora")</f>
        <v>0</v>
      </c>
      <c r="G276" s="4" t="n">
        <f aca="false">COUNTIFS(Filas!$A$2:$A$648,$A276,Filas!$B$2:$B$648,$B276,Filas!$N$2:$N$648,"mixto")</f>
        <v>1</v>
      </c>
      <c r="H276" s="4" t="n">
        <f aca="false">COUNTIFS(Filas!$A$2:$A$648,$A276,Filas!$B$2:$B$648,$B276,Filas!$S$2:$S$648,"cita encontrada*")+COUNTIFS(Filas!$A$2:$A$648,$A276,Filas!$B$2:$B$648,$B276,Filas!$S$2:$S$648,"página existe*")</f>
        <v>1</v>
      </c>
      <c r="I276" s="4" t="n">
        <f aca="false">COUNTIFS(Filas!$A$2:$A$648,$A276,Filas!$B$2:$B$648,$B276,Filas!$S$2:$S$648,"cita no encontrada*")+COUNTIFS(Filas!$A$2:$A$648,$A276,Filas!$B$2:$B$648,$B276,Filas!$S$2:$S$648,"página no accesible*")</f>
        <v>0</v>
      </c>
    </row>
    <row r="277" customFormat="false" ht="15" hidden="false" customHeight="false" outlineLevel="0" collapsed="false">
      <c r="A277" s="4" t="s">
        <v>6182</v>
      </c>
      <c r="B277" s="4" t="s">
        <v>6614</v>
      </c>
      <c r="C277" s="4" t="n">
        <f aca="false">COUNTIFS(Filas!$A$2:$A$648,$A277,Filas!$B$2:$B$648,$B277)</f>
        <v>1</v>
      </c>
      <c r="D277" s="4" t="n">
        <f aca="false">COUNTIFS(Filas!$A$2:$A$648,$A277,Filas!$B$2:$B$648,$B277,Filas!$N$2:$N$648,"mejora")</f>
        <v>0</v>
      </c>
      <c r="E277" s="4" t="n">
        <f aca="false">COUNTIFS(Filas!$A$2:$A$648,$A277,Filas!$B$2:$B$648,$B277,Filas!$N$2:$N$648,"sin cambio")</f>
        <v>1</v>
      </c>
      <c r="F277" s="4" t="n">
        <f aca="false">COUNTIFS(Filas!$A$2:$A$648,$A277,Filas!$B$2:$B$648,$B277,Filas!$N$2:$N$648,"empeora")</f>
        <v>0</v>
      </c>
      <c r="G277" s="4" t="n">
        <f aca="false">COUNTIFS(Filas!$A$2:$A$648,$A277,Filas!$B$2:$B$648,$B277,Filas!$N$2:$N$648,"mixto")</f>
        <v>0</v>
      </c>
      <c r="H277" s="4" t="n">
        <f aca="false">COUNTIFS(Filas!$A$2:$A$648,$A277,Filas!$B$2:$B$648,$B277,Filas!$S$2:$S$648,"cita encontrada*")+COUNTIFS(Filas!$A$2:$A$648,$A277,Filas!$B$2:$B$648,$B277,Filas!$S$2:$S$648,"página existe*")</f>
        <v>1</v>
      </c>
      <c r="I277" s="4" t="n">
        <f aca="false">COUNTIFS(Filas!$A$2:$A$648,$A277,Filas!$B$2:$B$648,$B277,Filas!$S$2:$S$648,"cita no encontrada*")+COUNTIFS(Filas!$A$2:$A$648,$A277,Filas!$B$2:$B$648,$B277,Filas!$S$2:$S$648,"página no accesible*")</f>
        <v>0</v>
      </c>
    </row>
    <row r="278" customFormat="false" ht="15" hidden="false" customHeight="false" outlineLevel="0" collapsed="false">
      <c r="A278" s="4" t="s">
        <v>6182</v>
      </c>
      <c r="B278" s="4" t="s">
        <v>6626</v>
      </c>
      <c r="C278" s="4" t="n">
        <f aca="false">COUNTIFS(Filas!$A$2:$A$648,$A278,Filas!$B$2:$B$648,$B278)</f>
        <v>1</v>
      </c>
      <c r="D278" s="4" t="n">
        <f aca="false">COUNTIFS(Filas!$A$2:$A$648,$A278,Filas!$B$2:$B$648,$B278,Filas!$N$2:$N$648,"mejora")</f>
        <v>0</v>
      </c>
      <c r="E278" s="4" t="n">
        <f aca="false">COUNTIFS(Filas!$A$2:$A$648,$A278,Filas!$B$2:$B$648,$B278,Filas!$N$2:$N$648,"sin cambio")</f>
        <v>0</v>
      </c>
      <c r="F278" s="4" t="n">
        <f aca="false">COUNTIFS(Filas!$A$2:$A$648,$A278,Filas!$B$2:$B$648,$B278,Filas!$N$2:$N$648,"empeora")</f>
        <v>0</v>
      </c>
      <c r="G278" s="4" t="n">
        <f aca="false">COUNTIFS(Filas!$A$2:$A$648,$A278,Filas!$B$2:$B$648,$B278,Filas!$N$2:$N$648,"mixto")</f>
        <v>1</v>
      </c>
      <c r="H278" s="4" t="n">
        <f aca="false">COUNTIFS(Filas!$A$2:$A$648,$A278,Filas!$B$2:$B$648,$B278,Filas!$S$2:$S$648,"cita encontrada*")+COUNTIFS(Filas!$A$2:$A$648,$A278,Filas!$B$2:$B$648,$B278,Filas!$S$2:$S$648,"página existe*")</f>
        <v>1</v>
      </c>
      <c r="I278" s="4" t="n">
        <f aca="false">COUNTIFS(Filas!$A$2:$A$648,$A278,Filas!$B$2:$B$648,$B278,Filas!$S$2:$S$648,"cita no encontrada*")+COUNTIFS(Filas!$A$2:$A$648,$A278,Filas!$B$2:$B$648,$B278,Filas!$S$2:$S$648,"página no accesible*")</f>
        <v>0</v>
      </c>
    </row>
    <row r="279" customFormat="false" ht="15" hidden="false" customHeight="false" outlineLevel="0" collapsed="false">
      <c r="A279" s="4" t="s">
        <v>6182</v>
      </c>
      <c r="B279" s="4" t="s">
        <v>6639</v>
      </c>
      <c r="C279" s="4" t="n">
        <f aca="false">COUNTIFS(Filas!$A$2:$A$648,$A279,Filas!$B$2:$B$648,$B279)</f>
        <v>1</v>
      </c>
      <c r="D279" s="4" t="n">
        <f aca="false">COUNTIFS(Filas!$A$2:$A$648,$A279,Filas!$B$2:$B$648,$B279,Filas!$N$2:$N$648,"mejora")</f>
        <v>0</v>
      </c>
      <c r="E279" s="4" t="n">
        <f aca="false">COUNTIFS(Filas!$A$2:$A$648,$A279,Filas!$B$2:$B$648,$B279,Filas!$N$2:$N$648,"sin cambio")</f>
        <v>1</v>
      </c>
      <c r="F279" s="4" t="n">
        <f aca="false">COUNTIFS(Filas!$A$2:$A$648,$A279,Filas!$B$2:$B$648,$B279,Filas!$N$2:$N$648,"empeora")</f>
        <v>0</v>
      </c>
      <c r="G279" s="4" t="n">
        <f aca="false">COUNTIFS(Filas!$A$2:$A$648,$A279,Filas!$B$2:$B$648,$B279,Filas!$N$2:$N$648,"mixto")</f>
        <v>0</v>
      </c>
      <c r="H279" s="4" t="n">
        <f aca="false">COUNTIFS(Filas!$A$2:$A$648,$A279,Filas!$B$2:$B$648,$B279,Filas!$S$2:$S$648,"cita encontrada*")+COUNTIFS(Filas!$A$2:$A$648,$A279,Filas!$B$2:$B$648,$B279,Filas!$S$2:$S$648,"página existe*")</f>
        <v>1</v>
      </c>
      <c r="I279" s="4" t="n">
        <f aca="false">COUNTIFS(Filas!$A$2:$A$648,$A279,Filas!$B$2:$B$648,$B279,Filas!$S$2:$S$648,"cita no encontrada*")+COUNTIFS(Filas!$A$2:$A$648,$A279,Filas!$B$2:$B$648,$B279,Filas!$S$2:$S$648,"página no accesible*")</f>
        <v>0</v>
      </c>
    </row>
    <row r="280" customFormat="false" ht="15" hidden="false" customHeight="false" outlineLevel="0" collapsed="false">
      <c r="A280" s="4" t="s">
        <v>6182</v>
      </c>
      <c r="B280" s="4" t="s">
        <v>6647</v>
      </c>
      <c r="C280" s="4" t="n">
        <f aca="false">COUNTIFS(Filas!$A$2:$A$648,$A280,Filas!$B$2:$B$648,$B280)</f>
        <v>1</v>
      </c>
      <c r="D280" s="4" t="n">
        <f aca="false">COUNTIFS(Filas!$A$2:$A$648,$A280,Filas!$B$2:$B$648,$B280,Filas!$N$2:$N$648,"mejora")</f>
        <v>1</v>
      </c>
      <c r="E280" s="4" t="n">
        <f aca="false">COUNTIFS(Filas!$A$2:$A$648,$A280,Filas!$B$2:$B$648,$B280,Filas!$N$2:$N$648,"sin cambio")</f>
        <v>0</v>
      </c>
      <c r="F280" s="4" t="n">
        <f aca="false">COUNTIFS(Filas!$A$2:$A$648,$A280,Filas!$B$2:$B$648,$B280,Filas!$N$2:$N$648,"empeora")</f>
        <v>0</v>
      </c>
      <c r="G280" s="4" t="n">
        <f aca="false">COUNTIFS(Filas!$A$2:$A$648,$A280,Filas!$B$2:$B$648,$B280,Filas!$N$2:$N$648,"mixto")</f>
        <v>0</v>
      </c>
      <c r="H280" s="4" t="n">
        <f aca="false">COUNTIFS(Filas!$A$2:$A$648,$A280,Filas!$B$2:$B$648,$B280,Filas!$S$2:$S$648,"cita encontrada*")+COUNTIFS(Filas!$A$2:$A$648,$A280,Filas!$B$2:$B$648,$B280,Filas!$S$2:$S$648,"página existe*")</f>
        <v>1</v>
      </c>
      <c r="I280" s="4" t="n">
        <f aca="false">COUNTIFS(Filas!$A$2:$A$648,$A280,Filas!$B$2:$B$648,$B280,Filas!$S$2:$S$648,"cita no encontrada*")+COUNTIFS(Filas!$A$2:$A$648,$A280,Filas!$B$2:$B$648,$B280,Filas!$S$2:$S$648,"página no accesible*")</f>
        <v>0</v>
      </c>
    </row>
    <row r="281" customFormat="false" ht="15" hidden="false" customHeight="false" outlineLevel="0" collapsed="false">
      <c r="A281" s="4" t="s">
        <v>6182</v>
      </c>
      <c r="B281" s="4" t="s">
        <v>6657</v>
      </c>
      <c r="C281" s="4" t="n">
        <f aca="false">COUNTIFS(Filas!$A$2:$A$648,$A281,Filas!$B$2:$B$648,$B281)</f>
        <v>1</v>
      </c>
      <c r="D281" s="4" t="n">
        <f aca="false">COUNTIFS(Filas!$A$2:$A$648,$A281,Filas!$B$2:$B$648,$B281,Filas!$N$2:$N$648,"mejora")</f>
        <v>1</v>
      </c>
      <c r="E281" s="4" t="n">
        <f aca="false">COUNTIFS(Filas!$A$2:$A$648,$A281,Filas!$B$2:$B$648,$B281,Filas!$N$2:$N$648,"sin cambio")</f>
        <v>0</v>
      </c>
      <c r="F281" s="4" t="n">
        <f aca="false">COUNTIFS(Filas!$A$2:$A$648,$A281,Filas!$B$2:$B$648,$B281,Filas!$N$2:$N$648,"empeora")</f>
        <v>0</v>
      </c>
      <c r="G281" s="4" t="n">
        <f aca="false">COUNTIFS(Filas!$A$2:$A$648,$A281,Filas!$B$2:$B$648,$B281,Filas!$N$2:$N$648,"mixto")</f>
        <v>0</v>
      </c>
      <c r="H281" s="4" t="n">
        <f aca="false">COUNTIFS(Filas!$A$2:$A$648,$A281,Filas!$B$2:$B$648,$B281,Filas!$S$2:$S$648,"cita encontrada*")+COUNTIFS(Filas!$A$2:$A$648,$A281,Filas!$B$2:$B$648,$B281,Filas!$S$2:$S$648,"página existe*")</f>
        <v>1</v>
      </c>
      <c r="I281" s="4" t="n">
        <f aca="false">COUNTIFS(Filas!$A$2:$A$648,$A281,Filas!$B$2:$B$648,$B281,Filas!$S$2:$S$648,"cita no encontrada*")+COUNTIFS(Filas!$A$2:$A$648,$A281,Filas!$B$2:$B$648,$B281,Filas!$S$2:$S$648,"página no accesible*")</f>
        <v>0</v>
      </c>
    </row>
    <row r="282" customFormat="false" ht="15" hidden="false" customHeight="false" outlineLevel="0" collapsed="false">
      <c r="A282" s="4" t="s">
        <v>6676</v>
      </c>
      <c r="B282" s="4" t="s">
        <v>6677</v>
      </c>
      <c r="C282" s="4" t="n">
        <f aca="false">COUNTIFS(Filas!$A$2:$A$648,$A282,Filas!$B$2:$B$648,$B282)</f>
        <v>3</v>
      </c>
      <c r="D282" s="4" t="n">
        <f aca="false">COUNTIFS(Filas!$A$2:$A$648,$A282,Filas!$B$2:$B$648,$B282,Filas!$N$2:$N$648,"mejora")</f>
        <v>2</v>
      </c>
      <c r="E282" s="4" t="n">
        <f aca="false">COUNTIFS(Filas!$A$2:$A$648,$A282,Filas!$B$2:$B$648,$B282,Filas!$N$2:$N$648,"sin cambio")</f>
        <v>1</v>
      </c>
      <c r="F282" s="4" t="n">
        <f aca="false">COUNTIFS(Filas!$A$2:$A$648,$A282,Filas!$B$2:$B$648,$B282,Filas!$N$2:$N$648,"empeora")</f>
        <v>0</v>
      </c>
      <c r="G282" s="4" t="n">
        <f aca="false">COUNTIFS(Filas!$A$2:$A$648,$A282,Filas!$B$2:$B$648,$B282,Filas!$N$2:$N$648,"mixto")</f>
        <v>0</v>
      </c>
      <c r="H282" s="4" t="n">
        <f aca="false">COUNTIFS(Filas!$A$2:$A$648,$A282,Filas!$B$2:$B$648,$B282,Filas!$S$2:$S$648,"cita encontrada*")+COUNTIFS(Filas!$A$2:$A$648,$A282,Filas!$B$2:$B$648,$B282,Filas!$S$2:$S$648,"página existe*")</f>
        <v>3</v>
      </c>
      <c r="I282" s="4" t="n">
        <f aca="false">COUNTIFS(Filas!$A$2:$A$648,$A282,Filas!$B$2:$B$648,$B282,Filas!$S$2:$S$648,"cita no encontrada*")+COUNTIFS(Filas!$A$2:$A$648,$A282,Filas!$B$2:$B$648,$B282,Filas!$S$2:$S$648,"página no accesible*")</f>
        <v>0</v>
      </c>
    </row>
    <row r="283" customFormat="false" ht="15" hidden="false" customHeight="false" outlineLevel="0" collapsed="false">
      <c r="A283" s="4" t="s">
        <v>6676</v>
      </c>
      <c r="B283" s="4" t="s">
        <v>6718</v>
      </c>
      <c r="C283" s="4" t="n">
        <f aca="false">COUNTIFS(Filas!$A$2:$A$648,$A283,Filas!$B$2:$B$648,$B283)</f>
        <v>1</v>
      </c>
      <c r="D283" s="4" t="n">
        <f aca="false">COUNTIFS(Filas!$A$2:$A$648,$A283,Filas!$B$2:$B$648,$B283,Filas!$N$2:$N$648,"mejora")</f>
        <v>1</v>
      </c>
      <c r="E283" s="4" t="n">
        <f aca="false">COUNTIFS(Filas!$A$2:$A$648,$A283,Filas!$B$2:$B$648,$B283,Filas!$N$2:$N$648,"sin cambio")</f>
        <v>0</v>
      </c>
      <c r="F283" s="4" t="n">
        <f aca="false">COUNTIFS(Filas!$A$2:$A$648,$A283,Filas!$B$2:$B$648,$B283,Filas!$N$2:$N$648,"empeora")</f>
        <v>0</v>
      </c>
      <c r="G283" s="4" t="n">
        <f aca="false">COUNTIFS(Filas!$A$2:$A$648,$A283,Filas!$B$2:$B$648,$B283,Filas!$N$2:$N$648,"mixto")</f>
        <v>0</v>
      </c>
      <c r="H283" s="4" t="n">
        <f aca="false">COUNTIFS(Filas!$A$2:$A$648,$A283,Filas!$B$2:$B$648,$B283,Filas!$S$2:$S$648,"cita encontrada*")+COUNTIFS(Filas!$A$2:$A$648,$A283,Filas!$B$2:$B$648,$B283,Filas!$S$2:$S$648,"página existe*")</f>
        <v>1</v>
      </c>
      <c r="I283" s="4" t="n">
        <f aca="false">COUNTIFS(Filas!$A$2:$A$648,$A283,Filas!$B$2:$B$648,$B283,Filas!$S$2:$S$648,"cita no encontrada*")+COUNTIFS(Filas!$A$2:$A$648,$A283,Filas!$B$2:$B$648,$B283,Filas!$S$2:$S$648,"página no accesible*")</f>
        <v>0</v>
      </c>
    </row>
    <row r="284" customFormat="false" ht="15" hidden="false" customHeight="false" outlineLevel="0" collapsed="false">
      <c r="A284" s="4" t="s">
        <v>6676</v>
      </c>
      <c r="B284" s="4" t="s">
        <v>6733</v>
      </c>
      <c r="C284" s="4" t="n">
        <f aca="false">COUNTIFS(Filas!$A$2:$A$648,$A284,Filas!$B$2:$B$648,$B284)</f>
        <v>1</v>
      </c>
      <c r="D284" s="4" t="n">
        <f aca="false">COUNTIFS(Filas!$A$2:$A$648,$A284,Filas!$B$2:$B$648,$B284,Filas!$N$2:$N$648,"mejora")</f>
        <v>1</v>
      </c>
      <c r="E284" s="4" t="n">
        <f aca="false">COUNTIFS(Filas!$A$2:$A$648,$A284,Filas!$B$2:$B$648,$B284,Filas!$N$2:$N$648,"sin cambio")</f>
        <v>0</v>
      </c>
      <c r="F284" s="4" t="n">
        <f aca="false">COUNTIFS(Filas!$A$2:$A$648,$A284,Filas!$B$2:$B$648,$B284,Filas!$N$2:$N$648,"empeora")</f>
        <v>0</v>
      </c>
      <c r="G284" s="4" t="n">
        <f aca="false">COUNTIFS(Filas!$A$2:$A$648,$A284,Filas!$B$2:$B$648,$B284,Filas!$N$2:$N$648,"mixto")</f>
        <v>0</v>
      </c>
      <c r="H284" s="4" t="n">
        <f aca="false">COUNTIFS(Filas!$A$2:$A$648,$A284,Filas!$B$2:$B$648,$B284,Filas!$S$2:$S$648,"cita encontrada*")+COUNTIFS(Filas!$A$2:$A$648,$A284,Filas!$B$2:$B$648,$B284,Filas!$S$2:$S$648,"página existe*")</f>
        <v>1</v>
      </c>
      <c r="I284" s="4" t="n">
        <f aca="false">COUNTIFS(Filas!$A$2:$A$648,$A284,Filas!$B$2:$B$648,$B284,Filas!$S$2:$S$648,"cita no encontrada*")+COUNTIFS(Filas!$A$2:$A$648,$A284,Filas!$B$2:$B$648,$B284,Filas!$S$2:$S$648,"página no accesible*")</f>
        <v>0</v>
      </c>
    </row>
    <row r="285" customFormat="false" ht="15" hidden="false" customHeight="false" outlineLevel="0" collapsed="false">
      <c r="A285" s="4" t="s">
        <v>6676</v>
      </c>
      <c r="B285" s="4" t="s">
        <v>6748</v>
      </c>
      <c r="C285" s="4" t="n">
        <f aca="false">COUNTIFS(Filas!$A$2:$A$648,$A285,Filas!$B$2:$B$648,$B285)</f>
        <v>1</v>
      </c>
      <c r="D285" s="4" t="n">
        <f aca="false">COUNTIFS(Filas!$A$2:$A$648,$A285,Filas!$B$2:$B$648,$B285,Filas!$N$2:$N$648,"mejora")</f>
        <v>0</v>
      </c>
      <c r="E285" s="4" t="n">
        <f aca="false">COUNTIFS(Filas!$A$2:$A$648,$A285,Filas!$B$2:$B$648,$B285,Filas!$N$2:$N$648,"sin cambio")</f>
        <v>0</v>
      </c>
      <c r="F285" s="4" t="n">
        <f aca="false">COUNTIFS(Filas!$A$2:$A$648,$A285,Filas!$B$2:$B$648,$B285,Filas!$N$2:$N$648,"empeora")</f>
        <v>0</v>
      </c>
      <c r="G285" s="4" t="n">
        <f aca="false">COUNTIFS(Filas!$A$2:$A$648,$A285,Filas!$B$2:$B$648,$B285,Filas!$N$2:$N$648,"mixto")</f>
        <v>1</v>
      </c>
      <c r="H285" s="4" t="n">
        <f aca="false">COUNTIFS(Filas!$A$2:$A$648,$A285,Filas!$B$2:$B$648,$B285,Filas!$S$2:$S$648,"cita encontrada*")+COUNTIFS(Filas!$A$2:$A$648,$A285,Filas!$B$2:$B$648,$B285,Filas!$S$2:$S$648,"página existe*")</f>
        <v>1</v>
      </c>
      <c r="I285" s="4" t="n">
        <f aca="false">COUNTIFS(Filas!$A$2:$A$648,$A285,Filas!$B$2:$B$648,$B285,Filas!$S$2:$S$648,"cita no encontrada*")+COUNTIFS(Filas!$A$2:$A$648,$A285,Filas!$B$2:$B$648,$B285,Filas!$S$2:$S$648,"página no accesible*")</f>
        <v>0</v>
      </c>
    </row>
    <row r="286" customFormat="false" ht="15" hidden="false" customHeight="false" outlineLevel="0" collapsed="false">
      <c r="A286" s="4" t="s">
        <v>6676</v>
      </c>
      <c r="B286" s="4" t="s">
        <v>6762</v>
      </c>
      <c r="C286" s="4" t="n">
        <f aca="false">COUNTIFS(Filas!$A$2:$A$648,$A286,Filas!$B$2:$B$648,$B286)</f>
        <v>1</v>
      </c>
      <c r="D286" s="4" t="n">
        <f aca="false">COUNTIFS(Filas!$A$2:$A$648,$A286,Filas!$B$2:$B$648,$B286,Filas!$N$2:$N$648,"mejora")</f>
        <v>1</v>
      </c>
      <c r="E286" s="4" t="n">
        <f aca="false">COUNTIFS(Filas!$A$2:$A$648,$A286,Filas!$B$2:$B$648,$B286,Filas!$N$2:$N$648,"sin cambio")</f>
        <v>0</v>
      </c>
      <c r="F286" s="4" t="n">
        <f aca="false">COUNTIFS(Filas!$A$2:$A$648,$A286,Filas!$B$2:$B$648,$B286,Filas!$N$2:$N$648,"empeora")</f>
        <v>0</v>
      </c>
      <c r="G286" s="4" t="n">
        <f aca="false">COUNTIFS(Filas!$A$2:$A$648,$A286,Filas!$B$2:$B$648,$B286,Filas!$N$2:$N$648,"mixto")</f>
        <v>0</v>
      </c>
      <c r="H286" s="4" t="n">
        <f aca="false">COUNTIFS(Filas!$A$2:$A$648,$A286,Filas!$B$2:$B$648,$B286,Filas!$S$2:$S$648,"cita encontrada*")+COUNTIFS(Filas!$A$2:$A$648,$A286,Filas!$B$2:$B$648,$B286,Filas!$S$2:$S$648,"página existe*")</f>
        <v>1</v>
      </c>
      <c r="I286" s="4" t="n">
        <f aca="false">COUNTIFS(Filas!$A$2:$A$648,$A286,Filas!$B$2:$B$648,$B286,Filas!$S$2:$S$648,"cita no encontrada*")+COUNTIFS(Filas!$A$2:$A$648,$A286,Filas!$B$2:$B$648,$B286,Filas!$S$2:$S$648,"página no accesible*")</f>
        <v>0</v>
      </c>
    </row>
    <row r="287" customFormat="false" ht="15" hidden="false" customHeight="false" outlineLevel="0" collapsed="false">
      <c r="A287" s="4" t="s">
        <v>6676</v>
      </c>
      <c r="B287" s="4" t="s">
        <v>6772</v>
      </c>
      <c r="C287" s="4" t="n">
        <f aca="false">COUNTIFS(Filas!$A$2:$A$648,$A287,Filas!$B$2:$B$648,$B287)</f>
        <v>1</v>
      </c>
      <c r="D287" s="4" t="n">
        <f aca="false">COUNTIFS(Filas!$A$2:$A$648,$A287,Filas!$B$2:$B$648,$B287,Filas!$N$2:$N$648,"mejora")</f>
        <v>1</v>
      </c>
      <c r="E287" s="4" t="n">
        <f aca="false">COUNTIFS(Filas!$A$2:$A$648,$A287,Filas!$B$2:$B$648,$B287,Filas!$N$2:$N$648,"sin cambio")</f>
        <v>0</v>
      </c>
      <c r="F287" s="4" t="n">
        <f aca="false">COUNTIFS(Filas!$A$2:$A$648,$A287,Filas!$B$2:$B$648,$B287,Filas!$N$2:$N$648,"empeora")</f>
        <v>0</v>
      </c>
      <c r="G287" s="4" t="n">
        <f aca="false">COUNTIFS(Filas!$A$2:$A$648,$A287,Filas!$B$2:$B$648,$B287,Filas!$N$2:$N$648,"mixto")</f>
        <v>0</v>
      </c>
      <c r="H287" s="4" t="n">
        <f aca="false">COUNTIFS(Filas!$A$2:$A$648,$A287,Filas!$B$2:$B$648,$B287,Filas!$S$2:$S$648,"cita encontrada*")+COUNTIFS(Filas!$A$2:$A$648,$A287,Filas!$B$2:$B$648,$B287,Filas!$S$2:$S$648,"página existe*")</f>
        <v>1</v>
      </c>
      <c r="I287" s="4" t="n">
        <f aca="false">COUNTIFS(Filas!$A$2:$A$648,$A287,Filas!$B$2:$B$648,$B287,Filas!$S$2:$S$648,"cita no encontrada*")+COUNTIFS(Filas!$A$2:$A$648,$A287,Filas!$B$2:$B$648,$B287,Filas!$S$2:$S$648,"página no accesible*")</f>
        <v>0</v>
      </c>
    </row>
    <row r="288" customFormat="false" ht="15" hidden="false" customHeight="false" outlineLevel="0" collapsed="false">
      <c r="A288" s="4" t="s">
        <v>6676</v>
      </c>
      <c r="B288" s="4" t="s">
        <v>2379</v>
      </c>
      <c r="C288" s="4" t="n">
        <f aca="false">COUNTIFS(Filas!$A$2:$A$648,$A288,Filas!$B$2:$B$648,$B288)</f>
        <v>5</v>
      </c>
      <c r="D288" s="4" t="n">
        <f aca="false">COUNTIFS(Filas!$A$2:$A$648,$A288,Filas!$B$2:$B$648,$B288,Filas!$N$2:$N$648,"mejora")</f>
        <v>3</v>
      </c>
      <c r="E288" s="4" t="n">
        <f aca="false">COUNTIFS(Filas!$A$2:$A$648,$A288,Filas!$B$2:$B$648,$B288,Filas!$N$2:$N$648,"sin cambio")</f>
        <v>0</v>
      </c>
      <c r="F288" s="4" t="n">
        <f aca="false">COUNTIFS(Filas!$A$2:$A$648,$A288,Filas!$B$2:$B$648,$B288,Filas!$N$2:$N$648,"empeora")</f>
        <v>0</v>
      </c>
      <c r="G288" s="4" t="n">
        <f aca="false">COUNTIFS(Filas!$A$2:$A$648,$A288,Filas!$B$2:$B$648,$B288,Filas!$N$2:$N$648,"mixto")</f>
        <v>1</v>
      </c>
      <c r="H288" s="4" t="n">
        <f aca="false">COUNTIFS(Filas!$A$2:$A$648,$A288,Filas!$B$2:$B$648,$B288,Filas!$S$2:$S$648,"cita encontrada*")+COUNTIFS(Filas!$A$2:$A$648,$A288,Filas!$B$2:$B$648,$B288,Filas!$S$2:$S$648,"página existe*")</f>
        <v>5</v>
      </c>
      <c r="I288" s="4" t="n">
        <f aca="false">COUNTIFS(Filas!$A$2:$A$648,$A288,Filas!$B$2:$B$648,$B288,Filas!$S$2:$S$648,"cita no encontrada*")+COUNTIFS(Filas!$A$2:$A$648,$A288,Filas!$B$2:$B$648,$B288,Filas!$S$2:$S$648,"página no accesible*")</f>
        <v>0</v>
      </c>
    </row>
    <row r="289" customFormat="false" ht="15" hidden="false" customHeight="false" outlineLevel="0" collapsed="false">
      <c r="A289" s="4" t="s">
        <v>6676</v>
      </c>
      <c r="B289" s="4" t="s">
        <v>2365</v>
      </c>
      <c r="C289" s="4" t="n">
        <f aca="false">COUNTIFS(Filas!$A$2:$A$648,$A289,Filas!$B$2:$B$648,$B289)</f>
        <v>3</v>
      </c>
      <c r="D289" s="4" t="n">
        <f aca="false">COUNTIFS(Filas!$A$2:$A$648,$A289,Filas!$B$2:$B$648,$B289,Filas!$N$2:$N$648,"mejora")</f>
        <v>1</v>
      </c>
      <c r="E289" s="4" t="n">
        <f aca="false">COUNTIFS(Filas!$A$2:$A$648,$A289,Filas!$B$2:$B$648,$B289,Filas!$N$2:$N$648,"sin cambio")</f>
        <v>0</v>
      </c>
      <c r="F289" s="4" t="n">
        <f aca="false">COUNTIFS(Filas!$A$2:$A$648,$A289,Filas!$B$2:$B$648,$B289,Filas!$N$2:$N$648,"empeora")</f>
        <v>0</v>
      </c>
      <c r="G289" s="4" t="n">
        <f aca="false">COUNTIFS(Filas!$A$2:$A$648,$A289,Filas!$B$2:$B$648,$B289,Filas!$N$2:$N$648,"mixto")</f>
        <v>1</v>
      </c>
      <c r="H289" s="4" t="n">
        <f aca="false">COUNTIFS(Filas!$A$2:$A$648,$A289,Filas!$B$2:$B$648,$B289,Filas!$S$2:$S$648,"cita encontrada*")+COUNTIFS(Filas!$A$2:$A$648,$A289,Filas!$B$2:$B$648,$B289,Filas!$S$2:$S$648,"página existe*")</f>
        <v>3</v>
      </c>
      <c r="I289" s="4" t="n">
        <f aca="false">COUNTIFS(Filas!$A$2:$A$648,$A289,Filas!$B$2:$B$648,$B289,Filas!$S$2:$S$648,"cita no encontrada*")+COUNTIFS(Filas!$A$2:$A$648,$A289,Filas!$B$2:$B$648,$B289,Filas!$S$2:$S$648,"página no accesible*")</f>
        <v>0</v>
      </c>
    </row>
    <row r="290" customFormat="false" ht="15" hidden="false" customHeight="false" outlineLevel="0" collapsed="false">
      <c r="A290" s="4" t="s">
        <v>6676</v>
      </c>
      <c r="B290" s="4" t="s">
        <v>2447</v>
      </c>
      <c r="C290" s="4" t="n">
        <f aca="false">COUNTIFS(Filas!$A$2:$A$648,$A290,Filas!$B$2:$B$648,$B290)</f>
        <v>1</v>
      </c>
      <c r="D290" s="4" t="n">
        <f aca="false">COUNTIFS(Filas!$A$2:$A$648,$A290,Filas!$B$2:$B$648,$B290,Filas!$N$2:$N$648,"mejora")</f>
        <v>1</v>
      </c>
      <c r="E290" s="4" t="n">
        <f aca="false">COUNTIFS(Filas!$A$2:$A$648,$A290,Filas!$B$2:$B$648,$B290,Filas!$N$2:$N$648,"sin cambio")</f>
        <v>0</v>
      </c>
      <c r="F290" s="4" t="n">
        <f aca="false">COUNTIFS(Filas!$A$2:$A$648,$A290,Filas!$B$2:$B$648,$B290,Filas!$N$2:$N$648,"empeora")</f>
        <v>0</v>
      </c>
      <c r="G290" s="4" t="n">
        <f aca="false">COUNTIFS(Filas!$A$2:$A$648,$A290,Filas!$B$2:$B$648,$B290,Filas!$N$2:$N$648,"mixto")</f>
        <v>0</v>
      </c>
      <c r="H290" s="4" t="n">
        <f aca="false">COUNTIFS(Filas!$A$2:$A$648,$A290,Filas!$B$2:$B$648,$B290,Filas!$S$2:$S$648,"cita encontrada*")+COUNTIFS(Filas!$A$2:$A$648,$A290,Filas!$B$2:$B$648,$B290,Filas!$S$2:$S$648,"página existe*")</f>
        <v>1</v>
      </c>
      <c r="I290" s="4" t="n">
        <f aca="false">COUNTIFS(Filas!$A$2:$A$648,$A290,Filas!$B$2:$B$648,$B290,Filas!$S$2:$S$648,"cita no encontrada*")+COUNTIFS(Filas!$A$2:$A$648,$A290,Filas!$B$2:$B$648,$B290,Filas!$S$2:$S$648,"página no accesible*")</f>
        <v>0</v>
      </c>
    </row>
    <row r="291" customFormat="false" ht="15" hidden="false" customHeight="false" outlineLevel="0" collapsed="false">
      <c r="A291" s="4" t="s">
        <v>6676</v>
      </c>
      <c r="B291" s="4" t="s">
        <v>6872</v>
      </c>
      <c r="C291" s="4" t="n">
        <f aca="false">COUNTIFS(Filas!$A$2:$A$648,$A291,Filas!$B$2:$B$648,$B291)</f>
        <v>1</v>
      </c>
      <c r="D291" s="4" t="n">
        <f aca="false">COUNTIFS(Filas!$A$2:$A$648,$A291,Filas!$B$2:$B$648,$B291,Filas!$N$2:$N$648,"mejora")</f>
        <v>1</v>
      </c>
      <c r="E291" s="4" t="n">
        <f aca="false">COUNTIFS(Filas!$A$2:$A$648,$A291,Filas!$B$2:$B$648,$B291,Filas!$N$2:$N$648,"sin cambio")</f>
        <v>0</v>
      </c>
      <c r="F291" s="4" t="n">
        <f aca="false">COUNTIFS(Filas!$A$2:$A$648,$A291,Filas!$B$2:$B$648,$B291,Filas!$N$2:$N$648,"empeora")</f>
        <v>0</v>
      </c>
      <c r="G291" s="4" t="n">
        <f aca="false">COUNTIFS(Filas!$A$2:$A$648,$A291,Filas!$B$2:$B$648,$B291,Filas!$N$2:$N$648,"mixto")</f>
        <v>0</v>
      </c>
      <c r="H291" s="4" t="n">
        <f aca="false">COUNTIFS(Filas!$A$2:$A$648,$A291,Filas!$B$2:$B$648,$B291,Filas!$S$2:$S$648,"cita encontrada*")+COUNTIFS(Filas!$A$2:$A$648,$A291,Filas!$B$2:$B$648,$B291,Filas!$S$2:$S$648,"página existe*")</f>
        <v>1</v>
      </c>
      <c r="I291" s="4" t="n">
        <f aca="false">COUNTIFS(Filas!$A$2:$A$648,$A291,Filas!$B$2:$B$648,$B291,Filas!$S$2:$S$648,"cita no encontrada*")+COUNTIFS(Filas!$A$2:$A$648,$A291,Filas!$B$2:$B$648,$B291,Filas!$S$2:$S$648,"página no accesible*")</f>
        <v>0</v>
      </c>
    </row>
    <row r="292" customFormat="false" ht="15" hidden="false" customHeight="false" outlineLevel="0" collapsed="false">
      <c r="A292" s="4" t="s">
        <v>6676</v>
      </c>
      <c r="B292" s="4" t="s">
        <v>6883</v>
      </c>
      <c r="C292" s="4" t="n">
        <f aca="false">COUNTIFS(Filas!$A$2:$A$648,$A292,Filas!$B$2:$B$648,$B292)</f>
        <v>1</v>
      </c>
      <c r="D292" s="4" t="n">
        <f aca="false">COUNTIFS(Filas!$A$2:$A$648,$A292,Filas!$B$2:$B$648,$B292,Filas!$N$2:$N$648,"mejora")</f>
        <v>0</v>
      </c>
      <c r="E292" s="4" t="n">
        <f aca="false">COUNTIFS(Filas!$A$2:$A$648,$A292,Filas!$B$2:$B$648,$B292,Filas!$N$2:$N$648,"sin cambio")</f>
        <v>0</v>
      </c>
      <c r="F292" s="4" t="n">
        <f aca="false">COUNTIFS(Filas!$A$2:$A$648,$A292,Filas!$B$2:$B$648,$B292,Filas!$N$2:$N$648,"empeora")</f>
        <v>0</v>
      </c>
      <c r="G292" s="4" t="n">
        <f aca="false">COUNTIFS(Filas!$A$2:$A$648,$A292,Filas!$B$2:$B$648,$B292,Filas!$N$2:$N$648,"mixto")</f>
        <v>1</v>
      </c>
      <c r="H292" s="4" t="n">
        <f aca="false">COUNTIFS(Filas!$A$2:$A$648,$A292,Filas!$B$2:$B$648,$B292,Filas!$S$2:$S$648,"cita encontrada*")+COUNTIFS(Filas!$A$2:$A$648,$A292,Filas!$B$2:$B$648,$B292,Filas!$S$2:$S$648,"página existe*")</f>
        <v>1</v>
      </c>
      <c r="I292" s="4" t="n">
        <f aca="false">COUNTIFS(Filas!$A$2:$A$648,$A292,Filas!$B$2:$B$648,$B292,Filas!$S$2:$S$648,"cita no encontrada*")+COUNTIFS(Filas!$A$2:$A$648,$A292,Filas!$B$2:$B$648,$B292,Filas!$S$2:$S$648,"página no accesible*")</f>
        <v>0</v>
      </c>
    </row>
    <row r="293" customFormat="false" ht="15" hidden="false" customHeight="false" outlineLevel="0" collapsed="false">
      <c r="A293" s="4" t="s">
        <v>6676</v>
      </c>
      <c r="B293" s="4" t="s">
        <v>6898</v>
      </c>
      <c r="C293" s="4" t="n">
        <f aca="false">COUNTIFS(Filas!$A$2:$A$648,$A293,Filas!$B$2:$B$648,$B293)</f>
        <v>2</v>
      </c>
      <c r="D293" s="4" t="n">
        <f aca="false">COUNTIFS(Filas!$A$2:$A$648,$A293,Filas!$B$2:$B$648,$B293,Filas!$N$2:$N$648,"mejora")</f>
        <v>1</v>
      </c>
      <c r="E293" s="4" t="n">
        <f aca="false">COUNTIFS(Filas!$A$2:$A$648,$A293,Filas!$B$2:$B$648,$B293,Filas!$N$2:$N$648,"sin cambio")</f>
        <v>0</v>
      </c>
      <c r="F293" s="4" t="n">
        <f aca="false">COUNTIFS(Filas!$A$2:$A$648,$A293,Filas!$B$2:$B$648,$B293,Filas!$N$2:$N$648,"empeora")</f>
        <v>0</v>
      </c>
      <c r="G293" s="4" t="n">
        <f aca="false">COUNTIFS(Filas!$A$2:$A$648,$A293,Filas!$B$2:$B$648,$B293,Filas!$N$2:$N$648,"mixto")</f>
        <v>1</v>
      </c>
      <c r="H293" s="4" t="n">
        <f aca="false">COUNTIFS(Filas!$A$2:$A$648,$A293,Filas!$B$2:$B$648,$B293,Filas!$S$2:$S$648,"cita encontrada*")+COUNTIFS(Filas!$A$2:$A$648,$A293,Filas!$B$2:$B$648,$B293,Filas!$S$2:$S$648,"página existe*")</f>
        <v>2</v>
      </c>
      <c r="I293" s="4" t="n">
        <f aca="false">COUNTIFS(Filas!$A$2:$A$648,$A293,Filas!$B$2:$B$648,$B293,Filas!$S$2:$S$648,"cita no encontrada*")+COUNTIFS(Filas!$A$2:$A$648,$A293,Filas!$B$2:$B$648,$B293,Filas!$S$2:$S$648,"página no accesible*")</f>
        <v>0</v>
      </c>
    </row>
    <row r="294" customFormat="false" ht="15" hidden="false" customHeight="false" outlineLevel="0" collapsed="false">
      <c r="A294" s="4" t="s">
        <v>6676</v>
      </c>
      <c r="B294" s="4" t="s">
        <v>6911</v>
      </c>
      <c r="C294" s="4" t="n">
        <f aca="false">COUNTIFS(Filas!$A$2:$A$648,$A294,Filas!$B$2:$B$648,$B294)</f>
        <v>2</v>
      </c>
      <c r="D294" s="4" t="n">
        <f aca="false">COUNTIFS(Filas!$A$2:$A$648,$A294,Filas!$B$2:$B$648,$B294,Filas!$N$2:$N$648,"mejora")</f>
        <v>2</v>
      </c>
      <c r="E294" s="4" t="n">
        <f aca="false">COUNTIFS(Filas!$A$2:$A$648,$A294,Filas!$B$2:$B$648,$B294,Filas!$N$2:$N$648,"sin cambio")</f>
        <v>0</v>
      </c>
      <c r="F294" s="4" t="n">
        <f aca="false">COUNTIFS(Filas!$A$2:$A$648,$A294,Filas!$B$2:$B$648,$B294,Filas!$N$2:$N$648,"empeora")</f>
        <v>0</v>
      </c>
      <c r="G294" s="4" t="n">
        <f aca="false">COUNTIFS(Filas!$A$2:$A$648,$A294,Filas!$B$2:$B$648,$B294,Filas!$N$2:$N$648,"mixto")</f>
        <v>0</v>
      </c>
      <c r="H294" s="4" t="n">
        <f aca="false">COUNTIFS(Filas!$A$2:$A$648,$A294,Filas!$B$2:$B$648,$B294,Filas!$S$2:$S$648,"cita encontrada*")+COUNTIFS(Filas!$A$2:$A$648,$A294,Filas!$B$2:$B$648,$B294,Filas!$S$2:$S$648,"página existe*")</f>
        <v>2</v>
      </c>
      <c r="I294" s="4" t="n">
        <f aca="false">COUNTIFS(Filas!$A$2:$A$648,$A294,Filas!$B$2:$B$648,$B294,Filas!$S$2:$S$648,"cita no encontrada*")+COUNTIFS(Filas!$A$2:$A$648,$A294,Filas!$B$2:$B$648,$B294,Filas!$S$2:$S$648,"página no accesible*")</f>
        <v>0</v>
      </c>
    </row>
    <row r="295" customFormat="false" ht="15" hidden="false" customHeight="false" outlineLevel="0" collapsed="false">
      <c r="A295" s="4" t="s">
        <v>6676</v>
      </c>
      <c r="B295" s="4" t="s">
        <v>6947</v>
      </c>
      <c r="C295" s="4" t="n">
        <f aca="false">COUNTIFS(Filas!$A$2:$A$648,$A295,Filas!$B$2:$B$648,$B295)</f>
        <v>3</v>
      </c>
      <c r="D295" s="4" t="n">
        <f aca="false">COUNTIFS(Filas!$A$2:$A$648,$A295,Filas!$B$2:$B$648,$B295,Filas!$N$2:$N$648,"mejora")</f>
        <v>1</v>
      </c>
      <c r="E295" s="4" t="n">
        <f aca="false">COUNTIFS(Filas!$A$2:$A$648,$A295,Filas!$B$2:$B$648,$B295,Filas!$N$2:$N$648,"sin cambio")</f>
        <v>0</v>
      </c>
      <c r="F295" s="4" t="n">
        <f aca="false">COUNTIFS(Filas!$A$2:$A$648,$A295,Filas!$B$2:$B$648,$B295,Filas!$N$2:$N$648,"empeora")</f>
        <v>0</v>
      </c>
      <c r="G295" s="4" t="n">
        <f aca="false">COUNTIFS(Filas!$A$2:$A$648,$A295,Filas!$B$2:$B$648,$B295,Filas!$N$2:$N$648,"mixto")</f>
        <v>1</v>
      </c>
      <c r="H295" s="4" t="n">
        <f aca="false">COUNTIFS(Filas!$A$2:$A$648,$A295,Filas!$B$2:$B$648,$B295,Filas!$S$2:$S$648,"cita encontrada*")+COUNTIFS(Filas!$A$2:$A$648,$A295,Filas!$B$2:$B$648,$B295,Filas!$S$2:$S$648,"página existe*")</f>
        <v>3</v>
      </c>
      <c r="I295" s="4" t="n">
        <f aca="false">COUNTIFS(Filas!$A$2:$A$648,$A295,Filas!$B$2:$B$648,$B295,Filas!$S$2:$S$648,"cita no encontrada*")+COUNTIFS(Filas!$A$2:$A$648,$A295,Filas!$B$2:$B$648,$B295,Filas!$S$2:$S$648,"página no accesible*")</f>
        <v>0</v>
      </c>
    </row>
    <row r="296" customFormat="false" ht="15" hidden="false" customHeight="false" outlineLevel="0" collapsed="false">
      <c r="A296" s="4" t="s">
        <v>6676</v>
      </c>
      <c r="B296" s="4" t="s">
        <v>6981</v>
      </c>
      <c r="C296" s="4" t="n">
        <f aca="false">COUNTIFS(Filas!$A$2:$A$648,$A296,Filas!$B$2:$B$648,$B296)</f>
        <v>1</v>
      </c>
      <c r="D296" s="4" t="n">
        <f aca="false">COUNTIFS(Filas!$A$2:$A$648,$A296,Filas!$B$2:$B$648,$B296,Filas!$N$2:$N$648,"mejora")</f>
        <v>1</v>
      </c>
      <c r="E296" s="4" t="n">
        <f aca="false">COUNTIFS(Filas!$A$2:$A$648,$A296,Filas!$B$2:$B$648,$B296,Filas!$N$2:$N$648,"sin cambio")</f>
        <v>0</v>
      </c>
      <c r="F296" s="4" t="n">
        <f aca="false">COUNTIFS(Filas!$A$2:$A$648,$A296,Filas!$B$2:$B$648,$B296,Filas!$N$2:$N$648,"empeora")</f>
        <v>0</v>
      </c>
      <c r="G296" s="4" t="n">
        <f aca="false">COUNTIFS(Filas!$A$2:$A$648,$A296,Filas!$B$2:$B$648,$B296,Filas!$N$2:$N$648,"mixto")</f>
        <v>0</v>
      </c>
      <c r="H296" s="4" t="n">
        <f aca="false">COUNTIFS(Filas!$A$2:$A$648,$A296,Filas!$B$2:$B$648,$B296,Filas!$S$2:$S$648,"cita encontrada*")+COUNTIFS(Filas!$A$2:$A$648,$A296,Filas!$B$2:$B$648,$B296,Filas!$S$2:$S$648,"página existe*")</f>
        <v>1</v>
      </c>
      <c r="I296" s="4" t="n">
        <f aca="false">COUNTIFS(Filas!$A$2:$A$648,$A296,Filas!$B$2:$B$648,$B296,Filas!$S$2:$S$648,"cita no encontrada*")+COUNTIFS(Filas!$A$2:$A$648,$A296,Filas!$B$2:$B$648,$B296,Filas!$S$2:$S$648,"página no accesible*")</f>
        <v>0</v>
      </c>
    </row>
    <row r="297" customFormat="false" ht="15" hidden="false" customHeight="false" outlineLevel="0" collapsed="false">
      <c r="A297" s="4" t="s">
        <v>6676</v>
      </c>
      <c r="B297" s="4" t="s">
        <v>3762</v>
      </c>
      <c r="C297" s="4" t="n">
        <f aca="false">COUNTIFS(Filas!$A$2:$A$648,$A297,Filas!$B$2:$B$648,$B297)</f>
        <v>3</v>
      </c>
      <c r="D297" s="4" t="n">
        <f aca="false">COUNTIFS(Filas!$A$2:$A$648,$A297,Filas!$B$2:$B$648,$B297,Filas!$N$2:$N$648,"mejora")</f>
        <v>1</v>
      </c>
      <c r="E297" s="4" t="n">
        <f aca="false">COUNTIFS(Filas!$A$2:$A$648,$A297,Filas!$B$2:$B$648,$B297,Filas!$N$2:$N$648,"sin cambio")</f>
        <v>0</v>
      </c>
      <c r="F297" s="4" t="n">
        <f aca="false">COUNTIFS(Filas!$A$2:$A$648,$A297,Filas!$B$2:$B$648,$B297,Filas!$N$2:$N$648,"empeora")</f>
        <v>0</v>
      </c>
      <c r="G297" s="4" t="n">
        <f aca="false">COUNTIFS(Filas!$A$2:$A$648,$A297,Filas!$B$2:$B$648,$B297,Filas!$N$2:$N$648,"mixto")</f>
        <v>0</v>
      </c>
      <c r="H297" s="4" t="n">
        <f aca="false">COUNTIFS(Filas!$A$2:$A$648,$A297,Filas!$B$2:$B$648,$B297,Filas!$S$2:$S$648,"cita encontrada*")+COUNTIFS(Filas!$A$2:$A$648,$A297,Filas!$B$2:$B$648,$B297,Filas!$S$2:$S$648,"página existe*")</f>
        <v>3</v>
      </c>
      <c r="I297" s="4" t="n">
        <f aca="false">COUNTIFS(Filas!$A$2:$A$648,$A297,Filas!$B$2:$B$648,$B297,Filas!$S$2:$S$648,"cita no encontrada*")+COUNTIFS(Filas!$A$2:$A$648,$A297,Filas!$B$2:$B$648,$B297,Filas!$S$2:$S$648,"página no accesible*")</f>
        <v>0</v>
      </c>
    </row>
    <row r="298" customFormat="false" ht="15" hidden="false" customHeight="false" outlineLevel="0" collapsed="false">
      <c r="A298" s="4" t="s">
        <v>6676</v>
      </c>
      <c r="B298" s="4" t="s">
        <v>7024</v>
      </c>
      <c r="C298" s="4" t="n">
        <f aca="false">COUNTIFS(Filas!$A$2:$A$648,$A298,Filas!$B$2:$B$648,$B298)</f>
        <v>1</v>
      </c>
      <c r="D298" s="4" t="n">
        <f aca="false">COUNTIFS(Filas!$A$2:$A$648,$A298,Filas!$B$2:$B$648,$B298,Filas!$N$2:$N$648,"mejora")</f>
        <v>1</v>
      </c>
      <c r="E298" s="4" t="n">
        <f aca="false">COUNTIFS(Filas!$A$2:$A$648,$A298,Filas!$B$2:$B$648,$B298,Filas!$N$2:$N$648,"sin cambio")</f>
        <v>0</v>
      </c>
      <c r="F298" s="4" t="n">
        <f aca="false">COUNTIFS(Filas!$A$2:$A$648,$A298,Filas!$B$2:$B$648,$B298,Filas!$N$2:$N$648,"empeora")</f>
        <v>0</v>
      </c>
      <c r="G298" s="4" t="n">
        <f aca="false">COUNTIFS(Filas!$A$2:$A$648,$A298,Filas!$B$2:$B$648,$B298,Filas!$N$2:$N$648,"mixto")</f>
        <v>0</v>
      </c>
      <c r="H298" s="4" t="n">
        <f aca="false">COUNTIFS(Filas!$A$2:$A$648,$A298,Filas!$B$2:$B$648,$B298,Filas!$S$2:$S$648,"cita encontrada*")+COUNTIFS(Filas!$A$2:$A$648,$A298,Filas!$B$2:$B$648,$B298,Filas!$S$2:$S$648,"página existe*")</f>
        <v>1</v>
      </c>
      <c r="I298" s="4" t="n">
        <f aca="false">COUNTIFS(Filas!$A$2:$A$648,$A298,Filas!$B$2:$B$648,$B298,Filas!$S$2:$S$648,"cita no encontrada*")+COUNTIFS(Filas!$A$2:$A$648,$A298,Filas!$B$2:$B$648,$B298,Filas!$S$2:$S$648,"página no accesible*")</f>
        <v>0</v>
      </c>
    </row>
    <row r="299" customFormat="false" ht="15" hidden="false" customHeight="false" outlineLevel="0" collapsed="false">
      <c r="A299" s="4" t="s">
        <v>6676</v>
      </c>
      <c r="B299" s="4" t="s">
        <v>7037</v>
      </c>
      <c r="C299" s="4" t="n">
        <f aca="false">COUNTIFS(Filas!$A$2:$A$648,$A299,Filas!$B$2:$B$648,$B299)</f>
        <v>1</v>
      </c>
      <c r="D299" s="4" t="n">
        <f aca="false">COUNTIFS(Filas!$A$2:$A$648,$A299,Filas!$B$2:$B$648,$B299,Filas!$N$2:$N$648,"mejora")</f>
        <v>1</v>
      </c>
      <c r="E299" s="4" t="n">
        <f aca="false">COUNTIFS(Filas!$A$2:$A$648,$A299,Filas!$B$2:$B$648,$B299,Filas!$N$2:$N$648,"sin cambio")</f>
        <v>0</v>
      </c>
      <c r="F299" s="4" t="n">
        <f aca="false">COUNTIFS(Filas!$A$2:$A$648,$A299,Filas!$B$2:$B$648,$B299,Filas!$N$2:$N$648,"empeora")</f>
        <v>0</v>
      </c>
      <c r="G299" s="4" t="n">
        <f aca="false">COUNTIFS(Filas!$A$2:$A$648,$A299,Filas!$B$2:$B$648,$B299,Filas!$N$2:$N$648,"mixto")</f>
        <v>0</v>
      </c>
      <c r="H299" s="4" t="n">
        <f aca="false">COUNTIFS(Filas!$A$2:$A$648,$A299,Filas!$B$2:$B$648,$B299,Filas!$S$2:$S$648,"cita encontrada*")+COUNTIFS(Filas!$A$2:$A$648,$A299,Filas!$B$2:$B$648,$B299,Filas!$S$2:$S$648,"página existe*")</f>
        <v>1</v>
      </c>
      <c r="I299" s="4" t="n">
        <f aca="false">COUNTIFS(Filas!$A$2:$A$648,$A299,Filas!$B$2:$B$648,$B299,Filas!$S$2:$S$648,"cita no encontrada*")+COUNTIFS(Filas!$A$2:$A$648,$A299,Filas!$B$2:$B$648,$B299,Filas!$S$2:$S$648,"página no accesible*")</f>
        <v>0</v>
      </c>
    </row>
    <row r="300" customFormat="false" ht="15" hidden="false" customHeight="false" outlineLevel="0" collapsed="false">
      <c r="A300" s="4" t="s">
        <v>6676</v>
      </c>
      <c r="B300" s="4" t="s">
        <v>7050</v>
      </c>
      <c r="C300" s="4" t="n">
        <f aca="false">COUNTIFS(Filas!$A$2:$A$648,$A300,Filas!$B$2:$B$648,$B300)</f>
        <v>1</v>
      </c>
      <c r="D300" s="4" t="n">
        <f aca="false">COUNTIFS(Filas!$A$2:$A$648,$A300,Filas!$B$2:$B$648,$B300,Filas!$N$2:$N$648,"mejora")</f>
        <v>1</v>
      </c>
      <c r="E300" s="4" t="n">
        <f aca="false">COUNTIFS(Filas!$A$2:$A$648,$A300,Filas!$B$2:$B$648,$B300,Filas!$N$2:$N$648,"sin cambio")</f>
        <v>0</v>
      </c>
      <c r="F300" s="4" t="n">
        <f aca="false">COUNTIFS(Filas!$A$2:$A$648,$A300,Filas!$B$2:$B$648,$B300,Filas!$N$2:$N$648,"empeora")</f>
        <v>0</v>
      </c>
      <c r="G300" s="4" t="n">
        <f aca="false">COUNTIFS(Filas!$A$2:$A$648,$A300,Filas!$B$2:$B$648,$B300,Filas!$N$2:$N$648,"mixto")</f>
        <v>0</v>
      </c>
      <c r="H300" s="4" t="n">
        <f aca="false">COUNTIFS(Filas!$A$2:$A$648,$A300,Filas!$B$2:$B$648,$B300,Filas!$S$2:$S$648,"cita encontrada*")+COUNTIFS(Filas!$A$2:$A$648,$A300,Filas!$B$2:$B$648,$B300,Filas!$S$2:$S$648,"página existe*")</f>
        <v>1</v>
      </c>
      <c r="I300" s="4" t="n">
        <f aca="false">COUNTIFS(Filas!$A$2:$A$648,$A300,Filas!$B$2:$B$648,$B300,Filas!$S$2:$S$648,"cita no encontrada*")+COUNTIFS(Filas!$A$2:$A$648,$A300,Filas!$B$2:$B$648,$B300,Filas!$S$2:$S$648,"página no accesible*")</f>
        <v>0</v>
      </c>
    </row>
    <row r="301" customFormat="false" ht="15" hidden="false" customHeight="false" outlineLevel="0" collapsed="false">
      <c r="A301" s="4" t="s">
        <v>6676</v>
      </c>
      <c r="B301" s="4" t="s">
        <v>7064</v>
      </c>
      <c r="C301" s="4" t="n">
        <f aca="false">COUNTIFS(Filas!$A$2:$A$648,$A301,Filas!$B$2:$B$648,$B301)</f>
        <v>2</v>
      </c>
      <c r="D301" s="4" t="n">
        <f aca="false">COUNTIFS(Filas!$A$2:$A$648,$A301,Filas!$B$2:$B$648,$B301,Filas!$N$2:$N$648,"mejora")</f>
        <v>1</v>
      </c>
      <c r="E301" s="4" t="n">
        <f aca="false">COUNTIFS(Filas!$A$2:$A$648,$A301,Filas!$B$2:$B$648,$B301,Filas!$N$2:$N$648,"sin cambio")</f>
        <v>0</v>
      </c>
      <c r="F301" s="4" t="n">
        <f aca="false">COUNTIFS(Filas!$A$2:$A$648,$A301,Filas!$B$2:$B$648,$B301,Filas!$N$2:$N$648,"empeora")</f>
        <v>0</v>
      </c>
      <c r="G301" s="4" t="n">
        <f aca="false">COUNTIFS(Filas!$A$2:$A$648,$A301,Filas!$B$2:$B$648,$B301,Filas!$N$2:$N$648,"mixto")</f>
        <v>0</v>
      </c>
      <c r="H301" s="4" t="n">
        <f aca="false">COUNTIFS(Filas!$A$2:$A$648,$A301,Filas!$B$2:$B$648,$B301,Filas!$S$2:$S$648,"cita encontrada*")+COUNTIFS(Filas!$A$2:$A$648,$A301,Filas!$B$2:$B$648,$B301,Filas!$S$2:$S$648,"página existe*")</f>
        <v>2</v>
      </c>
      <c r="I301" s="4" t="n">
        <f aca="false">COUNTIFS(Filas!$A$2:$A$648,$A301,Filas!$B$2:$B$648,$B301,Filas!$S$2:$S$648,"cita no encontrada*")+COUNTIFS(Filas!$A$2:$A$648,$A301,Filas!$B$2:$B$648,$B301,Filas!$S$2:$S$648,"página no accesible*")</f>
        <v>0</v>
      </c>
    </row>
    <row r="302" customFormat="false" ht="15" hidden="false" customHeight="false" outlineLevel="0" collapsed="false">
      <c r="A302" s="4" t="s">
        <v>6676</v>
      </c>
      <c r="B302" s="4" t="s">
        <v>7076</v>
      </c>
      <c r="C302" s="4" t="n">
        <f aca="false">COUNTIFS(Filas!$A$2:$A$648,$A302,Filas!$B$2:$B$648,$B302)</f>
        <v>1</v>
      </c>
      <c r="D302" s="4" t="n">
        <f aca="false">COUNTIFS(Filas!$A$2:$A$648,$A302,Filas!$B$2:$B$648,$B302,Filas!$N$2:$N$648,"mejora")</f>
        <v>0</v>
      </c>
      <c r="E302" s="4" t="n">
        <f aca="false">COUNTIFS(Filas!$A$2:$A$648,$A302,Filas!$B$2:$B$648,$B302,Filas!$N$2:$N$648,"sin cambio")</f>
        <v>0</v>
      </c>
      <c r="F302" s="4" t="n">
        <f aca="false">COUNTIFS(Filas!$A$2:$A$648,$A302,Filas!$B$2:$B$648,$B302,Filas!$N$2:$N$648,"empeora")</f>
        <v>1</v>
      </c>
      <c r="G302" s="4" t="n">
        <f aca="false">COUNTIFS(Filas!$A$2:$A$648,$A302,Filas!$B$2:$B$648,$B302,Filas!$N$2:$N$648,"mixto")</f>
        <v>0</v>
      </c>
      <c r="H302" s="4" t="n">
        <f aca="false">COUNTIFS(Filas!$A$2:$A$648,$A302,Filas!$B$2:$B$648,$B302,Filas!$S$2:$S$648,"cita encontrada*")+COUNTIFS(Filas!$A$2:$A$648,$A302,Filas!$B$2:$B$648,$B302,Filas!$S$2:$S$648,"página existe*")</f>
        <v>1</v>
      </c>
      <c r="I302" s="4" t="n">
        <f aca="false">COUNTIFS(Filas!$A$2:$A$648,$A302,Filas!$B$2:$B$648,$B302,Filas!$S$2:$S$648,"cita no encontrada*")+COUNTIFS(Filas!$A$2:$A$648,$A302,Filas!$B$2:$B$648,$B302,Filas!$S$2:$S$648,"página no accesible*")</f>
        <v>0</v>
      </c>
    </row>
    <row r="303" customFormat="false" ht="15" hidden="false" customHeight="false" outlineLevel="0" collapsed="false">
      <c r="A303" s="4" t="s">
        <v>6676</v>
      </c>
      <c r="B303" s="4" t="s">
        <v>7090</v>
      </c>
      <c r="C303" s="4" t="n">
        <f aca="false">COUNTIFS(Filas!$A$2:$A$648,$A303,Filas!$B$2:$B$648,$B303)</f>
        <v>1</v>
      </c>
      <c r="D303" s="4" t="n">
        <f aca="false">COUNTIFS(Filas!$A$2:$A$648,$A303,Filas!$B$2:$B$648,$B303,Filas!$N$2:$N$648,"mejora")</f>
        <v>0</v>
      </c>
      <c r="E303" s="4" t="n">
        <f aca="false">COUNTIFS(Filas!$A$2:$A$648,$A303,Filas!$B$2:$B$648,$B303,Filas!$N$2:$N$648,"sin cambio")</f>
        <v>1</v>
      </c>
      <c r="F303" s="4" t="n">
        <f aca="false">COUNTIFS(Filas!$A$2:$A$648,$A303,Filas!$B$2:$B$648,$B303,Filas!$N$2:$N$648,"empeora")</f>
        <v>0</v>
      </c>
      <c r="G303" s="4" t="n">
        <f aca="false">COUNTIFS(Filas!$A$2:$A$648,$A303,Filas!$B$2:$B$648,$B303,Filas!$N$2:$N$648,"mixto")</f>
        <v>0</v>
      </c>
      <c r="H303" s="4" t="n">
        <f aca="false">COUNTIFS(Filas!$A$2:$A$648,$A303,Filas!$B$2:$B$648,$B303,Filas!$S$2:$S$648,"cita encontrada*")+COUNTIFS(Filas!$A$2:$A$648,$A303,Filas!$B$2:$B$648,$B303,Filas!$S$2:$S$648,"página existe*")</f>
        <v>1</v>
      </c>
      <c r="I303" s="4" t="n">
        <f aca="false">COUNTIFS(Filas!$A$2:$A$648,$A303,Filas!$B$2:$B$648,$B303,Filas!$S$2:$S$648,"cita no encontrada*")+COUNTIFS(Filas!$A$2:$A$648,$A303,Filas!$B$2:$B$648,$B303,Filas!$S$2:$S$648,"página no accesible*")</f>
        <v>0</v>
      </c>
    </row>
    <row r="304" customFormat="false" ht="15" hidden="false" customHeight="false" outlineLevel="0" collapsed="false">
      <c r="A304" s="4" t="s">
        <v>6676</v>
      </c>
      <c r="B304" s="4" t="s">
        <v>7105</v>
      </c>
      <c r="C304" s="4" t="n">
        <f aca="false">COUNTIFS(Filas!$A$2:$A$648,$A304,Filas!$B$2:$B$648,$B304)</f>
        <v>1</v>
      </c>
      <c r="D304" s="4" t="n">
        <f aca="false">COUNTIFS(Filas!$A$2:$A$648,$A304,Filas!$B$2:$B$648,$B304,Filas!$N$2:$N$648,"mejora")</f>
        <v>1</v>
      </c>
      <c r="E304" s="4" t="n">
        <f aca="false">COUNTIFS(Filas!$A$2:$A$648,$A304,Filas!$B$2:$B$648,$B304,Filas!$N$2:$N$648,"sin cambio")</f>
        <v>0</v>
      </c>
      <c r="F304" s="4" t="n">
        <f aca="false">COUNTIFS(Filas!$A$2:$A$648,$A304,Filas!$B$2:$B$648,$B304,Filas!$N$2:$N$648,"empeora")</f>
        <v>0</v>
      </c>
      <c r="G304" s="4" t="n">
        <f aca="false">COUNTIFS(Filas!$A$2:$A$648,$A304,Filas!$B$2:$B$648,$B304,Filas!$N$2:$N$648,"mixto")</f>
        <v>0</v>
      </c>
      <c r="H304" s="4" t="n">
        <f aca="false">COUNTIFS(Filas!$A$2:$A$648,$A304,Filas!$B$2:$B$648,$B304,Filas!$S$2:$S$648,"cita encontrada*")+COUNTIFS(Filas!$A$2:$A$648,$A304,Filas!$B$2:$B$648,$B304,Filas!$S$2:$S$648,"página existe*")</f>
        <v>1</v>
      </c>
      <c r="I304" s="4" t="n">
        <f aca="false">COUNTIFS(Filas!$A$2:$A$648,$A304,Filas!$B$2:$B$648,$B304,Filas!$S$2:$S$648,"cita no encontrada*")+COUNTIFS(Filas!$A$2:$A$648,$A304,Filas!$B$2:$B$648,$B304,Filas!$S$2:$S$648,"página no accesible*")</f>
        <v>0</v>
      </c>
    </row>
    <row r="305" customFormat="false" ht="15" hidden="false" customHeight="false" outlineLevel="0" collapsed="false">
      <c r="A305" s="4" t="s">
        <v>6676</v>
      </c>
      <c r="B305" s="4" t="s">
        <v>7117</v>
      </c>
      <c r="C305" s="4" t="n">
        <f aca="false">COUNTIFS(Filas!$A$2:$A$648,$A305,Filas!$B$2:$B$648,$B305)</f>
        <v>1</v>
      </c>
      <c r="D305" s="4" t="n">
        <f aca="false">COUNTIFS(Filas!$A$2:$A$648,$A305,Filas!$B$2:$B$648,$B305,Filas!$N$2:$N$648,"mejora")</f>
        <v>1</v>
      </c>
      <c r="E305" s="4" t="n">
        <f aca="false">COUNTIFS(Filas!$A$2:$A$648,$A305,Filas!$B$2:$B$648,$B305,Filas!$N$2:$N$648,"sin cambio")</f>
        <v>0</v>
      </c>
      <c r="F305" s="4" t="n">
        <f aca="false">COUNTIFS(Filas!$A$2:$A$648,$A305,Filas!$B$2:$B$648,$B305,Filas!$N$2:$N$648,"empeora")</f>
        <v>0</v>
      </c>
      <c r="G305" s="4" t="n">
        <f aca="false">COUNTIFS(Filas!$A$2:$A$648,$A305,Filas!$B$2:$B$648,$B305,Filas!$N$2:$N$648,"mixto")</f>
        <v>0</v>
      </c>
      <c r="H305" s="4" t="n">
        <f aca="false">COUNTIFS(Filas!$A$2:$A$648,$A305,Filas!$B$2:$B$648,$B305,Filas!$S$2:$S$648,"cita encontrada*")+COUNTIFS(Filas!$A$2:$A$648,$A305,Filas!$B$2:$B$648,$B305,Filas!$S$2:$S$648,"página existe*")</f>
        <v>1</v>
      </c>
      <c r="I305" s="4" t="n">
        <f aca="false">COUNTIFS(Filas!$A$2:$A$648,$A305,Filas!$B$2:$B$648,$B305,Filas!$S$2:$S$648,"cita no encontrada*")+COUNTIFS(Filas!$A$2:$A$648,$A305,Filas!$B$2:$B$648,$B305,Filas!$S$2:$S$648,"página no accesible*")</f>
        <v>0</v>
      </c>
    </row>
    <row r="306" customFormat="false" ht="15" hidden="false" customHeight="false" outlineLevel="0" collapsed="false">
      <c r="A306" s="4" t="s">
        <v>6676</v>
      </c>
      <c r="B306" s="4" t="s">
        <v>7130</v>
      </c>
      <c r="C306" s="4" t="n">
        <f aca="false">COUNTIFS(Filas!$A$2:$A$648,$A306,Filas!$B$2:$B$648,$B306)</f>
        <v>1</v>
      </c>
      <c r="D306" s="4" t="n">
        <f aca="false">COUNTIFS(Filas!$A$2:$A$648,$A306,Filas!$B$2:$B$648,$B306,Filas!$N$2:$N$648,"mejora")</f>
        <v>1</v>
      </c>
      <c r="E306" s="4" t="n">
        <f aca="false">COUNTIFS(Filas!$A$2:$A$648,$A306,Filas!$B$2:$B$648,$B306,Filas!$N$2:$N$648,"sin cambio")</f>
        <v>0</v>
      </c>
      <c r="F306" s="4" t="n">
        <f aca="false">COUNTIFS(Filas!$A$2:$A$648,$A306,Filas!$B$2:$B$648,$B306,Filas!$N$2:$N$648,"empeora")</f>
        <v>0</v>
      </c>
      <c r="G306" s="4" t="n">
        <f aca="false">COUNTIFS(Filas!$A$2:$A$648,$A306,Filas!$B$2:$B$648,$B306,Filas!$N$2:$N$648,"mixto")</f>
        <v>0</v>
      </c>
      <c r="H306" s="4" t="n">
        <f aca="false">COUNTIFS(Filas!$A$2:$A$648,$A306,Filas!$B$2:$B$648,$B306,Filas!$S$2:$S$648,"cita encontrada*")+COUNTIFS(Filas!$A$2:$A$648,$A306,Filas!$B$2:$B$648,$B306,Filas!$S$2:$S$648,"página existe*")</f>
        <v>1</v>
      </c>
      <c r="I306" s="4" t="n">
        <f aca="false">COUNTIFS(Filas!$A$2:$A$648,$A306,Filas!$B$2:$B$648,$B306,Filas!$S$2:$S$648,"cita no encontrada*")+COUNTIFS(Filas!$A$2:$A$648,$A306,Filas!$B$2:$B$648,$B306,Filas!$S$2:$S$648,"página no accesible*")</f>
        <v>0</v>
      </c>
    </row>
    <row r="307" customFormat="false" ht="15" hidden="false" customHeight="false" outlineLevel="0" collapsed="false">
      <c r="A307" s="4" t="s">
        <v>6676</v>
      </c>
      <c r="B307" s="4" t="s">
        <v>7141</v>
      </c>
      <c r="C307" s="4" t="n">
        <f aca="false">COUNTIFS(Filas!$A$2:$A$648,$A307,Filas!$B$2:$B$648,$B307)</f>
        <v>1</v>
      </c>
      <c r="D307" s="4" t="n">
        <f aca="false">COUNTIFS(Filas!$A$2:$A$648,$A307,Filas!$B$2:$B$648,$B307,Filas!$N$2:$N$648,"mejora")</f>
        <v>1</v>
      </c>
      <c r="E307" s="4" t="n">
        <f aca="false">COUNTIFS(Filas!$A$2:$A$648,$A307,Filas!$B$2:$B$648,$B307,Filas!$N$2:$N$648,"sin cambio")</f>
        <v>0</v>
      </c>
      <c r="F307" s="4" t="n">
        <f aca="false">COUNTIFS(Filas!$A$2:$A$648,$A307,Filas!$B$2:$B$648,$B307,Filas!$N$2:$N$648,"empeora")</f>
        <v>0</v>
      </c>
      <c r="G307" s="4" t="n">
        <f aca="false">COUNTIFS(Filas!$A$2:$A$648,$A307,Filas!$B$2:$B$648,$B307,Filas!$N$2:$N$648,"mixto")</f>
        <v>0</v>
      </c>
      <c r="H307" s="4" t="n">
        <f aca="false">COUNTIFS(Filas!$A$2:$A$648,$A307,Filas!$B$2:$B$648,$B307,Filas!$S$2:$S$648,"cita encontrada*")+COUNTIFS(Filas!$A$2:$A$648,$A307,Filas!$B$2:$B$648,$B307,Filas!$S$2:$S$648,"página existe*")</f>
        <v>1</v>
      </c>
      <c r="I307" s="4" t="n">
        <f aca="false">COUNTIFS(Filas!$A$2:$A$648,$A307,Filas!$B$2:$B$648,$B307,Filas!$S$2:$S$648,"cita no encontrada*")+COUNTIFS(Filas!$A$2:$A$648,$A307,Filas!$B$2:$B$648,$B307,Filas!$S$2:$S$648,"página no accesible*")</f>
        <v>0</v>
      </c>
    </row>
    <row r="308" customFormat="false" ht="15" hidden="false" customHeight="false" outlineLevel="0" collapsed="false">
      <c r="A308" s="4" t="s">
        <v>6676</v>
      </c>
      <c r="B308" s="4" t="s">
        <v>7155</v>
      </c>
      <c r="C308" s="4" t="n">
        <f aca="false">COUNTIFS(Filas!$A$2:$A$648,$A308,Filas!$B$2:$B$648,$B308)</f>
        <v>1</v>
      </c>
      <c r="D308" s="4" t="n">
        <f aca="false">COUNTIFS(Filas!$A$2:$A$648,$A308,Filas!$B$2:$B$648,$B308,Filas!$N$2:$N$648,"mejora")</f>
        <v>1</v>
      </c>
      <c r="E308" s="4" t="n">
        <f aca="false">COUNTIFS(Filas!$A$2:$A$648,$A308,Filas!$B$2:$B$648,$B308,Filas!$N$2:$N$648,"sin cambio")</f>
        <v>0</v>
      </c>
      <c r="F308" s="4" t="n">
        <f aca="false">COUNTIFS(Filas!$A$2:$A$648,$A308,Filas!$B$2:$B$648,$B308,Filas!$N$2:$N$648,"empeora")</f>
        <v>0</v>
      </c>
      <c r="G308" s="4" t="n">
        <f aca="false">COUNTIFS(Filas!$A$2:$A$648,$A308,Filas!$B$2:$B$648,$B308,Filas!$N$2:$N$648,"mixto")</f>
        <v>0</v>
      </c>
      <c r="H308" s="4" t="n">
        <f aca="false">COUNTIFS(Filas!$A$2:$A$648,$A308,Filas!$B$2:$B$648,$B308,Filas!$S$2:$S$648,"cita encontrada*")+COUNTIFS(Filas!$A$2:$A$648,$A308,Filas!$B$2:$B$648,$B308,Filas!$S$2:$S$648,"página existe*")</f>
        <v>1</v>
      </c>
      <c r="I308" s="4" t="n">
        <f aca="false">COUNTIFS(Filas!$A$2:$A$648,$A308,Filas!$B$2:$B$648,$B308,Filas!$S$2:$S$648,"cita no encontrada*")+COUNTIFS(Filas!$A$2:$A$648,$A308,Filas!$B$2:$B$648,$B308,Filas!$S$2:$S$648,"página no accesible*")</f>
        <v>0</v>
      </c>
    </row>
    <row r="309" customFormat="false" ht="15" hidden="false" customHeight="false" outlineLevel="0" collapsed="false">
      <c r="A309" s="4" t="s">
        <v>6676</v>
      </c>
      <c r="B309" s="4" t="s">
        <v>2576</v>
      </c>
      <c r="C309" s="4" t="n">
        <f aca="false">COUNTIFS(Filas!$A$2:$A$648,$A309,Filas!$B$2:$B$648,$B309)</f>
        <v>1</v>
      </c>
      <c r="D309" s="4" t="n">
        <f aca="false">COUNTIFS(Filas!$A$2:$A$648,$A309,Filas!$B$2:$B$648,$B309,Filas!$N$2:$N$648,"mejora")</f>
        <v>1</v>
      </c>
      <c r="E309" s="4" t="n">
        <f aca="false">COUNTIFS(Filas!$A$2:$A$648,$A309,Filas!$B$2:$B$648,$B309,Filas!$N$2:$N$648,"sin cambio")</f>
        <v>0</v>
      </c>
      <c r="F309" s="4" t="n">
        <f aca="false">COUNTIFS(Filas!$A$2:$A$648,$A309,Filas!$B$2:$B$648,$B309,Filas!$N$2:$N$648,"empeora")</f>
        <v>0</v>
      </c>
      <c r="G309" s="4" t="n">
        <f aca="false">COUNTIFS(Filas!$A$2:$A$648,$A309,Filas!$B$2:$B$648,$B309,Filas!$N$2:$N$648,"mixto")</f>
        <v>0</v>
      </c>
      <c r="H309" s="4" t="n">
        <f aca="false">COUNTIFS(Filas!$A$2:$A$648,$A309,Filas!$B$2:$B$648,$B309,Filas!$S$2:$S$648,"cita encontrada*")+COUNTIFS(Filas!$A$2:$A$648,$A309,Filas!$B$2:$B$648,$B309,Filas!$S$2:$S$648,"página existe*")</f>
        <v>1</v>
      </c>
      <c r="I309" s="4" t="n">
        <f aca="false">COUNTIFS(Filas!$A$2:$A$648,$A309,Filas!$B$2:$B$648,$B309,Filas!$S$2:$S$648,"cita no encontrada*")+COUNTIFS(Filas!$A$2:$A$648,$A309,Filas!$B$2:$B$648,$B309,Filas!$S$2:$S$648,"página no accesible*")</f>
        <v>0</v>
      </c>
    </row>
    <row r="310" customFormat="false" ht="15" hidden="false" customHeight="false" outlineLevel="0" collapsed="false">
      <c r="A310" s="4" t="s">
        <v>6676</v>
      </c>
      <c r="B310" s="4" t="s">
        <v>2810</v>
      </c>
      <c r="C310" s="4" t="n">
        <f aca="false">COUNTIFS(Filas!$A$2:$A$648,$A310,Filas!$B$2:$B$648,$B310)</f>
        <v>1</v>
      </c>
      <c r="D310" s="4" t="n">
        <f aca="false">COUNTIFS(Filas!$A$2:$A$648,$A310,Filas!$B$2:$B$648,$B310,Filas!$N$2:$N$648,"mejora")</f>
        <v>1</v>
      </c>
      <c r="E310" s="4" t="n">
        <f aca="false">COUNTIFS(Filas!$A$2:$A$648,$A310,Filas!$B$2:$B$648,$B310,Filas!$N$2:$N$648,"sin cambio")</f>
        <v>0</v>
      </c>
      <c r="F310" s="4" t="n">
        <f aca="false">COUNTIFS(Filas!$A$2:$A$648,$A310,Filas!$B$2:$B$648,$B310,Filas!$N$2:$N$648,"empeora")</f>
        <v>0</v>
      </c>
      <c r="G310" s="4" t="n">
        <f aca="false">COUNTIFS(Filas!$A$2:$A$648,$A310,Filas!$B$2:$B$648,$B310,Filas!$N$2:$N$648,"mixto")</f>
        <v>0</v>
      </c>
      <c r="H310" s="4" t="n">
        <f aca="false">COUNTIFS(Filas!$A$2:$A$648,$A310,Filas!$B$2:$B$648,$B310,Filas!$S$2:$S$648,"cita encontrada*")+COUNTIFS(Filas!$A$2:$A$648,$A310,Filas!$B$2:$B$648,$B310,Filas!$S$2:$S$648,"página existe*")</f>
        <v>1</v>
      </c>
      <c r="I310" s="4" t="n">
        <f aca="false">COUNTIFS(Filas!$A$2:$A$648,$A310,Filas!$B$2:$B$648,$B310,Filas!$S$2:$S$648,"cita no encontrada*")+COUNTIFS(Filas!$A$2:$A$648,$A310,Filas!$B$2:$B$648,$B310,Filas!$S$2:$S$648,"página no accesible*")</f>
        <v>0</v>
      </c>
    </row>
    <row r="311" customFormat="false" ht="15" hidden="false" customHeight="false" outlineLevel="0" collapsed="false">
      <c r="A311" s="4" t="s">
        <v>7207</v>
      </c>
      <c r="B311" s="4" t="s">
        <v>7208</v>
      </c>
      <c r="C311" s="4" t="n">
        <f aca="false">COUNTIFS(Filas!$A$2:$A$648,$A311,Filas!$B$2:$B$648,$B311)</f>
        <v>3</v>
      </c>
      <c r="D311" s="4" t="n">
        <f aca="false">COUNTIFS(Filas!$A$2:$A$648,$A311,Filas!$B$2:$B$648,$B311,Filas!$N$2:$N$648,"mejora")</f>
        <v>1</v>
      </c>
      <c r="E311" s="4" t="n">
        <f aca="false">COUNTIFS(Filas!$A$2:$A$648,$A311,Filas!$B$2:$B$648,$B311,Filas!$N$2:$N$648,"sin cambio")</f>
        <v>0</v>
      </c>
      <c r="F311" s="4" t="n">
        <f aca="false">COUNTIFS(Filas!$A$2:$A$648,$A311,Filas!$B$2:$B$648,$B311,Filas!$N$2:$N$648,"empeora")</f>
        <v>0</v>
      </c>
      <c r="G311" s="4" t="n">
        <f aca="false">COUNTIFS(Filas!$A$2:$A$648,$A311,Filas!$B$2:$B$648,$B311,Filas!$N$2:$N$648,"mixto")</f>
        <v>2</v>
      </c>
      <c r="H311" s="4" t="n">
        <f aca="false">COUNTIFS(Filas!$A$2:$A$648,$A311,Filas!$B$2:$B$648,$B311,Filas!$S$2:$S$648,"cita encontrada*")+COUNTIFS(Filas!$A$2:$A$648,$A311,Filas!$B$2:$B$648,$B311,Filas!$S$2:$S$648,"página existe*")</f>
        <v>3</v>
      </c>
      <c r="I311" s="4" t="n">
        <f aca="false">COUNTIFS(Filas!$A$2:$A$648,$A311,Filas!$B$2:$B$648,$B311,Filas!$S$2:$S$648,"cita no encontrada*")+COUNTIFS(Filas!$A$2:$A$648,$A311,Filas!$B$2:$B$648,$B311,Filas!$S$2:$S$648,"página no accesible*")</f>
        <v>0</v>
      </c>
    </row>
    <row r="312" customFormat="false" ht="15" hidden="false" customHeight="false" outlineLevel="0" collapsed="false">
      <c r="A312" s="4" t="s">
        <v>7207</v>
      </c>
      <c r="B312" s="4" t="s">
        <v>344</v>
      </c>
      <c r="C312" s="4" t="n">
        <f aca="false">COUNTIFS(Filas!$A$2:$A$648,$A312,Filas!$B$2:$B$648,$B312)</f>
        <v>2</v>
      </c>
      <c r="D312" s="4" t="n">
        <f aca="false">COUNTIFS(Filas!$A$2:$A$648,$A312,Filas!$B$2:$B$648,$B312,Filas!$N$2:$N$648,"mejora")</f>
        <v>2</v>
      </c>
      <c r="E312" s="4" t="n">
        <f aca="false">COUNTIFS(Filas!$A$2:$A$648,$A312,Filas!$B$2:$B$648,$B312,Filas!$N$2:$N$648,"sin cambio")</f>
        <v>0</v>
      </c>
      <c r="F312" s="4" t="n">
        <f aca="false">COUNTIFS(Filas!$A$2:$A$648,$A312,Filas!$B$2:$B$648,$B312,Filas!$N$2:$N$648,"empeora")</f>
        <v>0</v>
      </c>
      <c r="G312" s="4" t="n">
        <f aca="false">COUNTIFS(Filas!$A$2:$A$648,$A312,Filas!$B$2:$B$648,$B312,Filas!$N$2:$N$648,"mixto")</f>
        <v>0</v>
      </c>
      <c r="H312" s="4" t="n">
        <f aca="false">COUNTIFS(Filas!$A$2:$A$648,$A312,Filas!$B$2:$B$648,$B312,Filas!$S$2:$S$648,"cita encontrada*")+COUNTIFS(Filas!$A$2:$A$648,$A312,Filas!$B$2:$B$648,$B312,Filas!$S$2:$S$648,"página existe*")</f>
        <v>2</v>
      </c>
      <c r="I312" s="4" t="n">
        <f aca="false">COUNTIFS(Filas!$A$2:$A$648,$A312,Filas!$B$2:$B$648,$B312,Filas!$S$2:$S$648,"cita no encontrada*")+COUNTIFS(Filas!$A$2:$A$648,$A312,Filas!$B$2:$B$648,$B312,Filas!$S$2:$S$648,"página no accesible*")</f>
        <v>0</v>
      </c>
    </row>
    <row r="313" customFormat="false" ht="15" hidden="false" customHeight="false" outlineLevel="0" collapsed="false">
      <c r="A313" s="4" t="s">
        <v>7207</v>
      </c>
      <c r="B313" s="4" t="s">
        <v>7265</v>
      </c>
      <c r="C313" s="4" t="n">
        <f aca="false">COUNTIFS(Filas!$A$2:$A$648,$A313,Filas!$B$2:$B$648,$B313)</f>
        <v>1</v>
      </c>
      <c r="D313" s="4" t="n">
        <f aca="false">COUNTIFS(Filas!$A$2:$A$648,$A313,Filas!$B$2:$B$648,$B313,Filas!$N$2:$N$648,"mejora")</f>
        <v>0</v>
      </c>
      <c r="E313" s="4" t="n">
        <f aca="false">COUNTIFS(Filas!$A$2:$A$648,$A313,Filas!$B$2:$B$648,$B313,Filas!$N$2:$N$648,"sin cambio")</f>
        <v>0</v>
      </c>
      <c r="F313" s="4" t="n">
        <f aca="false">COUNTIFS(Filas!$A$2:$A$648,$A313,Filas!$B$2:$B$648,$B313,Filas!$N$2:$N$648,"empeora")</f>
        <v>0</v>
      </c>
      <c r="G313" s="4" t="n">
        <f aca="false">COUNTIFS(Filas!$A$2:$A$648,$A313,Filas!$B$2:$B$648,$B313,Filas!$N$2:$N$648,"mixto")</f>
        <v>1</v>
      </c>
      <c r="H313" s="4" t="n">
        <f aca="false">COUNTIFS(Filas!$A$2:$A$648,$A313,Filas!$B$2:$B$648,$B313,Filas!$S$2:$S$648,"cita encontrada*")+COUNTIFS(Filas!$A$2:$A$648,$A313,Filas!$B$2:$B$648,$B313,Filas!$S$2:$S$648,"página existe*")</f>
        <v>1</v>
      </c>
      <c r="I313" s="4" t="n">
        <f aca="false">COUNTIFS(Filas!$A$2:$A$648,$A313,Filas!$B$2:$B$648,$B313,Filas!$S$2:$S$648,"cita no encontrada*")+COUNTIFS(Filas!$A$2:$A$648,$A313,Filas!$B$2:$B$648,$B313,Filas!$S$2:$S$648,"página no accesible*")</f>
        <v>0</v>
      </c>
    </row>
    <row r="314" customFormat="false" ht="15" hidden="false" customHeight="false" outlineLevel="0" collapsed="false">
      <c r="A314" s="4" t="s">
        <v>7207</v>
      </c>
      <c r="B314" s="4" t="s">
        <v>7279</v>
      </c>
      <c r="C314" s="4" t="n">
        <f aca="false">COUNTIFS(Filas!$A$2:$A$648,$A314,Filas!$B$2:$B$648,$B314)</f>
        <v>1</v>
      </c>
      <c r="D314" s="4" t="n">
        <f aca="false">COUNTIFS(Filas!$A$2:$A$648,$A314,Filas!$B$2:$B$648,$B314,Filas!$N$2:$N$648,"mejora")</f>
        <v>1</v>
      </c>
      <c r="E314" s="4" t="n">
        <f aca="false">COUNTIFS(Filas!$A$2:$A$648,$A314,Filas!$B$2:$B$648,$B314,Filas!$N$2:$N$648,"sin cambio")</f>
        <v>0</v>
      </c>
      <c r="F314" s="4" t="n">
        <f aca="false">COUNTIFS(Filas!$A$2:$A$648,$A314,Filas!$B$2:$B$648,$B314,Filas!$N$2:$N$648,"empeora")</f>
        <v>0</v>
      </c>
      <c r="G314" s="4" t="n">
        <f aca="false">COUNTIFS(Filas!$A$2:$A$648,$A314,Filas!$B$2:$B$648,$B314,Filas!$N$2:$N$648,"mixto")</f>
        <v>0</v>
      </c>
      <c r="H314" s="4" t="n">
        <f aca="false">COUNTIFS(Filas!$A$2:$A$648,$A314,Filas!$B$2:$B$648,$B314,Filas!$S$2:$S$648,"cita encontrada*")+COUNTIFS(Filas!$A$2:$A$648,$A314,Filas!$B$2:$B$648,$B314,Filas!$S$2:$S$648,"página existe*")</f>
        <v>1</v>
      </c>
      <c r="I314" s="4" t="n">
        <f aca="false">COUNTIFS(Filas!$A$2:$A$648,$A314,Filas!$B$2:$B$648,$B314,Filas!$S$2:$S$648,"cita no encontrada*")+COUNTIFS(Filas!$A$2:$A$648,$A314,Filas!$B$2:$B$648,$B314,Filas!$S$2:$S$648,"página no accesible*")</f>
        <v>0</v>
      </c>
    </row>
    <row r="315" customFormat="false" ht="15" hidden="false" customHeight="false" outlineLevel="0" collapsed="false">
      <c r="A315" s="4" t="s">
        <v>7207</v>
      </c>
      <c r="B315" s="4" t="s">
        <v>7293</v>
      </c>
      <c r="C315" s="4" t="n">
        <f aca="false">COUNTIFS(Filas!$A$2:$A$648,$A315,Filas!$B$2:$B$648,$B315)</f>
        <v>1</v>
      </c>
      <c r="D315" s="4" t="n">
        <f aca="false">COUNTIFS(Filas!$A$2:$A$648,$A315,Filas!$B$2:$B$648,$B315,Filas!$N$2:$N$648,"mejora")</f>
        <v>1</v>
      </c>
      <c r="E315" s="4" t="n">
        <f aca="false">COUNTIFS(Filas!$A$2:$A$648,$A315,Filas!$B$2:$B$648,$B315,Filas!$N$2:$N$648,"sin cambio")</f>
        <v>0</v>
      </c>
      <c r="F315" s="4" t="n">
        <f aca="false">COUNTIFS(Filas!$A$2:$A$648,$A315,Filas!$B$2:$B$648,$B315,Filas!$N$2:$N$648,"empeora")</f>
        <v>0</v>
      </c>
      <c r="G315" s="4" t="n">
        <f aca="false">COUNTIFS(Filas!$A$2:$A$648,$A315,Filas!$B$2:$B$648,$B315,Filas!$N$2:$N$648,"mixto")</f>
        <v>0</v>
      </c>
      <c r="H315" s="4" t="n">
        <f aca="false">COUNTIFS(Filas!$A$2:$A$648,$A315,Filas!$B$2:$B$648,$B315,Filas!$S$2:$S$648,"cita encontrada*")+COUNTIFS(Filas!$A$2:$A$648,$A315,Filas!$B$2:$B$648,$B315,Filas!$S$2:$S$648,"página existe*")</f>
        <v>1</v>
      </c>
      <c r="I315" s="4" t="n">
        <f aca="false">COUNTIFS(Filas!$A$2:$A$648,$A315,Filas!$B$2:$B$648,$B315,Filas!$S$2:$S$648,"cita no encontrada*")+COUNTIFS(Filas!$A$2:$A$648,$A315,Filas!$B$2:$B$648,$B315,Filas!$S$2:$S$648,"página no accesible*")</f>
        <v>0</v>
      </c>
    </row>
    <row r="316" customFormat="false" ht="15" hidden="false" customHeight="false" outlineLevel="0" collapsed="false">
      <c r="A316" s="4" t="s">
        <v>7207</v>
      </c>
      <c r="B316" s="4" t="s">
        <v>7305</v>
      </c>
      <c r="C316" s="4" t="n">
        <f aca="false">COUNTIFS(Filas!$A$2:$A$648,$A316,Filas!$B$2:$B$648,$B316)</f>
        <v>1</v>
      </c>
      <c r="D316" s="4" t="n">
        <f aca="false">COUNTIFS(Filas!$A$2:$A$648,$A316,Filas!$B$2:$B$648,$B316,Filas!$N$2:$N$648,"mejora")</f>
        <v>0</v>
      </c>
      <c r="E316" s="4" t="n">
        <f aca="false">COUNTIFS(Filas!$A$2:$A$648,$A316,Filas!$B$2:$B$648,$B316,Filas!$N$2:$N$648,"sin cambio")</f>
        <v>0</v>
      </c>
      <c r="F316" s="4" t="n">
        <f aca="false">COUNTIFS(Filas!$A$2:$A$648,$A316,Filas!$B$2:$B$648,$B316,Filas!$N$2:$N$648,"empeora")</f>
        <v>0</v>
      </c>
      <c r="G316" s="4" t="n">
        <f aca="false">COUNTIFS(Filas!$A$2:$A$648,$A316,Filas!$B$2:$B$648,$B316,Filas!$N$2:$N$648,"mixto")</f>
        <v>0</v>
      </c>
      <c r="H316" s="4" t="n">
        <f aca="false">COUNTIFS(Filas!$A$2:$A$648,$A316,Filas!$B$2:$B$648,$B316,Filas!$S$2:$S$648,"cita encontrada*")+COUNTIFS(Filas!$A$2:$A$648,$A316,Filas!$B$2:$B$648,$B316,Filas!$S$2:$S$648,"página existe*")</f>
        <v>1</v>
      </c>
      <c r="I316" s="4" t="n">
        <f aca="false">COUNTIFS(Filas!$A$2:$A$648,$A316,Filas!$B$2:$B$648,$B316,Filas!$S$2:$S$648,"cita no encontrada*")+COUNTIFS(Filas!$A$2:$A$648,$A316,Filas!$B$2:$B$648,$B316,Filas!$S$2:$S$648,"página no accesible*")</f>
        <v>0</v>
      </c>
    </row>
    <row r="317" customFormat="false" ht="15" hidden="false" customHeight="false" outlineLevel="0" collapsed="false">
      <c r="A317" s="4" t="s">
        <v>7207</v>
      </c>
      <c r="B317" s="4" t="s">
        <v>7318</v>
      </c>
      <c r="C317" s="4" t="n">
        <f aca="false">COUNTIFS(Filas!$A$2:$A$648,$A317,Filas!$B$2:$B$648,$B317)</f>
        <v>1</v>
      </c>
      <c r="D317" s="4" t="n">
        <f aca="false">COUNTIFS(Filas!$A$2:$A$648,$A317,Filas!$B$2:$B$648,$B317,Filas!$N$2:$N$648,"mejora")</f>
        <v>0</v>
      </c>
      <c r="E317" s="4" t="n">
        <f aca="false">COUNTIFS(Filas!$A$2:$A$648,$A317,Filas!$B$2:$B$648,$B317,Filas!$N$2:$N$648,"sin cambio")</f>
        <v>0</v>
      </c>
      <c r="F317" s="4" t="n">
        <f aca="false">COUNTIFS(Filas!$A$2:$A$648,$A317,Filas!$B$2:$B$648,$B317,Filas!$N$2:$N$648,"empeora")</f>
        <v>0</v>
      </c>
      <c r="G317" s="4" t="n">
        <f aca="false">COUNTIFS(Filas!$A$2:$A$648,$A317,Filas!$B$2:$B$648,$B317,Filas!$N$2:$N$648,"mixto")</f>
        <v>0</v>
      </c>
      <c r="H317" s="4" t="n">
        <f aca="false">COUNTIFS(Filas!$A$2:$A$648,$A317,Filas!$B$2:$B$648,$B317,Filas!$S$2:$S$648,"cita encontrada*")+COUNTIFS(Filas!$A$2:$A$648,$A317,Filas!$B$2:$B$648,$B317,Filas!$S$2:$S$648,"página existe*")</f>
        <v>1</v>
      </c>
      <c r="I317" s="4" t="n">
        <f aca="false">COUNTIFS(Filas!$A$2:$A$648,$A317,Filas!$B$2:$B$648,$B317,Filas!$S$2:$S$648,"cita no encontrada*")+COUNTIFS(Filas!$A$2:$A$648,$A317,Filas!$B$2:$B$648,$B317,Filas!$S$2:$S$648,"página no accesible*")</f>
        <v>0</v>
      </c>
    </row>
    <row r="318" customFormat="false" ht="15" hidden="false" customHeight="false" outlineLevel="0" collapsed="false">
      <c r="A318" s="4" t="s">
        <v>7207</v>
      </c>
      <c r="B318" s="4" t="s">
        <v>7326</v>
      </c>
      <c r="C318" s="4" t="n">
        <f aca="false">COUNTIFS(Filas!$A$2:$A$648,$A318,Filas!$B$2:$B$648,$B318)</f>
        <v>1</v>
      </c>
      <c r="D318" s="4" t="n">
        <f aca="false">COUNTIFS(Filas!$A$2:$A$648,$A318,Filas!$B$2:$B$648,$B318,Filas!$N$2:$N$648,"mejora")</f>
        <v>0</v>
      </c>
      <c r="E318" s="4" t="n">
        <f aca="false">COUNTIFS(Filas!$A$2:$A$648,$A318,Filas!$B$2:$B$648,$B318,Filas!$N$2:$N$648,"sin cambio")</f>
        <v>0</v>
      </c>
      <c r="F318" s="4" t="n">
        <f aca="false">COUNTIFS(Filas!$A$2:$A$648,$A318,Filas!$B$2:$B$648,$B318,Filas!$N$2:$N$648,"empeora")</f>
        <v>0</v>
      </c>
      <c r="G318" s="4" t="n">
        <f aca="false">COUNTIFS(Filas!$A$2:$A$648,$A318,Filas!$B$2:$B$648,$B318,Filas!$N$2:$N$648,"mixto")</f>
        <v>0</v>
      </c>
      <c r="H318" s="4" t="n">
        <f aca="false">COUNTIFS(Filas!$A$2:$A$648,$A318,Filas!$B$2:$B$648,$B318,Filas!$S$2:$S$648,"cita encontrada*")+COUNTIFS(Filas!$A$2:$A$648,$A318,Filas!$B$2:$B$648,$B318,Filas!$S$2:$S$648,"página existe*")</f>
        <v>1</v>
      </c>
      <c r="I318" s="4" t="n">
        <f aca="false">COUNTIFS(Filas!$A$2:$A$648,$A318,Filas!$B$2:$B$648,$B318,Filas!$S$2:$S$648,"cita no encontrada*")+COUNTIFS(Filas!$A$2:$A$648,$A318,Filas!$B$2:$B$648,$B318,Filas!$S$2:$S$648,"página no accesible*")</f>
        <v>0</v>
      </c>
    </row>
    <row r="319" customFormat="false" ht="15" hidden="false" customHeight="false" outlineLevel="0" collapsed="false">
      <c r="A319" s="4" t="s">
        <v>7207</v>
      </c>
      <c r="B319" s="4" t="s">
        <v>2664</v>
      </c>
      <c r="C319" s="4" t="n">
        <f aca="false">COUNTIFS(Filas!$A$2:$A$648,$A319,Filas!$B$2:$B$648,$B319)</f>
        <v>4</v>
      </c>
      <c r="D319" s="4" t="n">
        <f aca="false">COUNTIFS(Filas!$A$2:$A$648,$A319,Filas!$B$2:$B$648,$B319,Filas!$N$2:$N$648,"mejora")</f>
        <v>1</v>
      </c>
      <c r="E319" s="4" t="n">
        <f aca="false">COUNTIFS(Filas!$A$2:$A$648,$A319,Filas!$B$2:$B$648,$B319,Filas!$N$2:$N$648,"sin cambio")</f>
        <v>0</v>
      </c>
      <c r="F319" s="4" t="n">
        <f aca="false">COUNTIFS(Filas!$A$2:$A$648,$A319,Filas!$B$2:$B$648,$B319,Filas!$N$2:$N$648,"empeora")</f>
        <v>0</v>
      </c>
      <c r="G319" s="4" t="n">
        <f aca="false">COUNTIFS(Filas!$A$2:$A$648,$A319,Filas!$B$2:$B$648,$B319,Filas!$N$2:$N$648,"mixto")</f>
        <v>2</v>
      </c>
      <c r="H319" s="4" t="n">
        <f aca="false">COUNTIFS(Filas!$A$2:$A$648,$A319,Filas!$B$2:$B$648,$B319,Filas!$S$2:$S$648,"cita encontrada*")+COUNTIFS(Filas!$A$2:$A$648,$A319,Filas!$B$2:$B$648,$B319,Filas!$S$2:$S$648,"página existe*")</f>
        <v>4</v>
      </c>
      <c r="I319" s="4" t="n">
        <f aca="false">COUNTIFS(Filas!$A$2:$A$648,$A319,Filas!$B$2:$B$648,$B319,Filas!$S$2:$S$648,"cita no encontrada*")+COUNTIFS(Filas!$A$2:$A$648,$A319,Filas!$B$2:$B$648,$B319,Filas!$S$2:$S$648,"página no accesible*")</f>
        <v>0</v>
      </c>
    </row>
    <row r="320" customFormat="false" ht="15" hidden="false" customHeight="false" outlineLevel="0" collapsed="false">
      <c r="A320" s="4" t="s">
        <v>7207</v>
      </c>
      <c r="B320" s="4" t="s">
        <v>7385</v>
      </c>
      <c r="C320" s="4" t="n">
        <f aca="false">COUNTIFS(Filas!$A$2:$A$648,$A320,Filas!$B$2:$B$648,$B320)</f>
        <v>2</v>
      </c>
      <c r="D320" s="4" t="n">
        <f aca="false">COUNTIFS(Filas!$A$2:$A$648,$A320,Filas!$B$2:$B$648,$B320,Filas!$N$2:$N$648,"mejora")</f>
        <v>1</v>
      </c>
      <c r="E320" s="4" t="n">
        <f aca="false">COUNTIFS(Filas!$A$2:$A$648,$A320,Filas!$B$2:$B$648,$B320,Filas!$N$2:$N$648,"sin cambio")</f>
        <v>0</v>
      </c>
      <c r="F320" s="4" t="n">
        <f aca="false">COUNTIFS(Filas!$A$2:$A$648,$A320,Filas!$B$2:$B$648,$B320,Filas!$N$2:$N$648,"empeora")</f>
        <v>0</v>
      </c>
      <c r="G320" s="4" t="n">
        <f aca="false">COUNTIFS(Filas!$A$2:$A$648,$A320,Filas!$B$2:$B$648,$B320,Filas!$N$2:$N$648,"mixto")</f>
        <v>1</v>
      </c>
      <c r="H320" s="4" t="n">
        <f aca="false">COUNTIFS(Filas!$A$2:$A$648,$A320,Filas!$B$2:$B$648,$B320,Filas!$S$2:$S$648,"cita encontrada*")+COUNTIFS(Filas!$A$2:$A$648,$A320,Filas!$B$2:$B$648,$B320,Filas!$S$2:$S$648,"página existe*")</f>
        <v>2</v>
      </c>
      <c r="I320" s="4" t="n">
        <f aca="false">COUNTIFS(Filas!$A$2:$A$648,$A320,Filas!$B$2:$B$648,$B320,Filas!$S$2:$S$648,"cita no encontrada*")+COUNTIFS(Filas!$A$2:$A$648,$A320,Filas!$B$2:$B$648,$B320,Filas!$S$2:$S$648,"página no accesible*")</f>
        <v>0</v>
      </c>
    </row>
    <row r="321" customFormat="false" ht="15" hidden="false" customHeight="false" outlineLevel="0" collapsed="false">
      <c r="A321" s="4" t="s">
        <v>7207</v>
      </c>
      <c r="B321" s="4" t="s">
        <v>7411</v>
      </c>
      <c r="C321" s="4" t="n">
        <f aca="false">COUNTIFS(Filas!$A$2:$A$648,$A321,Filas!$B$2:$B$648,$B321)</f>
        <v>3</v>
      </c>
      <c r="D321" s="4" t="n">
        <f aca="false">COUNTIFS(Filas!$A$2:$A$648,$A321,Filas!$B$2:$B$648,$B321,Filas!$N$2:$N$648,"mejora")</f>
        <v>1</v>
      </c>
      <c r="E321" s="4" t="n">
        <f aca="false">COUNTIFS(Filas!$A$2:$A$648,$A321,Filas!$B$2:$B$648,$B321,Filas!$N$2:$N$648,"sin cambio")</f>
        <v>0</v>
      </c>
      <c r="F321" s="4" t="n">
        <f aca="false">COUNTIFS(Filas!$A$2:$A$648,$A321,Filas!$B$2:$B$648,$B321,Filas!$N$2:$N$648,"empeora")</f>
        <v>0</v>
      </c>
      <c r="G321" s="4" t="n">
        <f aca="false">COUNTIFS(Filas!$A$2:$A$648,$A321,Filas!$B$2:$B$648,$B321,Filas!$N$2:$N$648,"mixto")</f>
        <v>2</v>
      </c>
      <c r="H321" s="4" t="n">
        <f aca="false">COUNTIFS(Filas!$A$2:$A$648,$A321,Filas!$B$2:$B$648,$B321,Filas!$S$2:$S$648,"cita encontrada*")+COUNTIFS(Filas!$A$2:$A$648,$A321,Filas!$B$2:$B$648,$B321,Filas!$S$2:$S$648,"página existe*")</f>
        <v>3</v>
      </c>
      <c r="I321" s="4" t="n">
        <f aca="false">COUNTIFS(Filas!$A$2:$A$648,$A321,Filas!$B$2:$B$648,$B321,Filas!$S$2:$S$648,"cita no encontrada*")+COUNTIFS(Filas!$A$2:$A$648,$A321,Filas!$B$2:$B$648,$B321,Filas!$S$2:$S$648,"página no accesible*")</f>
        <v>0</v>
      </c>
    </row>
    <row r="322" customFormat="false" ht="15" hidden="false" customHeight="false" outlineLevel="0" collapsed="false">
      <c r="A322" s="4" t="s">
        <v>7207</v>
      </c>
      <c r="B322" s="4" t="s">
        <v>7444</v>
      </c>
      <c r="C322" s="4" t="n">
        <f aca="false">COUNTIFS(Filas!$A$2:$A$648,$A322,Filas!$B$2:$B$648,$B322)</f>
        <v>2</v>
      </c>
      <c r="D322" s="4" t="n">
        <f aca="false">COUNTIFS(Filas!$A$2:$A$648,$A322,Filas!$B$2:$B$648,$B322,Filas!$N$2:$N$648,"mejora")</f>
        <v>2</v>
      </c>
      <c r="E322" s="4" t="n">
        <f aca="false">COUNTIFS(Filas!$A$2:$A$648,$A322,Filas!$B$2:$B$648,$B322,Filas!$N$2:$N$648,"sin cambio")</f>
        <v>0</v>
      </c>
      <c r="F322" s="4" t="n">
        <f aca="false">COUNTIFS(Filas!$A$2:$A$648,$A322,Filas!$B$2:$B$648,$B322,Filas!$N$2:$N$648,"empeora")</f>
        <v>0</v>
      </c>
      <c r="G322" s="4" t="n">
        <f aca="false">COUNTIFS(Filas!$A$2:$A$648,$A322,Filas!$B$2:$B$648,$B322,Filas!$N$2:$N$648,"mixto")</f>
        <v>0</v>
      </c>
      <c r="H322" s="4" t="n">
        <f aca="false">COUNTIFS(Filas!$A$2:$A$648,$A322,Filas!$B$2:$B$648,$B322,Filas!$S$2:$S$648,"cita encontrada*")+COUNTIFS(Filas!$A$2:$A$648,$A322,Filas!$B$2:$B$648,$B322,Filas!$S$2:$S$648,"página existe*")</f>
        <v>2</v>
      </c>
      <c r="I322" s="4" t="n">
        <f aca="false">COUNTIFS(Filas!$A$2:$A$648,$A322,Filas!$B$2:$B$648,$B322,Filas!$S$2:$S$648,"cita no encontrada*")+COUNTIFS(Filas!$A$2:$A$648,$A322,Filas!$B$2:$B$648,$B322,Filas!$S$2:$S$648,"página no accesible*")</f>
        <v>0</v>
      </c>
    </row>
    <row r="323" customFormat="false" ht="15" hidden="false" customHeight="false" outlineLevel="0" collapsed="false">
      <c r="A323" s="4" t="s">
        <v>7207</v>
      </c>
      <c r="B323" s="4" t="s">
        <v>7466</v>
      </c>
      <c r="C323" s="4" t="n">
        <f aca="false">COUNTIFS(Filas!$A$2:$A$648,$A323,Filas!$B$2:$B$648,$B323)</f>
        <v>1</v>
      </c>
      <c r="D323" s="4" t="n">
        <f aca="false">COUNTIFS(Filas!$A$2:$A$648,$A323,Filas!$B$2:$B$648,$B323,Filas!$N$2:$N$648,"mejora")</f>
        <v>1</v>
      </c>
      <c r="E323" s="4" t="n">
        <f aca="false">COUNTIFS(Filas!$A$2:$A$648,$A323,Filas!$B$2:$B$648,$B323,Filas!$N$2:$N$648,"sin cambio")</f>
        <v>0</v>
      </c>
      <c r="F323" s="4" t="n">
        <f aca="false">COUNTIFS(Filas!$A$2:$A$648,$A323,Filas!$B$2:$B$648,$B323,Filas!$N$2:$N$648,"empeora")</f>
        <v>0</v>
      </c>
      <c r="G323" s="4" t="n">
        <f aca="false">COUNTIFS(Filas!$A$2:$A$648,$A323,Filas!$B$2:$B$648,$B323,Filas!$N$2:$N$648,"mixto")</f>
        <v>0</v>
      </c>
      <c r="H323" s="4" t="n">
        <f aca="false">COUNTIFS(Filas!$A$2:$A$648,$A323,Filas!$B$2:$B$648,$B323,Filas!$S$2:$S$648,"cita encontrada*")+COUNTIFS(Filas!$A$2:$A$648,$A323,Filas!$B$2:$B$648,$B323,Filas!$S$2:$S$648,"página existe*")</f>
        <v>1</v>
      </c>
      <c r="I323" s="4" t="n">
        <f aca="false">COUNTIFS(Filas!$A$2:$A$648,$A323,Filas!$B$2:$B$648,$B323,Filas!$S$2:$S$648,"cita no encontrada*")+COUNTIFS(Filas!$A$2:$A$648,$A323,Filas!$B$2:$B$648,$B323,Filas!$S$2:$S$648,"página no accesible*")</f>
        <v>0</v>
      </c>
    </row>
    <row r="324" customFormat="false" ht="15" hidden="false" customHeight="false" outlineLevel="0" collapsed="false">
      <c r="A324" s="4" t="s">
        <v>7207</v>
      </c>
      <c r="B324" s="4" t="s">
        <v>1943</v>
      </c>
      <c r="C324" s="4" t="n">
        <f aca="false">COUNTIFS(Filas!$A$2:$A$648,$A324,Filas!$B$2:$B$648,$B324)</f>
        <v>1</v>
      </c>
      <c r="D324" s="4" t="n">
        <f aca="false">COUNTIFS(Filas!$A$2:$A$648,$A324,Filas!$B$2:$B$648,$B324,Filas!$N$2:$N$648,"mejora")</f>
        <v>0</v>
      </c>
      <c r="E324" s="4" t="n">
        <f aca="false">COUNTIFS(Filas!$A$2:$A$648,$A324,Filas!$B$2:$B$648,$B324,Filas!$N$2:$N$648,"sin cambio")</f>
        <v>0</v>
      </c>
      <c r="F324" s="4" t="n">
        <f aca="false">COUNTIFS(Filas!$A$2:$A$648,$A324,Filas!$B$2:$B$648,$B324,Filas!$N$2:$N$648,"empeora")</f>
        <v>1</v>
      </c>
      <c r="G324" s="4" t="n">
        <f aca="false">COUNTIFS(Filas!$A$2:$A$648,$A324,Filas!$B$2:$B$648,$B324,Filas!$N$2:$N$648,"mixto")</f>
        <v>0</v>
      </c>
      <c r="H324" s="4" t="n">
        <f aca="false">COUNTIFS(Filas!$A$2:$A$648,$A324,Filas!$B$2:$B$648,$B324,Filas!$S$2:$S$648,"cita encontrada*")+COUNTIFS(Filas!$A$2:$A$648,$A324,Filas!$B$2:$B$648,$B324,Filas!$S$2:$S$648,"página existe*")</f>
        <v>1</v>
      </c>
      <c r="I324" s="4" t="n">
        <f aca="false">COUNTIFS(Filas!$A$2:$A$648,$A324,Filas!$B$2:$B$648,$B324,Filas!$S$2:$S$648,"cita no encontrada*")+COUNTIFS(Filas!$A$2:$A$648,$A324,Filas!$B$2:$B$648,$B324,Filas!$S$2:$S$648,"página no accesible*")</f>
        <v>0</v>
      </c>
    </row>
    <row r="325" customFormat="false" ht="15" hidden="false" customHeight="false" outlineLevel="0" collapsed="false">
      <c r="A325" s="4" t="s">
        <v>7207</v>
      </c>
      <c r="B325" s="4" t="s">
        <v>1972</v>
      </c>
      <c r="C325" s="4" t="n">
        <f aca="false">COUNTIFS(Filas!$A$2:$A$648,$A325,Filas!$B$2:$B$648,$B325)</f>
        <v>1</v>
      </c>
      <c r="D325" s="4" t="n">
        <f aca="false">COUNTIFS(Filas!$A$2:$A$648,$A325,Filas!$B$2:$B$648,$B325,Filas!$N$2:$N$648,"mejora")</f>
        <v>0</v>
      </c>
      <c r="E325" s="4" t="n">
        <f aca="false">COUNTIFS(Filas!$A$2:$A$648,$A325,Filas!$B$2:$B$648,$B325,Filas!$N$2:$N$648,"sin cambio")</f>
        <v>1</v>
      </c>
      <c r="F325" s="4" t="n">
        <f aca="false">COUNTIFS(Filas!$A$2:$A$648,$A325,Filas!$B$2:$B$648,$B325,Filas!$N$2:$N$648,"empeora")</f>
        <v>0</v>
      </c>
      <c r="G325" s="4" t="n">
        <f aca="false">COUNTIFS(Filas!$A$2:$A$648,$A325,Filas!$B$2:$B$648,$B325,Filas!$N$2:$N$648,"mixto")</f>
        <v>0</v>
      </c>
      <c r="H325" s="4" t="n">
        <f aca="false">COUNTIFS(Filas!$A$2:$A$648,$A325,Filas!$B$2:$B$648,$B325,Filas!$S$2:$S$648,"cita encontrada*")+COUNTIFS(Filas!$A$2:$A$648,$A325,Filas!$B$2:$B$648,$B325,Filas!$S$2:$S$648,"página existe*")</f>
        <v>1</v>
      </c>
      <c r="I325" s="4" t="n">
        <f aca="false">COUNTIFS(Filas!$A$2:$A$648,$A325,Filas!$B$2:$B$648,$B325,Filas!$S$2:$S$648,"cita no encontrada*")+COUNTIFS(Filas!$A$2:$A$648,$A325,Filas!$B$2:$B$648,$B325,Filas!$S$2:$S$648,"página no accesible*")</f>
        <v>0</v>
      </c>
    </row>
    <row r="326" customFormat="false" ht="15" hidden="false" customHeight="false" outlineLevel="0" collapsed="false">
      <c r="A326" s="4" t="s">
        <v>7207</v>
      </c>
      <c r="B326" s="4" t="s">
        <v>7497</v>
      </c>
      <c r="C326" s="4" t="n">
        <f aca="false">COUNTIFS(Filas!$A$2:$A$648,$A326,Filas!$B$2:$B$648,$B326)</f>
        <v>2</v>
      </c>
      <c r="D326" s="4" t="n">
        <f aca="false">COUNTIFS(Filas!$A$2:$A$648,$A326,Filas!$B$2:$B$648,$B326,Filas!$N$2:$N$648,"mejora")</f>
        <v>2</v>
      </c>
      <c r="E326" s="4" t="n">
        <f aca="false">COUNTIFS(Filas!$A$2:$A$648,$A326,Filas!$B$2:$B$648,$B326,Filas!$N$2:$N$648,"sin cambio")</f>
        <v>0</v>
      </c>
      <c r="F326" s="4" t="n">
        <f aca="false">COUNTIFS(Filas!$A$2:$A$648,$A326,Filas!$B$2:$B$648,$B326,Filas!$N$2:$N$648,"empeora")</f>
        <v>0</v>
      </c>
      <c r="G326" s="4" t="n">
        <f aca="false">COUNTIFS(Filas!$A$2:$A$648,$A326,Filas!$B$2:$B$648,$B326,Filas!$N$2:$N$648,"mixto")</f>
        <v>0</v>
      </c>
      <c r="H326" s="4" t="n">
        <f aca="false">COUNTIFS(Filas!$A$2:$A$648,$A326,Filas!$B$2:$B$648,$B326,Filas!$S$2:$S$648,"cita encontrada*")+COUNTIFS(Filas!$A$2:$A$648,$A326,Filas!$B$2:$B$648,$B326,Filas!$S$2:$S$648,"página existe*")</f>
        <v>2</v>
      </c>
      <c r="I326" s="4" t="n">
        <f aca="false">COUNTIFS(Filas!$A$2:$A$648,$A326,Filas!$B$2:$B$648,$B326,Filas!$S$2:$S$648,"cita no encontrada*")+COUNTIFS(Filas!$A$2:$A$648,$A326,Filas!$B$2:$B$648,$B326,Filas!$S$2:$S$648,"página no accesible*")</f>
        <v>0</v>
      </c>
    </row>
    <row r="327" customFormat="false" ht="15" hidden="false" customHeight="false" outlineLevel="0" collapsed="false">
      <c r="A327" s="4" t="s">
        <v>7207</v>
      </c>
      <c r="B327" s="4" t="s">
        <v>7522</v>
      </c>
      <c r="C327" s="4" t="n">
        <f aca="false">COUNTIFS(Filas!$A$2:$A$648,$A327,Filas!$B$2:$B$648,$B327)</f>
        <v>2</v>
      </c>
      <c r="D327" s="4" t="n">
        <f aca="false">COUNTIFS(Filas!$A$2:$A$648,$A327,Filas!$B$2:$B$648,$B327,Filas!$N$2:$N$648,"mejora")</f>
        <v>2</v>
      </c>
      <c r="E327" s="4" t="n">
        <f aca="false">COUNTIFS(Filas!$A$2:$A$648,$A327,Filas!$B$2:$B$648,$B327,Filas!$N$2:$N$648,"sin cambio")</f>
        <v>0</v>
      </c>
      <c r="F327" s="4" t="n">
        <f aca="false">COUNTIFS(Filas!$A$2:$A$648,$A327,Filas!$B$2:$B$648,$B327,Filas!$N$2:$N$648,"empeora")</f>
        <v>0</v>
      </c>
      <c r="G327" s="4" t="n">
        <f aca="false">COUNTIFS(Filas!$A$2:$A$648,$A327,Filas!$B$2:$B$648,$B327,Filas!$N$2:$N$648,"mixto")</f>
        <v>0</v>
      </c>
      <c r="H327" s="4" t="n">
        <f aca="false">COUNTIFS(Filas!$A$2:$A$648,$A327,Filas!$B$2:$B$648,$B327,Filas!$S$2:$S$648,"cita encontrada*")+COUNTIFS(Filas!$A$2:$A$648,$A327,Filas!$B$2:$B$648,$B327,Filas!$S$2:$S$648,"página existe*")</f>
        <v>2</v>
      </c>
      <c r="I327" s="4" t="n">
        <f aca="false">COUNTIFS(Filas!$A$2:$A$648,$A327,Filas!$B$2:$B$648,$B327,Filas!$S$2:$S$648,"cita no encontrada*")+COUNTIFS(Filas!$A$2:$A$648,$A327,Filas!$B$2:$B$648,$B327,Filas!$S$2:$S$648,"página no accesible*")</f>
        <v>0</v>
      </c>
    </row>
    <row r="328" customFormat="false" ht="15" hidden="false" customHeight="false" outlineLevel="0" collapsed="false">
      <c r="A328" s="4" t="s">
        <v>7207</v>
      </c>
      <c r="B328" s="4" t="s">
        <v>7546</v>
      </c>
      <c r="C328" s="4" t="n">
        <f aca="false">COUNTIFS(Filas!$A$2:$A$648,$A328,Filas!$B$2:$B$648,$B328)</f>
        <v>2</v>
      </c>
      <c r="D328" s="4" t="n">
        <f aca="false">COUNTIFS(Filas!$A$2:$A$648,$A328,Filas!$B$2:$B$648,$B328,Filas!$N$2:$N$648,"mejora")</f>
        <v>2</v>
      </c>
      <c r="E328" s="4" t="n">
        <f aca="false">COUNTIFS(Filas!$A$2:$A$648,$A328,Filas!$B$2:$B$648,$B328,Filas!$N$2:$N$648,"sin cambio")</f>
        <v>0</v>
      </c>
      <c r="F328" s="4" t="n">
        <f aca="false">COUNTIFS(Filas!$A$2:$A$648,$A328,Filas!$B$2:$B$648,$B328,Filas!$N$2:$N$648,"empeora")</f>
        <v>0</v>
      </c>
      <c r="G328" s="4" t="n">
        <f aca="false">COUNTIFS(Filas!$A$2:$A$648,$A328,Filas!$B$2:$B$648,$B328,Filas!$N$2:$N$648,"mixto")</f>
        <v>0</v>
      </c>
      <c r="H328" s="4" t="n">
        <f aca="false">COUNTIFS(Filas!$A$2:$A$648,$A328,Filas!$B$2:$B$648,$B328,Filas!$S$2:$S$648,"cita encontrada*")+COUNTIFS(Filas!$A$2:$A$648,$A328,Filas!$B$2:$B$648,$B328,Filas!$S$2:$S$648,"página existe*")</f>
        <v>2</v>
      </c>
      <c r="I328" s="4" t="n">
        <f aca="false">COUNTIFS(Filas!$A$2:$A$648,$A328,Filas!$B$2:$B$648,$B328,Filas!$S$2:$S$648,"cita no encontrada*")+COUNTIFS(Filas!$A$2:$A$648,$A328,Filas!$B$2:$B$648,$B328,Filas!$S$2:$S$648,"página no accesible*")</f>
        <v>0</v>
      </c>
    </row>
    <row r="329" customFormat="false" ht="15" hidden="false" customHeight="false" outlineLevel="0" collapsed="false">
      <c r="A329" s="4" t="s">
        <v>7207</v>
      </c>
      <c r="B329" s="4" t="s">
        <v>7573</v>
      </c>
      <c r="C329" s="4" t="n">
        <f aca="false">COUNTIFS(Filas!$A$2:$A$648,$A329,Filas!$B$2:$B$648,$B329)</f>
        <v>1</v>
      </c>
      <c r="D329" s="4" t="n">
        <f aca="false">COUNTIFS(Filas!$A$2:$A$648,$A329,Filas!$B$2:$B$648,$B329,Filas!$N$2:$N$648,"mejora")</f>
        <v>0</v>
      </c>
      <c r="E329" s="4" t="n">
        <f aca="false">COUNTIFS(Filas!$A$2:$A$648,$A329,Filas!$B$2:$B$648,$B329,Filas!$N$2:$N$648,"sin cambio")</f>
        <v>1</v>
      </c>
      <c r="F329" s="4" t="n">
        <f aca="false">COUNTIFS(Filas!$A$2:$A$648,$A329,Filas!$B$2:$B$648,$B329,Filas!$N$2:$N$648,"empeora")</f>
        <v>0</v>
      </c>
      <c r="G329" s="4" t="n">
        <f aca="false">COUNTIFS(Filas!$A$2:$A$648,$A329,Filas!$B$2:$B$648,$B329,Filas!$N$2:$N$648,"mixto")</f>
        <v>0</v>
      </c>
      <c r="H329" s="4" t="n">
        <f aca="false">COUNTIFS(Filas!$A$2:$A$648,$A329,Filas!$B$2:$B$648,$B329,Filas!$S$2:$S$648,"cita encontrada*")+COUNTIFS(Filas!$A$2:$A$648,$A329,Filas!$B$2:$B$648,$B329,Filas!$S$2:$S$648,"página existe*")</f>
        <v>1</v>
      </c>
      <c r="I329" s="4" t="n">
        <f aca="false">COUNTIFS(Filas!$A$2:$A$648,$A329,Filas!$B$2:$B$648,$B329,Filas!$S$2:$S$648,"cita no encontrada*")+COUNTIFS(Filas!$A$2:$A$648,$A329,Filas!$B$2:$B$648,$B329,Filas!$S$2:$S$648,"página no accesible*")</f>
        <v>0</v>
      </c>
    </row>
    <row r="330" customFormat="false" ht="15" hidden="false" customHeight="false" outlineLevel="0" collapsed="false">
      <c r="A330" s="4" t="s">
        <v>7207</v>
      </c>
      <c r="B330" s="4" t="s">
        <v>7582</v>
      </c>
      <c r="C330" s="4" t="n">
        <f aca="false">COUNTIFS(Filas!$A$2:$A$648,$A330,Filas!$B$2:$B$648,$B330)</f>
        <v>1</v>
      </c>
      <c r="D330" s="4" t="n">
        <f aca="false">COUNTIFS(Filas!$A$2:$A$648,$A330,Filas!$B$2:$B$648,$B330,Filas!$N$2:$N$648,"mejora")</f>
        <v>0</v>
      </c>
      <c r="E330" s="4" t="n">
        <f aca="false">COUNTIFS(Filas!$A$2:$A$648,$A330,Filas!$B$2:$B$648,$B330,Filas!$N$2:$N$648,"sin cambio")</f>
        <v>1</v>
      </c>
      <c r="F330" s="4" t="n">
        <f aca="false">COUNTIFS(Filas!$A$2:$A$648,$A330,Filas!$B$2:$B$648,$B330,Filas!$N$2:$N$648,"empeora")</f>
        <v>0</v>
      </c>
      <c r="G330" s="4" t="n">
        <f aca="false">COUNTIFS(Filas!$A$2:$A$648,$A330,Filas!$B$2:$B$648,$B330,Filas!$N$2:$N$648,"mixto")</f>
        <v>0</v>
      </c>
      <c r="H330" s="4" t="n">
        <f aca="false">COUNTIFS(Filas!$A$2:$A$648,$A330,Filas!$B$2:$B$648,$B330,Filas!$S$2:$S$648,"cita encontrada*")+COUNTIFS(Filas!$A$2:$A$648,$A330,Filas!$B$2:$B$648,$B330,Filas!$S$2:$S$648,"página existe*")</f>
        <v>1</v>
      </c>
      <c r="I330" s="4" t="n">
        <f aca="false">COUNTIFS(Filas!$A$2:$A$648,$A330,Filas!$B$2:$B$648,$B330,Filas!$S$2:$S$648,"cita no encontrada*")+COUNTIFS(Filas!$A$2:$A$648,$A330,Filas!$B$2:$B$648,$B330,Filas!$S$2:$S$648,"página no accesible*")</f>
        <v>0</v>
      </c>
    </row>
    <row r="331" customFormat="false" ht="15" hidden="false" customHeight="false" outlineLevel="0" collapsed="false">
      <c r="A331" s="4" t="s">
        <v>7207</v>
      </c>
      <c r="B331" s="4" t="s">
        <v>7594</v>
      </c>
      <c r="C331" s="4" t="n">
        <f aca="false">COUNTIFS(Filas!$A$2:$A$648,$A331,Filas!$B$2:$B$648,$B331)</f>
        <v>2</v>
      </c>
      <c r="D331" s="4" t="n">
        <f aca="false">COUNTIFS(Filas!$A$2:$A$648,$A331,Filas!$B$2:$B$648,$B331,Filas!$N$2:$N$648,"mejora")</f>
        <v>1</v>
      </c>
      <c r="E331" s="4" t="n">
        <f aca="false">COUNTIFS(Filas!$A$2:$A$648,$A331,Filas!$B$2:$B$648,$B331,Filas!$N$2:$N$648,"sin cambio")</f>
        <v>0</v>
      </c>
      <c r="F331" s="4" t="n">
        <f aca="false">COUNTIFS(Filas!$A$2:$A$648,$A331,Filas!$B$2:$B$648,$B331,Filas!$N$2:$N$648,"empeora")</f>
        <v>0</v>
      </c>
      <c r="G331" s="4" t="n">
        <f aca="false">COUNTIFS(Filas!$A$2:$A$648,$A331,Filas!$B$2:$B$648,$B331,Filas!$N$2:$N$648,"mixto")</f>
        <v>1</v>
      </c>
      <c r="H331" s="4" t="n">
        <f aca="false">COUNTIFS(Filas!$A$2:$A$648,$A331,Filas!$B$2:$B$648,$B331,Filas!$S$2:$S$648,"cita encontrada*")+COUNTIFS(Filas!$A$2:$A$648,$A331,Filas!$B$2:$B$648,$B331,Filas!$S$2:$S$648,"página existe*")</f>
        <v>2</v>
      </c>
      <c r="I331" s="4" t="n">
        <f aca="false">COUNTIFS(Filas!$A$2:$A$648,$A331,Filas!$B$2:$B$648,$B331,Filas!$S$2:$S$648,"cita no encontrada*")+COUNTIFS(Filas!$A$2:$A$648,$A331,Filas!$B$2:$B$648,$B331,Filas!$S$2:$S$648,"página no accesible*")</f>
        <v>0</v>
      </c>
    </row>
    <row r="332" customFormat="false" ht="15" hidden="false" customHeight="false" outlineLevel="0" collapsed="false">
      <c r="A332" s="4" t="s">
        <v>7207</v>
      </c>
      <c r="B332" s="4" t="s">
        <v>7615</v>
      </c>
      <c r="C332" s="4" t="n">
        <f aca="false">COUNTIFS(Filas!$A$2:$A$648,$A332,Filas!$B$2:$B$648,$B332)</f>
        <v>2</v>
      </c>
      <c r="D332" s="4" t="n">
        <f aca="false">COUNTIFS(Filas!$A$2:$A$648,$A332,Filas!$B$2:$B$648,$B332,Filas!$N$2:$N$648,"mejora")</f>
        <v>0</v>
      </c>
      <c r="E332" s="4" t="n">
        <f aca="false">COUNTIFS(Filas!$A$2:$A$648,$A332,Filas!$B$2:$B$648,$B332,Filas!$N$2:$N$648,"sin cambio")</f>
        <v>0</v>
      </c>
      <c r="F332" s="4" t="n">
        <f aca="false">COUNTIFS(Filas!$A$2:$A$648,$A332,Filas!$B$2:$B$648,$B332,Filas!$N$2:$N$648,"empeora")</f>
        <v>0</v>
      </c>
      <c r="G332" s="4" t="n">
        <f aca="false">COUNTIFS(Filas!$A$2:$A$648,$A332,Filas!$B$2:$B$648,$B332,Filas!$N$2:$N$648,"mixto")</f>
        <v>0</v>
      </c>
      <c r="H332" s="4" t="n">
        <f aca="false">COUNTIFS(Filas!$A$2:$A$648,$A332,Filas!$B$2:$B$648,$B332,Filas!$S$2:$S$648,"cita encontrada*")+COUNTIFS(Filas!$A$2:$A$648,$A332,Filas!$B$2:$B$648,$B332,Filas!$S$2:$S$648,"página existe*")</f>
        <v>2</v>
      </c>
      <c r="I332" s="4" t="n">
        <f aca="false">COUNTIFS(Filas!$A$2:$A$648,$A332,Filas!$B$2:$B$648,$B332,Filas!$S$2:$S$648,"cita no encontrada*")+COUNTIFS(Filas!$A$2:$A$648,$A332,Filas!$B$2:$B$648,$B332,Filas!$S$2:$S$648,"página no accesible*")</f>
        <v>0</v>
      </c>
    </row>
    <row r="333" customFormat="false" ht="15" hidden="false" customHeight="false" outlineLevel="0" collapsed="false">
      <c r="A333" s="4" t="s">
        <v>7207</v>
      </c>
      <c r="B333" s="4" t="s">
        <v>7639</v>
      </c>
      <c r="C333" s="4" t="n">
        <f aca="false">COUNTIFS(Filas!$A$2:$A$648,$A333,Filas!$B$2:$B$648,$B333)</f>
        <v>2</v>
      </c>
      <c r="D333" s="4" t="n">
        <f aca="false">COUNTIFS(Filas!$A$2:$A$648,$A333,Filas!$B$2:$B$648,$B333,Filas!$N$2:$N$648,"mejora")</f>
        <v>0</v>
      </c>
      <c r="E333" s="4" t="n">
        <f aca="false">COUNTIFS(Filas!$A$2:$A$648,$A333,Filas!$B$2:$B$648,$B333,Filas!$N$2:$N$648,"sin cambio")</f>
        <v>0</v>
      </c>
      <c r="F333" s="4" t="n">
        <f aca="false">COUNTIFS(Filas!$A$2:$A$648,$A333,Filas!$B$2:$B$648,$B333,Filas!$N$2:$N$648,"empeora")</f>
        <v>0</v>
      </c>
      <c r="G333" s="4" t="n">
        <f aca="false">COUNTIFS(Filas!$A$2:$A$648,$A333,Filas!$B$2:$B$648,$B333,Filas!$N$2:$N$648,"mixto")</f>
        <v>0</v>
      </c>
      <c r="H333" s="4" t="n">
        <f aca="false">COUNTIFS(Filas!$A$2:$A$648,$A333,Filas!$B$2:$B$648,$B333,Filas!$S$2:$S$648,"cita encontrada*")+COUNTIFS(Filas!$A$2:$A$648,$A333,Filas!$B$2:$B$648,$B333,Filas!$S$2:$S$648,"página existe*")</f>
        <v>2</v>
      </c>
      <c r="I333" s="4" t="n">
        <f aca="false">COUNTIFS(Filas!$A$2:$A$648,$A333,Filas!$B$2:$B$648,$B333,Filas!$S$2:$S$648,"cita no encontrada*")+COUNTIFS(Filas!$A$2:$A$648,$A333,Filas!$B$2:$B$648,$B333,Filas!$S$2:$S$648,"página no accesible*")</f>
        <v>0</v>
      </c>
    </row>
    <row r="334" customFormat="false" ht="15" hidden="false" customHeight="false" outlineLevel="0" collapsed="false">
      <c r="A334" s="4" t="s">
        <v>7207</v>
      </c>
      <c r="B334" s="4" t="s">
        <v>7661</v>
      </c>
      <c r="C334" s="4" t="n">
        <f aca="false">COUNTIFS(Filas!$A$2:$A$648,$A334,Filas!$B$2:$B$648,$B334)</f>
        <v>1</v>
      </c>
      <c r="D334" s="4" t="n">
        <f aca="false">COUNTIFS(Filas!$A$2:$A$648,$A334,Filas!$B$2:$B$648,$B334,Filas!$N$2:$N$648,"mejora")</f>
        <v>0</v>
      </c>
      <c r="E334" s="4" t="n">
        <f aca="false">COUNTIFS(Filas!$A$2:$A$648,$A334,Filas!$B$2:$B$648,$B334,Filas!$N$2:$N$648,"sin cambio")</f>
        <v>0</v>
      </c>
      <c r="F334" s="4" t="n">
        <f aca="false">COUNTIFS(Filas!$A$2:$A$648,$A334,Filas!$B$2:$B$648,$B334,Filas!$N$2:$N$648,"empeora")</f>
        <v>0</v>
      </c>
      <c r="G334" s="4" t="n">
        <f aca="false">COUNTIFS(Filas!$A$2:$A$648,$A334,Filas!$B$2:$B$648,$B334,Filas!$N$2:$N$648,"mixto")</f>
        <v>0</v>
      </c>
      <c r="H334" s="4" t="n">
        <f aca="false">COUNTIFS(Filas!$A$2:$A$648,$A334,Filas!$B$2:$B$648,$B334,Filas!$S$2:$S$648,"cita encontrada*")+COUNTIFS(Filas!$A$2:$A$648,$A334,Filas!$B$2:$B$648,$B334,Filas!$S$2:$S$648,"página existe*")</f>
        <v>1</v>
      </c>
      <c r="I334" s="4" t="n">
        <f aca="false">COUNTIFS(Filas!$A$2:$A$648,$A334,Filas!$B$2:$B$648,$B334,Filas!$S$2:$S$648,"cita no encontrada*")+COUNTIFS(Filas!$A$2:$A$648,$A334,Filas!$B$2:$B$648,$B334,Filas!$S$2:$S$648,"página no accesible*")</f>
        <v>0</v>
      </c>
    </row>
    <row r="335" customFormat="false" ht="15" hidden="false" customHeight="false" outlineLevel="0" collapsed="false">
      <c r="A335" s="4" t="s">
        <v>7207</v>
      </c>
      <c r="B335" s="4" t="s">
        <v>7669</v>
      </c>
      <c r="C335" s="4" t="n">
        <f aca="false">COUNTIFS(Filas!$A$2:$A$648,$A335,Filas!$B$2:$B$648,$B335)</f>
        <v>1</v>
      </c>
      <c r="D335" s="4" t="n">
        <f aca="false">COUNTIFS(Filas!$A$2:$A$648,$A335,Filas!$B$2:$B$648,$B335,Filas!$N$2:$N$648,"mejora")</f>
        <v>0</v>
      </c>
      <c r="E335" s="4" t="n">
        <f aca="false">COUNTIFS(Filas!$A$2:$A$648,$A335,Filas!$B$2:$B$648,$B335,Filas!$N$2:$N$648,"sin cambio")</f>
        <v>0</v>
      </c>
      <c r="F335" s="4" t="n">
        <f aca="false">COUNTIFS(Filas!$A$2:$A$648,$A335,Filas!$B$2:$B$648,$B335,Filas!$N$2:$N$648,"empeora")</f>
        <v>0</v>
      </c>
      <c r="G335" s="4" t="n">
        <f aca="false">COUNTIFS(Filas!$A$2:$A$648,$A335,Filas!$B$2:$B$648,$B335,Filas!$N$2:$N$648,"mixto")</f>
        <v>0</v>
      </c>
      <c r="H335" s="4" t="n">
        <f aca="false">COUNTIFS(Filas!$A$2:$A$648,$A335,Filas!$B$2:$B$648,$B335,Filas!$S$2:$S$648,"cita encontrada*")+COUNTIFS(Filas!$A$2:$A$648,$A335,Filas!$B$2:$B$648,$B335,Filas!$S$2:$S$648,"página existe*")</f>
        <v>1</v>
      </c>
      <c r="I335" s="4" t="n">
        <f aca="false">COUNTIFS(Filas!$A$2:$A$648,$A335,Filas!$B$2:$B$648,$B335,Filas!$S$2:$S$648,"cita no encontrada*")+COUNTIFS(Filas!$A$2:$A$648,$A335,Filas!$B$2:$B$648,$B335,Filas!$S$2:$S$648,"página no accesible*")</f>
        <v>0</v>
      </c>
    </row>
    <row r="336" customFormat="false" ht="15" hidden="false" customHeight="false" outlineLevel="0" collapsed="false">
      <c r="A336" s="4" t="s">
        <v>7207</v>
      </c>
      <c r="B336" s="4" t="s">
        <v>7681</v>
      </c>
      <c r="C336" s="4" t="n">
        <f aca="false">COUNTIFS(Filas!$A$2:$A$648,$A336,Filas!$B$2:$B$648,$B336)</f>
        <v>2</v>
      </c>
      <c r="D336" s="4" t="n">
        <f aca="false">COUNTIFS(Filas!$A$2:$A$648,$A336,Filas!$B$2:$B$648,$B336,Filas!$N$2:$N$648,"mejora")</f>
        <v>2</v>
      </c>
      <c r="E336" s="4" t="n">
        <f aca="false">COUNTIFS(Filas!$A$2:$A$648,$A336,Filas!$B$2:$B$648,$B336,Filas!$N$2:$N$648,"sin cambio")</f>
        <v>0</v>
      </c>
      <c r="F336" s="4" t="n">
        <f aca="false">COUNTIFS(Filas!$A$2:$A$648,$A336,Filas!$B$2:$B$648,$B336,Filas!$N$2:$N$648,"empeora")</f>
        <v>0</v>
      </c>
      <c r="G336" s="4" t="n">
        <f aca="false">COUNTIFS(Filas!$A$2:$A$648,$A336,Filas!$B$2:$B$648,$B336,Filas!$N$2:$N$648,"mixto")</f>
        <v>0</v>
      </c>
      <c r="H336" s="4" t="n">
        <f aca="false">COUNTIFS(Filas!$A$2:$A$648,$A336,Filas!$B$2:$B$648,$B336,Filas!$S$2:$S$648,"cita encontrada*")+COUNTIFS(Filas!$A$2:$A$648,$A336,Filas!$B$2:$B$648,$B336,Filas!$S$2:$S$648,"página existe*")</f>
        <v>2</v>
      </c>
      <c r="I336" s="4" t="n">
        <f aca="false">COUNTIFS(Filas!$A$2:$A$648,$A336,Filas!$B$2:$B$648,$B336,Filas!$S$2:$S$648,"cita no encontrada*")+COUNTIFS(Filas!$A$2:$A$648,$A336,Filas!$B$2:$B$648,$B336,Filas!$S$2:$S$648,"página no accesible*")</f>
        <v>0</v>
      </c>
    </row>
    <row r="337" customFormat="false" ht="15" hidden="false" customHeight="false" outlineLevel="0" collapsed="false">
      <c r="A337" s="4" t="s">
        <v>7207</v>
      </c>
      <c r="B337" s="4" t="s">
        <v>7703</v>
      </c>
      <c r="C337" s="4" t="n">
        <f aca="false">COUNTIFS(Filas!$A$2:$A$648,$A337,Filas!$B$2:$B$648,$B337)</f>
        <v>1</v>
      </c>
      <c r="D337" s="4" t="n">
        <f aca="false">COUNTIFS(Filas!$A$2:$A$648,$A337,Filas!$B$2:$B$648,$B337,Filas!$N$2:$N$648,"mejora")</f>
        <v>1</v>
      </c>
      <c r="E337" s="4" t="n">
        <f aca="false">COUNTIFS(Filas!$A$2:$A$648,$A337,Filas!$B$2:$B$648,$B337,Filas!$N$2:$N$648,"sin cambio")</f>
        <v>0</v>
      </c>
      <c r="F337" s="4" t="n">
        <f aca="false">COUNTIFS(Filas!$A$2:$A$648,$A337,Filas!$B$2:$B$648,$B337,Filas!$N$2:$N$648,"empeora")</f>
        <v>0</v>
      </c>
      <c r="G337" s="4" t="n">
        <f aca="false">COUNTIFS(Filas!$A$2:$A$648,$A337,Filas!$B$2:$B$648,$B337,Filas!$N$2:$N$648,"mixto")</f>
        <v>0</v>
      </c>
      <c r="H337" s="4" t="n">
        <f aca="false">COUNTIFS(Filas!$A$2:$A$648,$A337,Filas!$B$2:$B$648,$B337,Filas!$S$2:$S$648,"cita encontrada*")+COUNTIFS(Filas!$A$2:$A$648,$A337,Filas!$B$2:$B$648,$B337,Filas!$S$2:$S$648,"página existe*")</f>
        <v>1</v>
      </c>
      <c r="I337" s="4" t="n">
        <f aca="false">COUNTIFS(Filas!$A$2:$A$648,$A337,Filas!$B$2:$B$648,$B337,Filas!$S$2:$S$648,"cita no encontrada*")+COUNTIFS(Filas!$A$2:$A$648,$A337,Filas!$B$2:$B$648,$B337,Filas!$S$2:$S$648,"página no accesible*")</f>
        <v>0</v>
      </c>
    </row>
    <row r="338" customFormat="false" ht="15" hidden="false" customHeight="false" outlineLevel="0" collapsed="false">
      <c r="A338" s="4" t="s">
        <v>7712</v>
      </c>
      <c r="B338" s="4" t="s">
        <v>2447</v>
      </c>
      <c r="C338" s="4" t="n">
        <f aca="false">COUNTIFS(Filas!$A$2:$A$648,$A338,Filas!$B$2:$B$648,$B338)</f>
        <v>16</v>
      </c>
      <c r="D338" s="4" t="n">
        <f aca="false">COUNTIFS(Filas!$A$2:$A$648,$A338,Filas!$B$2:$B$648,$B338,Filas!$N$2:$N$648,"mejora")</f>
        <v>7</v>
      </c>
      <c r="E338" s="4" t="n">
        <f aca="false">COUNTIFS(Filas!$A$2:$A$648,$A338,Filas!$B$2:$B$648,$B338,Filas!$N$2:$N$648,"sin cambio")</f>
        <v>2</v>
      </c>
      <c r="F338" s="4" t="n">
        <f aca="false">COUNTIFS(Filas!$A$2:$A$648,$A338,Filas!$B$2:$B$648,$B338,Filas!$N$2:$N$648,"empeora")</f>
        <v>0</v>
      </c>
      <c r="G338" s="4" t="n">
        <f aca="false">COUNTIFS(Filas!$A$2:$A$648,$A338,Filas!$B$2:$B$648,$B338,Filas!$N$2:$N$648,"mixto")</f>
        <v>6</v>
      </c>
      <c r="H338" s="4" t="n">
        <f aca="false">COUNTIFS(Filas!$A$2:$A$648,$A338,Filas!$B$2:$B$648,$B338,Filas!$S$2:$S$648,"cita encontrada*")+COUNTIFS(Filas!$A$2:$A$648,$A338,Filas!$B$2:$B$648,$B338,Filas!$S$2:$S$648,"página existe*")</f>
        <v>16</v>
      </c>
      <c r="I338" s="4" t="n">
        <f aca="false">COUNTIFS(Filas!$A$2:$A$648,$A338,Filas!$B$2:$B$648,$B338,Filas!$S$2:$S$648,"cita no encontrada*")+COUNTIFS(Filas!$A$2:$A$648,$A338,Filas!$B$2:$B$648,$B338,Filas!$S$2:$S$648,"página no accesible*")</f>
        <v>0</v>
      </c>
    </row>
    <row r="339" customFormat="false" ht="15" hidden="false" customHeight="false" outlineLevel="0" collapsed="false">
      <c r="A339" s="4" t="s">
        <v>7712</v>
      </c>
      <c r="B339" s="4" t="s">
        <v>2365</v>
      </c>
      <c r="C339" s="4" t="n">
        <f aca="false">COUNTIFS(Filas!$A$2:$A$648,$A339,Filas!$B$2:$B$648,$B339)</f>
        <v>2</v>
      </c>
      <c r="D339" s="4" t="n">
        <f aca="false">COUNTIFS(Filas!$A$2:$A$648,$A339,Filas!$B$2:$B$648,$B339,Filas!$N$2:$N$648,"mejora")</f>
        <v>2</v>
      </c>
      <c r="E339" s="4" t="n">
        <f aca="false">COUNTIFS(Filas!$A$2:$A$648,$A339,Filas!$B$2:$B$648,$B339,Filas!$N$2:$N$648,"sin cambio")</f>
        <v>0</v>
      </c>
      <c r="F339" s="4" t="n">
        <f aca="false">COUNTIFS(Filas!$A$2:$A$648,$A339,Filas!$B$2:$B$648,$B339,Filas!$N$2:$N$648,"empeora")</f>
        <v>0</v>
      </c>
      <c r="G339" s="4" t="n">
        <f aca="false">COUNTIFS(Filas!$A$2:$A$648,$A339,Filas!$B$2:$B$648,$B339,Filas!$N$2:$N$648,"mixto")</f>
        <v>0</v>
      </c>
      <c r="H339" s="4" t="n">
        <f aca="false">COUNTIFS(Filas!$A$2:$A$648,$A339,Filas!$B$2:$B$648,$B339,Filas!$S$2:$S$648,"cita encontrada*")+COUNTIFS(Filas!$A$2:$A$648,$A339,Filas!$B$2:$B$648,$B339,Filas!$S$2:$S$648,"página existe*")</f>
        <v>2</v>
      </c>
      <c r="I339" s="4" t="n">
        <f aca="false">COUNTIFS(Filas!$A$2:$A$648,$A339,Filas!$B$2:$B$648,$B339,Filas!$S$2:$S$648,"cita no encontrada*")+COUNTIFS(Filas!$A$2:$A$648,$A339,Filas!$B$2:$B$648,$B339,Filas!$S$2:$S$648,"página no accesible*")</f>
        <v>0</v>
      </c>
    </row>
    <row r="340" customFormat="false" ht="15" hidden="false" customHeight="false" outlineLevel="0" collapsed="false">
      <c r="A340" s="4" t="s">
        <v>7712</v>
      </c>
      <c r="B340" s="4" t="s">
        <v>7902</v>
      </c>
      <c r="C340" s="4" t="n">
        <f aca="false">COUNTIFS(Filas!$A$2:$A$648,$A340,Filas!$B$2:$B$648,$B340)</f>
        <v>1</v>
      </c>
      <c r="D340" s="4" t="n">
        <f aca="false">COUNTIFS(Filas!$A$2:$A$648,$A340,Filas!$B$2:$B$648,$B340,Filas!$N$2:$N$648,"mejora")</f>
        <v>1</v>
      </c>
      <c r="E340" s="4" t="n">
        <f aca="false">COUNTIFS(Filas!$A$2:$A$648,$A340,Filas!$B$2:$B$648,$B340,Filas!$N$2:$N$648,"sin cambio")</f>
        <v>0</v>
      </c>
      <c r="F340" s="4" t="n">
        <f aca="false">COUNTIFS(Filas!$A$2:$A$648,$A340,Filas!$B$2:$B$648,$B340,Filas!$N$2:$N$648,"empeora")</f>
        <v>0</v>
      </c>
      <c r="G340" s="4" t="n">
        <f aca="false">COUNTIFS(Filas!$A$2:$A$648,$A340,Filas!$B$2:$B$648,$B340,Filas!$N$2:$N$648,"mixto")</f>
        <v>0</v>
      </c>
      <c r="H340" s="4" t="n">
        <f aca="false">COUNTIFS(Filas!$A$2:$A$648,$A340,Filas!$B$2:$B$648,$B340,Filas!$S$2:$S$648,"cita encontrada*")+COUNTIFS(Filas!$A$2:$A$648,$A340,Filas!$B$2:$B$648,$B340,Filas!$S$2:$S$648,"página existe*")</f>
        <v>1</v>
      </c>
      <c r="I340" s="4" t="n">
        <f aca="false">COUNTIFS(Filas!$A$2:$A$648,$A340,Filas!$B$2:$B$648,$B340,Filas!$S$2:$S$648,"cita no encontrada*")+COUNTIFS(Filas!$A$2:$A$648,$A340,Filas!$B$2:$B$648,$B340,Filas!$S$2:$S$648,"página no accesible*")</f>
        <v>0</v>
      </c>
    </row>
    <row r="341" customFormat="false" ht="15" hidden="false" customHeight="false" outlineLevel="0" collapsed="false">
      <c r="A341" s="4" t="s">
        <v>7712</v>
      </c>
      <c r="B341" s="4" t="s">
        <v>2600</v>
      </c>
      <c r="C341" s="4" t="n">
        <f aca="false">COUNTIFS(Filas!$A$2:$A$648,$A341,Filas!$B$2:$B$648,$B341)</f>
        <v>3</v>
      </c>
      <c r="D341" s="4" t="n">
        <f aca="false">COUNTIFS(Filas!$A$2:$A$648,$A341,Filas!$B$2:$B$648,$B341,Filas!$N$2:$N$648,"mejora")</f>
        <v>2</v>
      </c>
      <c r="E341" s="4" t="n">
        <f aca="false">COUNTIFS(Filas!$A$2:$A$648,$A341,Filas!$B$2:$B$648,$B341,Filas!$N$2:$N$648,"sin cambio")</f>
        <v>1</v>
      </c>
      <c r="F341" s="4" t="n">
        <f aca="false">COUNTIFS(Filas!$A$2:$A$648,$A341,Filas!$B$2:$B$648,$B341,Filas!$N$2:$N$648,"empeora")</f>
        <v>0</v>
      </c>
      <c r="G341" s="4" t="n">
        <f aca="false">COUNTIFS(Filas!$A$2:$A$648,$A341,Filas!$B$2:$B$648,$B341,Filas!$N$2:$N$648,"mixto")</f>
        <v>0</v>
      </c>
      <c r="H341" s="4" t="n">
        <f aca="false">COUNTIFS(Filas!$A$2:$A$648,$A341,Filas!$B$2:$B$648,$B341,Filas!$S$2:$S$648,"cita encontrada*")+COUNTIFS(Filas!$A$2:$A$648,$A341,Filas!$B$2:$B$648,$B341,Filas!$S$2:$S$648,"página existe*")</f>
        <v>3</v>
      </c>
      <c r="I341" s="4" t="n">
        <f aca="false">COUNTIFS(Filas!$A$2:$A$648,$A341,Filas!$B$2:$B$648,$B341,Filas!$S$2:$S$648,"cita no encontrada*")+COUNTIFS(Filas!$A$2:$A$648,$A341,Filas!$B$2:$B$648,$B341,Filas!$S$2:$S$648,"página no accesible*")</f>
        <v>0</v>
      </c>
    </row>
    <row r="342" customFormat="false" ht="15" hidden="false" customHeight="false" outlineLevel="0" collapsed="false">
      <c r="A342" s="4" t="s">
        <v>7712</v>
      </c>
      <c r="B342" s="4" t="s">
        <v>7947</v>
      </c>
      <c r="C342" s="4" t="n">
        <f aca="false">COUNTIFS(Filas!$A$2:$A$648,$A342,Filas!$B$2:$B$648,$B342)</f>
        <v>1</v>
      </c>
      <c r="D342" s="4" t="n">
        <f aca="false">COUNTIFS(Filas!$A$2:$A$648,$A342,Filas!$B$2:$B$648,$B342,Filas!$N$2:$N$648,"mejora")</f>
        <v>0</v>
      </c>
      <c r="E342" s="4" t="n">
        <f aca="false">COUNTIFS(Filas!$A$2:$A$648,$A342,Filas!$B$2:$B$648,$B342,Filas!$N$2:$N$648,"sin cambio")</f>
        <v>0</v>
      </c>
      <c r="F342" s="4" t="n">
        <f aca="false">COUNTIFS(Filas!$A$2:$A$648,$A342,Filas!$B$2:$B$648,$B342,Filas!$N$2:$N$648,"empeora")</f>
        <v>1</v>
      </c>
      <c r="G342" s="4" t="n">
        <f aca="false">COUNTIFS(Filas!$A$2:$A$648,$A342,Filas!$B$2:$B$648,$B342,Filas!$N$2:$N$648,"mixto")</f>
        <v>0</v>
      </c>
      <c r="H342" s="4" t="n">
        <f aca="false">COUNTIFS(Filas!$A$2:$A$648,$A342,Filas!$B$2:$B$648,$B342,Filas!$S$2:$S$648,"cita encontrada*")+COUNTIFS(Filas!$A$2:$A$648,$A342,Filas!$B$2:$B$648,$B342,Filas!$S$2:$S$648,"página existe*")</f>
        <v>1</v>
      </c>
      <c r="I342" s="4" t="n">
        <f aca="false">COUNTIFS(Filas!$A$2:$A$648,$A342,Filas!$B$2:$B$648,$B342,Filas!$S$2:$S$648,"cita no encontrada*")+COUNTIFS(Filas!$A$2:$A$648,$A342,Filas!$B$2:$B$648,$B342,Filas!$S$2:$S$648,"página no accesible*")</f>
        <v>0</v>
      </c>
    </row>
    <row r="343" customFormat="false" ht="15" hidden="false" customHeight="false" outlineLevel="0" collapsed="false">
      <c r="A343" s="4" t="s">
        <v>7712</v>
      </c>
      <c r="B343" s="4" t="s">
        <v>7959</v>
      </c>
      <c r="C343" s="4" t="n">
        <f aca="false">COUNTIFS(Filas!$A$2:$A$648,$A343,Filas!$B$2:$B$648,$B343)</f>
        <v>1</v>
      </c>
      <c r="D343" s="4" t="n">
        <f aca="false">COUNTIFS(Filas!$A$2:$A$648,$A343,Filas!$B$2:$B$648,$B343,Filas!$N$2:$N$648,"mejora")</f>
        <v>0</v>
      </c>
      <c r="E343" s="4" t="n">
        <f aca="false">COUNTIFS(Filas!$A$2:$A$648,$A343,Filas!$B$2:$B$648,$B343,Filas!$N$2:$N$648,"sin cambio")</f>
        <v>0</v>
      </c>
      <c r="F343" s="4" t="n">
        <f aca="false">COUNTIFS(Filas!$A$2:$A$648,$A343,Filas!$B$2:$B$648,$B343,Filas!$N$2:$N$648,"empeora")</f>
        <v>0</v>
      </c>
      <c r="G343" s="4" t="n">
        <f aca="false">COUNTIFS(Filas!$A$2:$A$648,$A343,Filas!$B$2:$B$648,$B343,Filas!$N$2:$N$648,"mixto")</f>
        <v>1</v>
      </c>
      <c r="H343" s="4" t="n">
        <f aca="false">COUNTIFS(Filas!$A$2:$A$648,$A343,Filas!$B$2:$B$648,$B343,Filas!$S$2:$S$648,"cita encontrada*")+COUNTIFS(Filas!$A$2:$A$648,$A343,Filas!$B$2:$B$648,$B343,Filas!$S$2:$S$648,"página existe*")</f>
        <v>1</v>
      </c>
      <c r="I343" s="4" t="n">
        <f aca="false">COUNTIFS(Filas!$A$2:$A$648,$A343,Filas!$B$2:$B$648,$B343,Filas!$S$2:$S$648,"cita no encontrada*")+COUNTIFS(Filas!$A$2:$A$648,$A343,Filas!$B$2:$B$648,$B343,Filas!$S$2:$S$648,"página no accesible*")</f>
        <v>0</v>
      </c>
    </row>
    <row r="344" customFormat="false" ht="15" hidden="false" customHeight="false" outlineLevel="0" collapsed="false">
      <c r="A344" s="4" t="s">
        <v>7712</v>
      </c>
      <c r="B344" s="4" t="s">
        <v>7972</v>
      </c>
      <c r="C344" s="4" t="n">
        <f aca="false">COUNTIFS(Filas!$A$2:$A$648,$A344,Filas!$B$2:$B$648,$B344)</f>
        <v>1</v>
      </c>
      <c r="D344" s="4" t="n">
        <f aca="false">COUNTIFS(Filas!$A$2:$A$648,$A344,Filas!$B$2:$B$648,$B344,Filas!$N$2:$N$648,"mejora")</f>
        <v>1</v>
      </c>
      <c r="E344" s="4" t="n">
        <f aca="false">COUNTIFS(Filas!$A$2:$A$648,$A344,Filas!$B$2:$B$648,$B344,Filas!$N$2:$N$648,"sin cambio")</f>
        <v>0</v>
      </c>
      <c r="F344" s="4" t="n">
        <f aca="false">COUNTIFS(Filas!$A$2:$A$648,$A344,Filas!$B$2:$B$648,$B344,Filas!$N$2:$N$648,"empeora")</f>
        <v>0</v>
      </c>
      <c r="G344" s="4" t="n">
        <f aca="false">COUNTIFS(Filas!$A$2:$A$648,$A344,Filas!$B$2:$B$648,$B344,Filas!$N$2:$N$648,"mixto")</f>
        <v>0</v>
      </c>
      <c r="H344" s="4" t="n">
        <f aca="false">COUNTIFS(Filas!$A$2:$A$648,$A344,Filas!$B$2:$B$648,$B344,Filas!$S$2:$S$648,"cita encontrada*")+COUNTIFS(Filas!$A$2:$A$648,$A344,Filas!$B$2:$B$648,$B344,Filas!$S$2:$S$648,"página existe*")</f>
        <v>1</v>
      </c>
      <c r="I344" s="4" t="n">
        <f aca="false">COUNTIFS(Filas!$A$2:$A$648,$A344,Filas!$B$2:$B$648,$B344,Filas!$S$2:$S$648,"cita no encontrada*")+COUNTIFS(Filas!$A$2:$A$648,$A344,Filas!$B$2:$B$648,$B344,Filas!$S$2:$S$648,"página no accesible*")</f>
        <v>0</v>
      </c>
    </row>
    <row r="345" customFormat="false" ht="15" hidden="false" customHeight="false" outlineLevel="0" collapsed="false">
      <c r="A345" s="4" t="s">
        <v>7712</v>
      </c>
      <c r="B345" s="4" t="s">
        <v>2576</v>
      </c>
      <c r="C345" s="4" t="n">
        <f aca="false">COUNTIFS(Filas!$A$2:$A$648,$A345,Filas!$B$2:$B$648,$B345)</f>
        <v>2</v>
      </c>
      <c r="D345" s="4" t="n">
        <f aca="false">COUNTIFS(Filas!$A$2:$A$648,$A345,Filas!$B$2:$B$648,$B345,Filas!$N$2:$N$648,"mejora")</f>
        <v>2</v>
      </c>
      <c r="E345" s="4" t="n">
        <f aca="false">COUNTIFS(Filas!$A$2:$A$648,$A345,Filas!$B$2:$B$648,$B345,Filas!$N$2:$N$648,"sin cambio")</f>
        <v>0</v>
      </c>
      <c r="F345" s="4" t="n">
        <f aca="false">COUNTIFS(Filas!$A$2:$A$648,$A345,Filas!$B$2:$B$648,$B345,Filas!$N$2:$N$648,"empeora")</f>
        <v>0</v>
      </c>
      <c r="G345" s="4" t="n">
        <f aca="false">COUNTIFS(Filas!$A$2:$A$648,$A345,Filas!$B$2:$B$648,$B345,Filas!$N$2:$N$648,"mixto")</f>
        <v>0</v>
      </c>
      <c r="H345" s="4" t="n">
        <f aca="false">COUNTIFS(Filas!$A$2:$A$648,$A345,Filas!$B$2:$B$648,$B345,Filas!$S$2:$S$648,"cita encontrada*")+COUNTIFS(Filas!$A$2:$A$648,$A345,Filas!$B$2:$B$648,$B345,Filas!$S$2:$S$648,"página existe*")</f>
        <v>2</v>
      </c>
      <c r="I345" s="4" t="n">
        <f aca="false">COUNTIFS(Filas!$A$2:$A$648,$A345,Filas!$B$2:$B$648,$B345,Filas!$S$2:$S$648,"cita no encontrada*")+COUNTIFS(Filas!$A$2:$A$648,$A345,Filas!$B$2:$B$648,$B345,Filas!$S$2:$S$648,"página no accesible*")</f>
        <v>0</v>
      </c>
    </row>
    <row r="346" customFormat="false" ht="15" hidden="false" customHeight="false" outlineLevel="0" collapsed="false">
      <c r="A346" s="4" t="s">
        <v>7712</v>
      </c>
      <c r="B346" s="4" t="s">
        <v>2252</v>
      </c>
      <c r="C346" s="4" t="n">
        <f aca="false">COUNTIFS(Filas!$A$2:$A$648,$A346,Filas!$B$2:$B$648,$B346)</f>
        <v>3</v>
      </c>
      <c r="D346" s="4" t="n">
        <f aca="false">COUNTIFS(Filas!$A$2:$A$648,$A346,Filas!$B$2:$B$648,$B346,Filas!$N$2:$N$648,"mejora")</f>
        <v>2</v>
      </c>
      <c r="E346" s="4" t="n">
        <f aca="false">COUNTIFS(Filas!$A$2:$A$648,$A346,Filas!$B$2:$B$648,$B346,Filas!$N$2:$N$648,"sin cambio")</f>
        <v>1</v>
      </c>
      <c r="F346" s="4" t="n">
        <f aca="false">COUNTIFS(Filas!$A$2:$A$648,$A346,Filas!$B$2:$B$648,$B346,Filas!$N$2:$N$648,"empeora")</f>
        <v>0</v>
      </c>
      <c r="G346" s="4" t="n">
        <f aca="false">COUNTIFS(Filas!$A$2:$A$648,$A346,Filas!$B$2:$B$648,$B346,Filas!$N$2:$N$648,"mixto")</f>
        <v>0</v>
      </c>
      <c r="H346" s="4" t="n">
        <f aca="false">COUNTIFS(Filas!$A$2:$A$648,$A346,Filas!$B$2:$B$648,$B346,Filas!$S$2:$S$648,"cita encontrada*")+COUNTIFS(Filas!$A$2:$A$648,$A346,Filas!$B$2:$B$648,$B346,Filas!$S$2:$S$648,"página existe*")</f>
        <v>3</v>
      </c>
      <c r="I346" s="4" t="n">
        <f aca="false">COUNTIFS(Filas!$A$2:$A$648,$A346,Filas!$B$2:$B$648,$B346,Filas!$S$2:$S$648,"cita no encontrada*")+COUNTIFS(Filas!$A$2:$A$648,$A346,Filas!$B$2:$B$648,$B346,Filas!$S$2:$S$648,"página no accesible*")</f>
        <v>0</v>
      </c>
    </row>
    <row r="347" customFormat="false" ht="15" hidden="false" customHeight="false" outlineLevel="0" collapsed="false">
      <c r="A347" s="4" t="s">
        <v>7712</v>
      </c>
      <c r="B347" s="4" t="s">
        <v>1184</v>
      </c>
      <c r="C347" s="4" t="n">
        <f aca="false">COUNTIFS(Filas!$A$2:$A$648,$A347,Filas!$B$2:$B$648,$B347)</f>
        <v>2</v>
      </c>
      <c r="D347" s="4" t="n">
        <f aca="false">COUNTIFS(Filas!$A$2:$A$648,$A347,Filas!$B$2:$B$648,$B347,Filas!$N$2:$N$648,"mejora")</f>
        <v>1</v>
      </c>
      <c r="E347" s="4" t="n">
        <f aca="false">COUNTIFS(Filas!$A$2:$A$648,$A347,Filas!$B$2:$B$648,$B347,Filas!$N$2:$N$648,"sin cambio")</f>
        <v>0</v>
      </c>
      <c r="F347" s="4" t="n">
        <f aca="false">COUNTIFS(Filas!$A$2:$A$648,$A347,Filas!$B$2:$B$648,$B347,Filas!$N$2:$N$648,"empeora")</f>
        <v>0</v>
      </c>
      <c r="G347" s="4" t="n">
        <f aca="false">COUNTIFS(Filas!$A$2:$A$648,$A347,Filas!$B$2:$B$648,$B347,Filas!$N$2:$N$648,"mixto")</f>
        <v>0</v>
      </c>
      <c r="H347" s="4" t="n">
        <f aca="false">COUNTIFS(Filas!$A$2:$A$648,$A347,Filas!$B$2:$B$648,$B347,Filas!$S$2:$S$648,"cita encontrada*")+COUNTIFS(Filas!$A$2:$A$648,$A347,Filas!$B$2:$B$648,$B347,Filas!$S$2:$S$648,"página existe*")</f>
        <v>2</v>
      </c>
      <c r="I347" s="4" t="n">
        <f aca="false">COUNTIFS(Filas!$A$2:$A$648,$A347,Filas!$B$2:$B$648,$B347,Filas!$S$2:$S$648,"cita no encontrada*")+COUNTIFS(Filas!$A$2:$A$648,$A347,Filas!$B$2:$B$648,$B347,Filas!$S$2:$S$648,"página no accesible*")</f>
        <v>0</v>
      </c>
    </row>
    <row r="348" customFormat="false" ht="15" hidden="false" customHeight="false" outlineLevel="0" collapsed="false">
      <c r="A348" s="4" t="s">
        <v>7712</v>
      </c>
      <c r="B348" s="4" t="s">
        <v>2531</v>
      </c>
      <c r="C348" s="4" t="n">
        <f aca="false">COUNTIFS(Filas!$A$2:$A$648,$A348,Filas!$B$2:$B$648,$B348)</f>
        <v>1</v>
      </c>
      <c r="D348" s="4" t="n">
        <f aca="false">COUNTIFS(Filas!$A$2:$A$648,$A348,Filas!$B$2:$B$648,$B348,Filas!$N$2:$N$648,"mejora")</f>
        <v>1</v>
      </c>
      <c r="E348" s="4" t="n">
        <f aca="false">COUNTIFS(Filas!$A$2:$A$648,$A348,Filas!$B$2:$B$648,$B348,Filas!$N$2:$N$648,"sin cambio")</f>
        <v>0</v>
      </c>
      <c r="F348" s="4" t="n">
        <f aca="false">COUNTIFS(Filas!$A$2:$A$648,$A348,Filas!$B$2:$B$648,$B348,Filas!$N$2:$N$648,"empeora")</f>
        <v>0</v>
      </c>
      <c r="G348" s="4" t="n">
        <f aca="false">COUNTIFS(Filas!$A$2:$A$648,$A348,Filas!$B$2:$B$648,$B348,Filas!$N$2:$N$648,"mixto")</f>
        <v>0</v>
      </c>
      <c r="H348" s="4" t="n">
        <f aca="false">COUNTIFS(Filas!$A$2:$A$648,$A348,Filas!$B$2:$B$648,$B348,Filas!$S$2:$S$648,"cita encontrada*")+COUNTIFS(Filas!$A$2:$A$648,$A348,Filas!$B$2:$B$648,$B348,Filas!$S$2:$S$648,"página existe*")</f>
        <v>1</v>
      </c>
      <c r="I348" s="4" t="n">
        <f aca="false">COUNTIFS(Filas!$A$2:$A$648,$A348,Filas!$B$2:$B$648,$B348,Filas!$S$2:$S$648,"cita no encontrada*")+COUNTIFS(Filas!$A$2:$A$648,$A348,Filas!$B$2:$B$648,$B348,Filas!$S$2:$S$648,"página no accesible*")</f>
        <v>0</v>
      </c>
    </row>
    <row r="349" customFormat="false" ht="15" hidden="false" customHeight="false" outlineLevel="0" collapsed="false">
      <c r="A349" s="4" t="s">
        <v>7712</v>
      </c>
      <c r="B349" s="4" t="s">
        <v>8054</v>
      </c>
      <c r="C349" s="4" t="n">
        <f aca="false">COUNTIFS(Filas!$A$2:$A$648,$A349,Filas!$B$2:$B$648,$B349)</f>
        <v>1</v>
      </c>
      <c r="D349" s="4" t="n">
        <f aca="false">COUNTIFS(Filas!$A$2:$A$648,$A349,Filas!$B$2:$B$648,$B349,Filas!$N$2:$N$648,"mejora")</f>
        <v>1</v>
      </c>
      <c r="E349" s="4" t="n">
        <f aca="false">COUNTIFS(Filas!$A$2:$A$648,$A349,Filas!$B$2:$B$648,$B349,Filas!$N$2:$N$648,"sin cambio")</f>
        <v>0</v>
      </c>
      <c r="F349" s="4" t="n">
        <f aca="false">COUNTIFS(Filas!$A$2:$A$648,$A349,Filas!$B$2:$B$648,$B349,Filas!$N$2:$N$648,"empeora")</f>
        <v>0</v>
      </c>
      <c r="G349" s="4" t="n">
        <f aca="false">COUNTIFS(Filas!$A$2:$A$648,$A349,Filas!$B$2:$B$648,$B349,Filas!$N$2:$N$648,"mixto")</f>
        <v>0</v>
      </c>
      <c r="H349" s="4" t="n">
        <f aca="false">COUNTIFS(Filas!$A$2:$A$648,$A349,Filas!$B$2:$B$648,$B349,Filas!$S$2:$S$648,"cita encontrada*")+COUNTIFS(Filas!$A$2:$A$648,$A349,Filas!$B$2:$B$648,$B349,Filas!$S$2:$S$648,"página existe*")</f>
        <v>0</v>
      </c>
      <c r="I349" s="4" t="n">
        <f aca="false">COUNTIFS(Filas!$A$2:$A$648,$A349,Filas!$B$2:$B$648,$B349,Filas!$S$2:$S$648,"cita no encontrada*")+COUNTIFS(Filas!$A$2:$A$648,$A349,Filas!$B$2:$B$648,$B349,Filas!$S$2:$S$648,"página no accesible*")</f>
        <v>1</v>
      </c>
    </row>
    <row r="350" customFormat="false" ht="15" hidden="false" customHeight="false" outlineLevel="0" collapsed="false">
      <c r="A350" s="4" t="s">
        <v>7712</v>
      </c>
      <c r="B350" s="4" t="s">
        <v>8069</v>
      </c>
      <c r="C350" s="4" t="n">
        <f aca="false">COUNTIFS(Filas!$A$2:$A$648,$A350,Filas!$B$2:$B$648,$B350)</f>
        <v>1</v>
      </c>
      <c r="D350" s="4" t="n">
        <f aca="false">COUNTIFS(Filas!$A$2:$A$648,$A350,Filas!$B$2:$B$648,$B350,Filas!$N$2:$N$648,"mejora")</f>
        <v>0</v>
      </c>
      <c r="E350" s="4" t="n">
        <f aca="false">COUNTIFS(Filas!$A$2:$A$648,$A350,Filas!$B$2:$B$648,$B350,Filas!$N$2:$N$648,"sin cambio")</f>
        <v>0</v>
      </c>
      <c r="F350" s="4" t="n">
        <f aca="false">COUNTIFS(Filas!$A$2:$A$648,$A350,Filas!$B$2:$B$648,$B350,Filas!$N$2:$N$648,"empeora")</f>
        <v>0</v>
      </c>
      <c r="G350" s="4" t="n">
        <f aca="false">COUNTIFS(Filas!$A$2:$A$648,$A350,Filas!$B$2:$B$648,$B350,Filas!$N$2:$N$648,"mixto")</f>
        <v>0</v>
      </c>
      <c r="H350" s="4" t="n">
        <f aca="false">COUNTIFS(Filas!$A$2:$A$648,$A350,Filas!$B$2:$B$648,$B350,Filas!$S$2:$S$648,"cita encontrada*")+COUNTIFS(Filas!$A$2:$A$648,$A350,Filas!$B$2:$B$648,$B350,Filas!$S$2:$S$648,"página existe*")</f>
        <v>1</v>
      </c>
      <c r="I350" s="4" t="n">
        <f aca="false">COUNTIFS(Filas!$A$2:$A$648,$A350,Filas!$B$2:$B$648,$B350,Filas!$S$2:$S$648,"cita no encontrada*")+COUNTIFS(Filas!$A$2:$A$648,$A350,Filas!$B$2:$B$648,$B350,Filas!$S$2:$S$648,"página no accesible*")</f>
        <v>0</v>
      </c>
    </row>
    <row r="351" customFormat="false" ht="15" hidden="false" customHeight="false" outlineLevel="0" collapsed="false">
      <c r="A351" s="4" t="s">
        <v>7712</v>
      </c>
      <c r="B351" s="4" t="s">
        <v>344</v>
      </c>
      <c r="C351" s="4" t="n">
        <f aca="false">COUNTIFS(Filas!$A$2:$A$648,$A351,Filas!$B$2:$B$648,$B351)</f>
        <v>1</v>
      </c>
      <c r="D351" s="4" t="n">
        <f aca="false">COUNTIFS(Filas!$A$2:$A$648,$A351,Filas!$B$2:$B$648,$B351,Filas!$N$2:$N$648,"mejora")</f>
        <v>0</v>
      </c>
      <c r="E351" s="4" t="n">
        <f aca="false">COUNTIFS(Filas!$A$2:$A$648,$A351,Filas!$B$2:$B$648,$B351,Filas!$N$2:$N$648,"sin cambio")</f>
        <v>0</v>
      </c>
      <c r="F351" s="4" t="n">
        <f aca="false">COUNTIFS(Filas!$A$2:$A$648,$A351,Filas!$B$2:$B$648,$B351,Filas!$N$2:$N$648,"empeora")</f>
        <v>0</v>
      </c>
      <c r="G351" s="4" t="n">
        <f aca="false">COUNTIFS(Filas!$A$2:$A$648,$A351,Filas!$B$2:$B$648,$B351,Filas!$N$2:$N$648,"mixto")</f>
        <v>1</v>
      </c>
      <c r="H351" s="4" t="n">
        <f aca="false">COUNTIFS(Filas!$A$2:$A$648,$A351,Filas!$B$2:$B$648,$B351,Filas!$S$2:$S$648,"cita encontrada*")+COUNTIFS(Filas!$A$2:$A$648,$A351,Filas!$B$2:$B$648,$B351,Filas!$S$2:$S$648,"página existe*")</f>
        <v>1</v>
      </c>
      <c r="I351" s="4" t="n">
        <f aca="false">COUNTIFS(Filas!$A$2:$A$648,$A351,Filas!$B$2:$B$648,$B351,Filas!$S$2:$S$648,"cita no encontrada*")+COUNTIFS(Filas!$A$2:$A$648,$A351,Filas!$B$2:$B$648,$B351,Filas!$S$2:$S$648,"página no accesible*")</f>
        <v>0</v>
      </c>
    </row>
    <row r="352" customFormat="false" ht="15" hidden="false" customHeight="false" outlineLevel="0" collapsed="false">
      <c r="A352" s="4" t="s">
        <v>7712</v>
      </c>
      <c r="B352" s="4" t="s">
        <v>8085</v>
      </c>
      <c r="C352" s="4" t="n">
        <f aca="false">COUNTIFS(Filas!$A$2:$A$648,$A352,Filas!$B$2:$B$648,$B352)</f>
        <v>1</v>
      </c>
      <c r="D352" s="4" t="n">
        <f aca="false">COUNTIFS(Filas!$A$2:$A$648,$A352,Filas!$B$2:$B$648,$B352,Filas!$N$2:$N$648,"mejora")</f>
        <v>0</v>
      </c>
      <c r="E352" s="4" t="n">
        <f aca="false">COUNTIFS(Filas!$A$2:$A$648,$A352,Filas!$B$2:$B$648,$B352,Filas!$N$2:$N$648,"sin cambio")</f>
        <v>0</v>
      </c>
      <c r="F352" s="4" t="n">
        <f aca="false">COUNTIFS(Filas!$A$2:$A$648,$A352,Filas!$B$2:$B$648,$B352,Filas!$N$2:$N$648,"empeora")</f>
        <v>0</v>
      </c>
      <c r="G352" s="4" t="n">
        <f aca="false">COUNTIFS(Filas!$A$2:$A$648,$A352,Filas!$B$2:$B$648,$B352,Filas!$N$2:$N$648,"mixto")</f>
        <v>1</v>
      </c>
      <c r="H352" s="4" t="n">
        <f aca="false">COUNTIFS(Filas!$A$2:$A$648,$A352,Filas!$B$2:$B$648,$B352,Filas!$S$2:$S$648,"cita encontrada*")+COUNTIFS(Filas!$A$2:$A$648,$A352,Filas!$B$2:$B$648,$B352,Filas!$S$2:$S$648,"página existe*")</f>
        <v>1</v>
      </c>
      <c r="I352" s="4" t="n">
        <f aca="false">COUNTIFS(Filas!$A$2:$A$648,$A352,Filas!$B$2:$B$648,$B352,Filas!$S$2:$S$648,"cita no encontrada*")+COUNTIFS(Filas!$A$2:$A$648,$A352,Filas!$B$2:$B$648,$B352,Filas!$S$2:$S$648,"página no accesible*")</f>
        <v>0</v>
      </c>
    </row>
    <row r="353" customFormat="false" ht="15" hidden="false" customHeight="false" outlineLevel="0" collapsed="false">
      <c r="A353" s="4" t="s">
        <v>7712</v>
      </c>
      <c r="B353" s="4" t="s">
        <v>8099</v>
      </c>
      <c r="C353" s="4" t="n">
        <f aca="false">COUNTIFS(Filas!$A$2:$A$648,$A353,Filas!$B$2:$B$648,$B353)</f>
        <v>1</v>
      </c>
      <c r="D353" s="4" t="n">
        <f aca="false">COUNTIFS(Filas!$A$2:$A$648,$A353,Filas!$B$2:$B$648,$B353,Filas!$N$2:$N$648,"mejora")</f>
        <v>0</v>
      </c>
      <c r="E353" s="4" t="n">
        <f aca="false">COUNTIFS(Filas!$A$2:$A$648,$A353,Filas!$B$2:$B$648,$B353,Filas!$N$2:$N$648,"sin cambio")</f>
        <v>0</v>
      </c>
      <c r="F353" s="4" t="n">
        <f aca="false">COUNTIFS(Filas!$A$2:$A$648,$A353,Filas!$B$2:$B$648,$B353,Filas!$N$2:$N$648,"empeora")</f>
        <v>0</v>
      </c>
      <c r="G353" s="4" t="n">
        <f aca="false">COUNTIFS(Filas!$A$2:$A$648,$A353,Filas!$B$2:$B$648,$B353,Filas!$N$2:$N$648,"mixto")</f>
        <v>0</v>
      </c>
      <c r="H353" s="4" t="n">
        <f aca="false">COUNTIFS(Filas!$A$2:$A$648,$A353,Filas!$B$2:$B$648,$B353,Filas!$S$2:$S$648,"cita encontrada*")+COUNTIFS(Filas!$A$2:$A$648,$A353,Filas!$B$2:$B$648,$B353,Filas!$S$2:$S$648,"página existe*")</f>
        <v>1</v>
      </c>
      <c r="I353" s="4" t="n">
        <f aca="false">COUNTIFS(Filas!$A$2:$A$648,$A353,Filas!$B$2:$B$648,$B353,Filas!$S$2:$S$648,"cita no encontrada*")+COUNTIFS(Filas!$A$2:$A$648,$A353,Filas!$B$2:$B$648,$B353,Filas!$S$2:$S$648,"página no accesible*")</f>
        <v>0</v>
      </c>
    </row>
    <row r="354" customFormat="false" ht="15" hidden="false" customHeight="false" outlineLevel="0" collapsed="false">
      <c r="A354" s="4" t="s">
        <v>7712</v>
      </c>
      <c r="B354" s="4" t="s">
        <v>8112</v>
      </c>
      <c r="C354" s="4" t="n">
        <f aca="false">COUNTIFS(Filas!$A$2:$A$648,$A354,Filas!$B$2:$B$648,$B354)</f>
        <v>1</v>
      </c>
      <c r="D354" s="4" t="n">
        <f aca="false">COUNTIFS(Filas!$A$2:$A$648,$A354,Filas!$B$2:$B$648,$B354,Filas!$N$2:$N$648,"mejora")</f>
        <v>0</v>
      </c>
      <c r="E354" s="4" t="n">
        <f aca="false">COUNTIFS(Filas!$A$2:$A$648,$A354,Filas!$B$2:$B$648,$B354,Filas!$N$2:$N$648,"sin cambio")</f>
        <v>0</v>
      </c>
      <c r="F354" s="4" t="n">
        <f aca="false">COUNTIFS(Filas!$A$2:$A$648,$A354,Filas!$B$2:$B$648,$B354,Filas!$N$2:$N$648,"empeora")</f>
        <v>0</v>
      </c>
      <c r="G354" s="4" t="n">
        <f aca="false">COUNTIFS(Filas!$A$2:$A$648,$A354,Filas!$B$2:$B$648,$B354,Filas!$N$2:$N$648,"mixto")</f>
        <v>0</v>
      </c>
      <c r="H354" s="4" t="n">
        <f aca="false">COUNTIFS(Filas!$A$2:$A$648,$A354,Filas!$B$2:$B$648,$B354,Filas!$S$2:$S$648,"cita encontrada*")+COUNTIFS(Filas!$A$2:$A$648,$A354,Filas!$B$2:$B$648,$B354,Filas!$S$2:$S$648,"página existe*")</f>
        <v>1</v>
      </c>
      <c r="I354" s="4" t="n">
        <f aca="false">COUNTIFS(Filas!$A$2:$A$648,$A354,Filas!$B$2:$B$648,$B354,Filas!$S$2:$S$648,"cita no encontrada*")+COUNTIFS(Filas!$A$2:$A$648,$A354,Filas!$B$2:$B$648,$B354,Filas!$S$2:$S$648,"página no accesible*")</f>
        <v>0</v>
      </c>
    </row>
    <row r="355" customFormat="false" ht="15" hidden="false" customHeight="false" outlineLevel="0" collapsed="false">
      <c r="B355" s="5" t="s">
        <v>8130</v>
      </c>
      <c r="C355" s="5" t="n">
        <f aca="false">SUM(C2:C354)</f>
        <v>647</v>
      </c>
      <c r="D355" s="5" t="n">
        <f aca="false">SUM(D2:D354)</f>
        <v>322</v>
      </c>
      <c r="E355" s="5" t="n">
        <f aca="false">SUM(E2:E354)</f>
        <v>61</v>
      </c>
      <c r="F355" s="5" t="n">
        <f aca="false">SUM(F2:F354)</f>
        <v>38</v>
      </c>
      <c r="G355" s="5" t="n">
        <f aca="false">SUM(G2:G354)</f>
        <v>120</v>
      </c>
      <c r="H355" s="5" t="n">
        <f aca="false">SUM(H2:H354)</f>
        <v>641</v>
      </c>
      <c r="I355" s="5" t="n">
        <f aca="false">SUM(I2:I354)</f>
        <v>6</v>
      </c>
    </row>
  </sheetData>
  <autoFilter ref="A1:I35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6"/>
    <col collapsed="false" customWidth="true" hidden="false" outlineLevel="0" max="12" min="3" style="0" width="45"/>
  </cols>
  <sheetData>
    <row r="1" customFormat="false" ht="15" hidden="false" customHeight="false" outlineLevel="0" collapsed="false">
      <c r="A1" s="3" t="s">
        <v>8</v>
      </c>
      <c r="B1" s="3" t="s">
        <v>8131</v>
      </c>
      <c r="C1" s="3" t="s">
        <v>8132</v>
      </c>
      <c r="D1" s="3" t="s">
        <v>8133</v>
      </c>
      <c r="E1" s="3" t="s">
        <v>8134</v>
      </c>
      <c r="F1" s="3" t="s">
        <v>8135</v>
      </c>
      <c r="G1" s="3" t="s">
        <v>8136</v>
      </c>
      <c r="H1" s="3" t="s">
        <v>8137</v>
      </c>
      <c r="I1" s="3" t="s">
        <v>8138</v>
      </c>
      <c r="J1" s="3" t="s">
        <v>8139</v>
      </c>
      <c r="K1" s="3" t="s">
        <v>8140</v>
      </c>
      <c r="L1" s="3" t="s">
        <v>8141</v>
      </c>
    </row>
    <row r="2" customFormat="false" ht="202.95" hidden="false" customHeight="false" outlineLevel="0" collapsed="false">
      <c r="A2" s="2" t="s">
        <v>29</v>
      </c>
      <c r="B2" s="2" t="s">
        <v>8142</v>
      </c>
      <c r="C2" s="2" t="s">
        <v>8143</v>
      </c>
      <c r="D2" s="2" t="s">
        <v>8144</v>
      </c>
      <c r="E2" s="2" t="s">
        <v>8145</v>
      </c>
      <c r="F2" s="2" t="s">
        <v>8146</v>
      </c>
      <c r="G2" s="2" t="s">
        <v>8147</v>
      </c>
      <c r="H2" s="2" t="s">
        <v>8148</v>
      </c>
      <c r="I2" s="2" t="s">
        <v>8149</v>
      </c>
      <c r="J2" s="2" t="s">
        <v>8150</v>
      </c>
      <c r="K2" s="2" t="s">
        <v>8151</v>
      </c>
      <c r="L2" s="2" t="s">
        <v>8152</v>
      </c>
    </row>
    <row r="3" customFormat="false" ht="314.9" hidden="false" customHeight="false" outlineLevel="0" collapsed="false">
      <c r="A3" s="2" t="s">
        <v>622</v>
      </c>
      <c r="B3" s="2" t="s">
        <v>8153</v>
      </c>
      <c r="C3" s="2" t="s">
        <v>8154</v>
      </c>
      <c r="D3" s="2" t="s">
        <v>8155</v>
      </c>
      <c r="E3" s="2" t="s">
        <v>8156</v>
      </c>
      <c r="F3" s="2" t="s">
        <v>8157</v>
      </c>
      <c r="G3" s="2" t="s">
        <v>8158</v>
      </c>
      <c r="H3" s="2" t="s">
        <v>8159</v>
      </c>
      <c r="I3" s="2" t="s">
        <v>8160</v>
      </c>
      <c r="J3" s="2" t="s">
        <v>8161</v>
      </c>
      <c r="K3" s="2" t="s">
        <v>8162</v>
      </c>
      <c r="L3" s="2" t="s">
        <v>8163</v>
      </c>
    </row>
    <row r="4" customFormat="false" ht="348.5" hidden="false" customHeight="false" outlineLevel="0" collapsed="false">
      <c r="A4" s="2" t="s">
        <v>1198</v>
      </c>
      <c r="B4" s="2" t="s">
        <v>8164</v>
      </c>
      <c r="C4" s="2" t="s">
        <v>8165</v>
      </c>
      <c r="D4" s="2" t="s">
        <v>8166</v>
      </c>
      <c r="E4" s="2" t="s">
        <v>8167</v>
      </c>
      <c r="F4" s="2" t="s">
        <v>8168</v>
      </c>
      <c r="G4" s="2" t="s">
        <v>8169</v>
      </c>
      <c r="H4" s="2" t="s">
        <v>8170</v>
      </c>
      <c r="I4" s="2" t="s">
        <v>8171</v>
      </c>
      <c r="J4" s="2" t="s">
        <v>8172</v>
      </c>
      <c r="K4" s="2" t="s">
        <v>8173</v>
      </c>
      <c r="L4" s="2" t="s">
        <v>8174</v>
      </c>
    </row>
    <row r="5" customFormat="false" ht="180.55" hidden="false" customHeight="false" outlineLevel="0" collapsed="false">
      <c r="A5" s="2" t="s">
        <v>1793</v>
      </c>
      <c r="B5" s="2" t="s">
        <v>8175</v>
      </c>
      <c r="C5" s="2" t="s">
        <v>8176</v>
      </c>
      <c r="D5" s="2" t="s">
        <v>8177</v>
      </c>
      <c r="E5" s="2" t="s">
        <v>8178</v>
      </c>
      <c r="F5" s="2" t="s">
        <v>8179</v>
      </c>
      <c r="G5" s="2" t="s">
        <v>8180</v>
      </c>
      <c r="H5" s="2" t="s">
        <v>8181</v>
      </c>
      <c r="I5" s="2" t="s">
        <v>8182</v>
      </c>
      <c r="J5" s="2" t="s">
        <v>8183</v>
      </c>
      <c r="K5" s="2" t="s">
        <v>8184</v>
      </c>
      <c r="L5" s="2" t="s">
        <v>8185</v>
      </c>
    </row>
    <row r="6" customFormat="false" ht="382.05" hidden="false" customHeight="false" outlineLevel="0" collapsed="false">
      <c r="A6" s="2" t="s">
        <v>2350</v>
      </c>
      <c r="B6" s="2" t="s">
        <v>8186</v>
      </c>
      <c r="C6" s="2" t="s">
        <v>8187</v>
      </c>
      <c r="D6" s="2" t="s">
        <v>8188</v>
      </c>
      <c r="E6" s="2" t="s">
        <v>8189</v>
      </c>
      <c r="F6" s="2" t="s">
        <v>8190</v>
      </c>
      <c r="G6" s="2" t="s">
        <v>8191</v>
      </c>
      <c r="H6" s="2" t="s">
        <v>8192</v>
      </c>
      <c r="I6" s="2" t="s">
        <v>8193</v>
      </c>
      <c r="J6" s="2" t="s">
        <v>8194</v>
      </c>
      <c r="K6" s="2" t="s">
        <v>8195</v>
      </c>
      <c r="L6" s="2" t="s">
        <v>8196</v>
      </c>
    </row>
    <row r="7" customFormat="false" ht="281.3" hidden="false" customHeight="false" outlineLevel="0" collapsed="false">
      <c r="A7" s="2" t="s">
        <v>2900</v>
      </c>
      <c r="B7" s="2" t="s">
        <v>8197</v>
      </c>
      <c r="C7" s="2" t="s">
        <v>8198</v>
      </c>
      <c r="D7" s="2" t="s">
        <v>8199</v>
      </c>
      <c r="E7" s="2" t="s">
        <v>8200</v>
      </c>
      <c r="F7" s="2" t="s">
        <v>8201</v>
      </c>
      <c r="G7" s="2" t="s">
        <v>8202</v>
      </c>
      <c r="H7" s="2" t="s">
        <v>8203</v>
      </c>
      <c r="I7" s="2" t="s">
        <v>8204</v>
      </c>
      <c r="J7" s="2" t="s">
        <v>8205</v>
      </c>
      <c r="K7" s="2" t="s">
        <v>8206</v>
      </c>
      <c r="L7" s="2" t="s">
        <v>8207</v>
      </c>
    </row>
    <row r="8" customFormat="false" ht="337.3" hidden="false" customHeight="false" outlineLevel="0" collapsed="false">
      <c r="A8" s="2" t="s">
        <v>3485</v>
      </c>
      <c r="B8" s="2" t="s">
        <v>8208</v>
      </c>
      <c r="C8" s="2" t="s">
        <v>8209</v>
      </c>
      <c r="D8" s="2" t="s">
        <v>8210</v>
      </c>
      <c r="E8" s="2" t="s">
        <v>8211</v>
      </c>
      <c r="F8" s="2" t="s">
        <v>8212</v>
      </c>
      <c r="G8" s="2" t="s">
        <v>8213</v>
      </c>
      <c r="H8" s="2" t="s">
        <v>8214</v>
      </c>
      <c r="I8" s="2" t="s">
        <v>8215</v>
      </c>
      <c r="J8" s="2" t="s">
        <v>8216</v>
      </c>
      <c r="K8" s="2" t="s">
        <v>8217</v>
      </c>
      <c r="L8" s="2" t="s">
        <v>8218</v>
      </c>
    </row>
    <row r="9" customFormat="false" ht="617.15" hidden="false" customHeight="false" outlineLevel="0" collapsed="false">
      <c r="A9" s="2" t="s">
        <v>4043</v>
      </c>
      <c r="B9" s="2" t="s">
        <v>8219</v>
      </c>
      <c r="C9" s="2" t="s">
        <v>8220</v>
      </c>
      <c r="D9" s="2" t="s">
        <v>8221</v>
      </c>
      <c r="E9" s="2" t="s">
        <v>8222</v>
      </c>
      <c r="F9" s="2" t="s">
        <v>8223</v>
      </c>
      <c r="G9" s="2" t="s">
        <v>8224</v>
      </c>
      <c r="H9" s="2" t="s">
        <v>8225</v>
      </c>
      <c r="I9" s="2" t="s">
        <v>8226</v>
      </c>
      <c r="J9" s="2" t="s">
        <v>8227</v>
      </c>
      <c r="K9" s="2" t="s">
        <v>8228</v>
      </c>
      <c r="L9" s="2" t="s">
        <v>8229</v>
      </c>
    </row>
    <row r="10" customFormat="false" ht="561.15" hidden="false" customHeight="false" outlineLevel="0" collapsed="false">
      <c r="A10" s="2" t="s">
        <v>4498</v>
      </c>
      <c r="B10" s="2" t="s">
        <v>8230</v>
      </c>
      <c r="C10" s="2" t="s">
        <v>8231</v>
      </c>
      <c r="D10" s="2" t="s">
        <v>8232</v>
      </c>
      <c r="E10" s="2" t="s">
        <v>8233</v>
      </c>
      <c r="F10" s="2" t="s">
        <v>8234</v>
      </c>
      <c r="G10" s="2" t="s">
        <v>8235</v>
      </c>
      <c r="H10" s="2" t="s">
        <v>8236</v>
      </c>
      <c r="I10" s="2" t="s">
        <v>8237</v>
      </c>
      <c r="J10" s="2" t="s">
        <v>8238</v>
      </c>
      <c r="K10" s="2" t="s">
        <v>8239</v>
      </c>
      <c r="L10" s="2" t="s">
        <v>8240</v>
      </c>
    </row>
    <row r="11" customFormat="false" ht="460.4" hidden="false" customHeight="false" outlineLevel="0" collapsed="false">
      <c r="A11" s="2" t="s">
        <v>5080</v>
      </c>
      <c r="B11" s="2" t="s">
        <v>8241</v>
      </c>
      <c r="C11" s="2" t="s">
        <v>8242</v>
      </c>
      <c r="D11" s="2" t="s">
        <v>8243</v>
      </c>
      <c r="E11" s="2" t="s">
        <v>8244</v>
      </c>
      <c r="F11" s="2" t="s">
        <v>8245</v>
      </c>
      <c r="G11" s="2" t="s">
        <v>8246</v>
      </c>
      <c r="H11" s="2" t="s">
        <v>8247</v>
      </c>
      <c r="I11" s="2" t="s">
        <v>8248</v>
      </c>
      <c r="J11" s="2" t="s">
        <v>8249</v>
      </c>
      <c r="K11" s="2" t="s">
        <v>8250</v>
      </c>
      <c r="L11" s="2" t="s">
        <v>8251</v>
      </c>
    </row>
    <row r="12" customFormat="false" ht="303.7" hidden="false" customHeight="false" outlineLevel="0" collapsed="false">
      <c r="A12" s="2" t="s">
        <v>5621</v>
      </c>
      <c r="B12" s="2" t="s">
        <v>8252</v>
      </c>
      <c r="C12" s="2" t="s">
        <v>8253</v>
      </c>
      <c r="D12" s="2" t="s">
        <v>8254</v>
      </c>
      <c r="E12" s="2" t="s">
        <v>8255</v>
      </c>
      <c r="F12" s="2" t="s">
        <v>8256</v>
      </c>
      <c r="G12" s="2" t="s">
        <v>8257</v>
      </c>
      <c r="H12" s="2" t="s">
        <v>8258</v>
      </c>
      <c r="I12" s="2" t="s">
        <v>8259</v>
      </c>
      <c r="J12" s="2" t="s">
        <v>8260</v>
      </c>
      <c r="K12" s="2" t="s">
        <v>8261</v>
      </c>
      <c r="L12" s="2" t="s">
        <v>8262</v>
      </c>
    </row>
    <row r="13" customFormat="false" ht="191.75" hidden="false" customHeight="false" outlineLevel="0" collapsed="false">
      <c r="A13" s="2" t="s">
        <v>6182</v>
      </c>
      <c r="B13" s="2" t="s">
        <v>8263</v>
      </c>
      <c r="C13" s="2" t="s">
        <v>8264</v>
      </c>
      <c r="D13" s="2" t="s">
        <v>8265</v>
      </c>
      <c r="E13" s="2" t="s">
        <v>8266</v>
      </c>
      <c r="F13" s="2" t="s">
        <v>8267</v>
      </c>
      <c r="G13" s="2" t="s">
        <v>8268</v>
      </c>
      <c r="H13" s="2" t="s">
        <v>8269</v>
      </c>
      <c r="I13" s="2" t="s">
        <v>8270</v>
      </c>
      <c r="J13" s="2" t="s">
        <v>8271</v>
      </c>
      <c r="K13" s="2" t="s">
        <v>8272</v>
      </c>
      <c r="L13" s="2" t="s">
        <v>8273</v>
      </c>
    </row>
    <row r="14" customFormat="false" ht="292.5" hidden="false" customHeight="false" outlineLevel="0" collapsed="false">
      <c r="A14" s="2" t="s">
        <v>6676</v>
      </c>
      <c r="B14" s="2" t="s">
        <v>8274</v>
      </c>
      <c r="C14" s="2" t="s">
        <v>8275</v>
      </c>
      <c r="D14" s="2" t="s">
        <v>8276</v>
      </c>
      <c r="E14" s="2" t="s">
        <v>8277</v>
      </c>
      <c r="F14" s="2" t="s">
        <v>8278</v>
      </c>
      <c r="G14" s="2" t="s">
        <v>8279</v>
      </c>
      <c r="H14" s="2" t="s">
        <v>8280</v>
      </c>
      <c r="I14" s="2" t="s">
        <v>8281</v>
      </c>
      <c r="J14" s="2" t="s">
        <v>8282</v>
      </c>
      <c r="K14" s="2" t="s">
        <v>8283</v>
      </c>
      <c r="L14" s="2" t="s">
        <v>8284</v>
      </c>
    </row>
    <row r="15" customFormat="false" ht="415.65" hidden="false" customHeight="false" outlineLevel="0" collapsed="false">
      <c r="A15" s="2" t="s">
        <v>7207</v>
      </c>
      <c r="B15" s="2" t="s">
        <v>8285</v>
      </c>
      <c r="C15" s="2" t="s">
        <v>8286</v>
      </c>
      <c r="D15" s="2" t="s">
        <v>8287</v>
      </c>
      <c r="E15" s="2" t="s">
        <v>8288</v>
      </c>
      <c r="F15" s="2" t="s">
        <v>8289</v>
      </c>
      <c r="G15" s="2" t="s">
        <v>8290</v>
      </c>
      <c r="H15" s="2" t="s">
        <v>8291</v>
      </c>
      <c r="I15" s="2" t="s">
        <v>8292</v>
      </c>
      <c r="J15" s="2" t="s">
        <v>8293</v>
      </c>
      <c r="K15" s="2" t="s">
        <v>8294</v>
      </c>
      <c r="L15" s="2" t="s">
        <v>8295</v>
      </c>
    </row>
    <row r="16" customFormat="false" ht="337.3" hidden="false" customHeight="false" outlineLevel="0" collapsed="false">
      <c r="A16" s="2" t="s">
        <v>7712</v>
      </c>
      <c r="B16" s="2" t="s">
        <v>8296</v>
      </c>
      <c r="C16" s="2" t="s">
        <v>8297</v>
      </c>
      <c r="D16" s="2" t="s">
        <v>8298</v>
      </c>
      <c r="E16" s="2" t="s">
        <v>8299</v>
      </c>
      <c r="F16" s="2" t="s">
        <v>8300</v>
      </c>
      <c r="G16" s="2" t="s">
        <v>8301</v>
      </c>
      <c r="H16" s="2" t="s">
        <v>8302</v>
      </c>
      <c r="I16" s="2" t="s">
        <v>8303</v>
      </c>
      <c r="J16" s="2" t="s">
        <v>8304</v>
      </c>
      <c r="K16" s="2" t="s">
        <v>8305</v>
      </c>
      <c r="L16" s="2" t="s">
        <v>8306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80"/>
    <col collapsed="false" customWidth="true" hidden="false" outlineLevel="0" max="3" min="3" style="0" width="30"/>
  </cols>
  <sheetData>
    <row r="1" customFormat="false" ht="15" hidden="false" customHeight="false" outlineLevel="0" collapsed="false">
      <c r="A1" s="6" t="s">
        <v>8</v>
      </c>
      <c r="B1" s="6" t="s">
        <v>8307</v>
      </c>
      <c r="C1" s="6" t="s">
        <v>8308</v>
      </c>
    </row>
    <row r="2" customFormat="false" ht="15" hidden="false" customHeight="false" outlineLevel="0" collapsed="false">
      <c r="A2" s="2" t="s">
        <v>29</v>
      </c>
      <c r="B2" s="2" t="s">
        <v>8309</v>
      </c>
      <c r="C2" s="2" t="s">
        <v>8310</v>
      </c>
    </row>
    <row r="3" customFormat="false" ht="15" hidden="false" customHeight="false" outlineLevel="0" collapsed="false">
      <c r="A3" s="2" t="s">
        <v>29</v>
      </c>
      <c r="B3" s="2" t="s">
        <v>8311</v>
      </c>
      <c r="C3" s="2" t="s">
        <v>8310</v>
      </c>
    </row>
    <row r="4" customFormat="false" ht="15" hidden="false" customHeight="false" outlineLevel="0" collapsed="false">
      <c r="A4" s="2" t="s">
        <v>29</v>
      </c>
      <c r="B4" s="2" t="s">
        <v>8312</v>
      </c>
      <c r="C4" s="2" t="s">
        <v>8310</v>
      </c>
    </row>
    <row r="5" customFormat="false" ht="15" hidden="false" customHeight="false" outlineLevel="0" collapsed="false">
      <c r="A5" s="2" t="s">
        <v>29</v>
      </c>
      <c r="B5" s="2" t="s">
        <v>8313</v>
      </c>
      <c r="C5" s="2" t="s">
        <v>8310</v>
      </c>
    </row>
    <row r="6" customFormat="false" ht="15" hidden="false" customHeight="false" outlineLevel="0" collapsed="false">
      <c r="A6" s="2" t="s">
        <v>29</v>
      </c>
      <c r="B6" s="2" t="s">
        <v>8314</v>
      </c>
      <c r="C6" s="2" t="s">
        <v>8310</v>
      </c>
    </row>
    <row r="7" customFormat="false" ht="15" hidden="false" customHeight="false" outlineLevel="0" collapsed="false">
      <c r="A7" s="2" t="s">
        <v>29</v>
      </c>
      <c r="B7" s="2" t="s">
        <v>8315</v>
      </c>
      <c r="C7" s="2" t="s">
        <v>8310</v>
      </c>
    </row>
    <row r="8" customFormat="false" ht="15" hidden="false" customHeight="false" outlineLevel="0" collapsed="false">
      <c r="A8" s="2" t="s">
        <v>29</v>
      </c>
      <c r="B8" s="2" t="s">
        <v>8316</v>
      </c>
      <c r="C8" s="2" t="s">
        <v>8310</v>
      </c>
    </row>
    <row r="9" customFormat="false" ht="15" hidden="false" customHeight="false" outlineLevel="0" collapsed="false">
      <c r="A9" s="2" t="s">
        <v>29</v>
      </c>
      <c r="B9" s="2" t="s">
        <v>8317</v>
      </c>
      <c r="C9" s="2" t="s">
        <v>8310</v>
      </c>
    </row>
    <row r="10" customFormat="false" ht="23.85" hidden="false" customHeight="false" outlineLevel="0" collapsed="false">
      <c r="A10" s="2" t="s">
        <v>29</v>
      </c>
      <c r="B10" s="2" t="s">
        <v>8318</v>
      </c>
      <c r="C10" s="2" t="s">
        <v>204</v>
      </c>
    </row>
    <row r="11" customFormat="false" ht="23.85" hidden="false" customHeight="false" outlineLevel="0" collapsed="false">
      <c r="A11" s="2" t="s">
        <v>29</v>
      </c>
      <c r="B11" s="2" t="s">
        <v>8319</v>
      </c>
      <c r="C11" s="2" t="s">
        <v>494</v>
      </c>
    </row>
    <row r="12" customFormat="false" ht="23.85" hidden="false" customHeight="false" outlineLevel="0" collapsed="false">
      <c r="A12" s="2" t="s">
        <v>29</v>
      </c>
      <c r="B12" s="2" t="s">
        <v>8320</v>
      </c>
      <c r="C12" s="2" t="s">
        <v>608</v>
      </c>
    </row>
    <row r="13" customFormat="false" ht="23.85" hidden="false" customHeight="false" outlineLevel="0" collapsed="false">
      <c r="A13" s="2" t="s">
        <v>622</v>
      </c>
      <c r="B13" s="2" t="s">
        <v>8321</v>
      </c>
      <c r="C13" s="2" t="s">
        <v>8310</v>
      </c>
    </row>
    <row r="14" customFormat="false" ht="23.85" hidden="false" customHeight="false" outlineLevel="0" collapsed="false">
      <c r="A14" s="2" t="s">
        <v>622</v>
      </c>
      <c r="B14" s="2" t="s">
        <v>8322</v>
      </c>
      <c r="C14" s="2" t="s">
        <v>8310</v>
      </c>
    </row>
    <row r="15" customFormat="false" ht="23.85" hidden="false" customHeight="false" outlineLevel="0" collapsed="false">
      <c r="A15" s="2" t="s">
        <v>622</v>
      </c>
      <c r="B15" s="2" t="s">
        <v>8323</v>
      </c>
      <c r="C15" s="2" t="s">
        <v>8310</v>
      </c>
    </row>
    <row r="16" customFormat="false" ht="35.05" hidden="false" customHeight="false" outlineLevel="0" collapsed="false">
      <c r="A16" s="2" t="s">
        <v>622</v>
      </c>
      <c r="B16" s="2" t="s">
        <v>8324</v>
      </c>
      <c r="C16" s="2" t="s">
        <v>8310</v>
      </c>
    </row>
    <row r="17" customFormat="false" ht="15" hidden="false" customHeight="false" outlineLevel="0" collapsed="false">
      <c r="A17" s="2" t="s">
        <v>622</v>
      </c>
      <c r="B17" s="2" t="s">
        <v>8325</v>
      </c>
      <c r="C17" s="2" t="s">
        <v>8310</v>
      </c>
    </row>
    <row r="18" customFormat="false" ht="23.85" hidden="false" customHeight="false" outlineLevel="0" collapsed="false">
      <c r="A18" s="2" t="s">
        <v>622</v>
      </c>
      <c r="B18" s="2" t="s">
        <v>8326</v>
      </c>
      <c r="C18" s="2" t="s">
        <v>8310</v>
      </c>
    </row>
    <row r="19" customFormat="false" ht="23.85" hidden="false" customHeight="false" outlineLevel="0" collapsed="false">
      <c r="A19" s="2" t="s">
        <v>622</v>
      </c>
      <c r="B19" s="2" t="s">
        <v>8327</v>
      </c>
      <c r="C19" s="2" t="s">
        <v>8310</v>
      </c>
    </row>
    <row r="20" customFormat="false" ht="23.85" hidden="false" customHeight="false" outlineLevel="0" collapsed="false">
      <c r="A20" s="2" t="s">
        <v>622</v>
      </c>
      <c r="B20" s="2" t="s">
        <v>8328</v>
      </c>
      <c r="C20" s="2" t="s">
        <v>8310</v>
      </c>
    </row>
    <row r="21" customFormat="false" ht="15" hidden="false" customHeight="false" outlineLevel="0" collapsed="false">
      <c r="A21" s="2" t="s">
        <v>622</v>
      </c>
      <c r="B21" s="2" t="s">
        <v>8329</v>
      </c>
      <c r="C21" s="2" t="s">
        <v>8310</v>
      </c>
    </row>
    <row r="22" customFormat="false" ht="23.85" hidden="false" customHeight="false" outlineLevel="0" collapsed="false">
      <c r="A22" s="2" t="s">
        <v>622</v>
      </c>
      <c r="B22" s="2" t="s">
        <v>8330</v>
      </c>
      <c r="C22" s="2" t="s">
        <v>1043</v>
      </c>
    </row>
    <row r="23" customFormat="false" ht="23.85" hidden="false" customHeight="false" outlineLevel="0" collapsed="false">
      <c r="A23" s="2" t="s">
        <v>622</v>
      </c>
      <c r="B23" s="2" t="s">
        <v>8331</v>
      </c>
      <c r="C23" s="2" t="s">
        <v>1058</v>
      </c>
    </row>
    <row r="24" customFormat="false" ht="23.85" hidden="false" customHeight="false" outlineLevel="0" collapsed="false">
      <c r="A24" s="2" t="s">
        <v>622</v>
      </c>
      <c r="B24" s="2" t="s">
        <v>8332</v>
      </c>
      <c r="C24" s="2" t="s">
        <v>1073</v>
      </c>
    </row>
    <row r="25" customFormat="false" ht="23.85" hidden="false" customHeight="false" outlineLevel="0" collapsed="false">
      <c r="A25" s="2" t="s">
        <v>622</v>
      </c>
      <c r="B25" s="2" t="s">
        <v>8333</v>
      </c>
      <c r="C25" s="2" t="s">
        <v>1087</v>
      </c>
    </row>
    <row r="26" customFormat="false" ht="23.85" hidden="false" customHeight="false" outlineLevel="0" collapsed="false">
      <c r="A26" s="2" t="s">
        <v>622</v>
      </c>
      <c r="B26" s="2" t="s">
        <v>8334</v>
      </c>
      <c r="C26" s="2" t="s">
        <v>1102</v>
      </c>
    </row>
    <row r="27" customFormat="false" ht="23.85" hidden="false" customHeight="false" outlineLevel="0" collapsed="false">
      <c r="A27" s="2" t="s">
        <v>622</v>
      </c>
      <c r="B27" s="2" t="s">
        <v>8335</v>
      </c>
      <c r="C27" s="2" t="s">
        <v>1116</v>
      </c>
    </row>
    <row r="28" customFormat="false" ht="23.85" hidden="false" customHeight="false" outlineLevel="0" collapsed="false">
      <c r="A28" s="2" t="s">
        <v>622</v>
      </c>
      <c r="B28" s="2" t="s">
        <v>8336</v>
      </c>
      <c r="C28" s="2" t="s">
        <v>1129</v>
      </c>
    </row>
    <row r="29" customFormat="false" ht="23.85" hidden="false" customHeight="false" outlineLevel="0" collapsed="false">
      <c r="A29" s="2" t="s">
        <v>622</v>
      </c>
      <c r="B29" s="2" t="s">
        <v>8337</v>
      </c>
      <c r="C29" s="2" t="s">
        <v>1143</v>
      </c>
    </row>
    <row r="30" customFormat="false" ht="23.85" hidden="false" customHeight="false" outlineLevel="0" collapsed="false">
      <c r="A30" s="2" t="s">
        <v>622</v>
      </c>
      <c r="B30" s="2" t="s">
        <v>8338</v>
      </c>
      <c r="C30" s="2" t="s">
        <v>1157</v>
      </c>
    </row>
    <row r="31" customFormat="false" ht="23.85" hidden="false" customHeight="false" outlineLevel="0" collapsed="false">
      <c r="A31" s="2" t="s">
        <v>1198</v>
      </c>
      <c r="B31" s="2" t="s">
        <v>8339</v>
      </c>
      <c r="C31" s="2" t="s">
        <v>8310</v>
      </c>
    </row>
    <row r="32" customFormat="false" ht="23.85" hidden="false" customHeight="false" outlineLevel="0" collapsed="false">
      <c r="A32" s="2" t="s">
        <v>1198</v>
      </c>
      <c r="B32" s="2" t="s">
        <v>8340</v>
      </c>
      <c r="C32" s="2" t="s">
        <v>8310</v>
      </c>
    </row>
    <row r="33" customFormat="false" ht="15" hidden="false" customHeight="false" outlineLevel="0" collapsed="false">
      <c r="A33" s="2" t="s">
        <v>1198</v>
      </c>
      <c r="B33" s="2" t="s">
        <v>8341</v>
      </c>
      <c r="C33" s="2" t="s">
        <v>8310</v>
      </c>
    </row>
    <row r="34" customFormat="false" ht="35.05" hidden="false" customHeight="false" outlineLevel="0" collapsed="false">
      <c r="A34" s="2" t="s">
        <v>1198</v>
      </c>
      <c r="B34" s="2" t="s">
        <v>8342</v>
      </c>
      <c r="C34" s="2" t="s">
        <v>8310</v>
      </c>
    </row>
    <row r="35" customFormat="false" ht="15" hidden="false" customHeight="false" outlineLevel="0" collapsed="false">
      <c r="A35" s="2" t="s">
        <v>1198</v>
      </c>
      <c r="B35" s="2" t="s">
        <v>8343</v>
      </c>
      <c r="C35" s="2" t="s">
        <v>8310</v>
      </c>
    </row>
    <row r="36" customFormat="false" ht="15" hidden="false" customHeight="false" outlineLevel="0" collapsed="false">
      <c r="A36" s="2" t="s">
        <v>1198</v>
      </c>
      <c r="B36" s="2" t="s">
        <v>8344</v>
      </c>
      <c r="C36" s="2" t="s">
        <v>8310</v>
      </c>
    </row>
    <row r="37" customFormat="false" ht="23.85" hidden="false" customHeight="false" outlineLevel="0" collapsed="false">
      <c r="A37" s="2" t="s">
        <v>1198</v>
      </c>
      <c r="B37" s="2" t="s">
        <v>8345</v>
      </c>
      <c r="C37" s="2" t="s">
        <v>8310</v>
      </c>
    </row>
    <row r="38" customFormat="false" ht="23.85" hidden="false" customHeight="false" outlineLevel="0" collapsed="false">
      <c r="A38" s="2" t="s">
        <v>1198</v>
      </c>
      <c r="B38" s="2" t="s">
        <v>8346</v>
      </c>
      <c r="C38" s="2" t="s">
        <v>8310</v>
      </c>
    </row>
    <row r="39" customFormat="false" ht="79.85" hidden="false" customHeight="false" outlineLevel="0" collapsed="false">
      <c r="A39" s="2" t="s">
        <v>1198</v>
      </c>
      <c r="B39" s="2" t="s">
        <v>8347</v>
      </c>
      <c r="C39" s="2" t="s">
        <v>1230</v>
      </c>
    </row>
    <row r="40" customFormat="false" ht="46.25" hidden="false" customHeight="false" outlineLevel="0" collapsed="false">
      <c r="A40" s="2" t="s">
        <v>1198</v>
      </c>
      <c r="B40" s="2" t="s">
        <v>8348</v>
      </c>
      <c r="C40" s="2" t="s">
        <v>1242</v>
      </c>
    </row>
    <row r="41" customFormat="false" ht="35.05" hidden="false" customHeight="false" outlineLevel="0" collapsed="false">
      <c r="A41" s="2" t="s">
        <v>1198</v>
      </c>
      <c r="B41" s="2" t="s">
        <v>8349</v>
      </c>
      <c r="C41" s="2" t="s">
        <v>1304</v>
      </c>
    </row>
    <row r="42" customFormat="false" ht="23.85" hidden="false" customHeight="false" outlineLevel="0" collapsed="false">
      <c r="A42" s="2" t="s">
        <v>1198</v>
      </c>
      <c r="B42" s="2" t="s">
        <v>8350</v>
      </c>
      <c r="C42" s="2" t="s">
        <v>1490</v>
      </c>
    </row>
    <row r="43" customFormat="false" ht="23.85" hidden="false" customHeight="false" outlineLevel="0" collapsed="false">
      <c r="A43" s="2" t="s">
        <v>1198</v>
      </c>
      <c r="B43" s="2" t="s">
        <v>8351</v>
      </c>
      <c r="C43" s="2" t="s">
        <v>1499</v>
      </c>
    </row>
    <row r="44" customFormat="false" ht="23.85" hidden="false" customHeight="false" outlineLevel="0" collapsed="false">
      <c r="A44" s="2" t="s">
        <v>1198</v>
      </c>
      <c r="B44" s="2" t="s">
        <v>8352</v>
      </c>
      <c r="C44" s="2" t="s">
        <v>1608</v>
      </c>
    </row>
    <row r="45" customFormat="false" ht="23.85" hidden="false" customHeight="false" outlineLevel="0" collapsed="false">
      <c r="A45" s="2" t="s">
        <v>1198</v>
      </c>
      <c r="B45" s="2" t="s">
        <v>8353</v>
      </c>
      <c r="C45" s="2" t="s">
        <v>1660</v>
      </c>
    </row>
    <row r="46" customFormat="false" ht="23.85" hidden="false" customHeight="false" outlineLevel="0" collapsed="false">
      <c r="A46" s="2" t="s">
        <v>1198</v>
      </c>
      <c r="B46" s="2" t="s">
        <v>8354</v>
      </c>
      <c r="C46" s="2" t="s">
        <v>1763</v>
      </c>
    </row>
    <row r="47" customFormat="false" ht="15" hidden="false" customHeight="false" outlineLevel="0" collapsed="false">
      <c r="A47" s="2" t="s">
        <v>1793</v>
      </c>
      <c r="B47" s="2" t="s">
        <v>8355</v>
      </c>
      <c r="C47" s="2" t="s">
        <v>8310</v>
      </c>
    </row>
    <row r="48" customFormat="false" ht="23.85" hidden="false" customHeight="false" outlineLevel="0" collapsed="false">
      <c r="A48" s="2" t="s">
        <v>1793</v>
      </c>
      <c r="B48" s="2" t="s">
        <v>8356</v>
      </c>
      <c r="C48" s="2" t="s">
        <v>8310</v>
      </c>
    </row>
    <row r="49" customFormat="false" ht="15" hidden="false" customHeight="false" outlineLevel="0" collapsed="false">
      <c r="A49" s="2" t="s">
        <v>1793</v>
      </c>
      <c r="B49" s="2" t="s">
        <v>8357</v>
      </c>
      <c r="C49" s="2" t="s">
        <v>8310</v>
      </c>
    </row>
    <row r="50" customFormat="false" ht="15" hidden="false" customHeight="false" outlineLevel="0" collapsed="false">
      <c r="A50" s="2" t="s">
        <v>1793</v>
      </c>
      <c r="B50" s="2" t="s">
        <v>8358</v>
      </c>
      <c r="C50" s="2" t="s">
        <v>8310</v>
      </c>
    </row>
    <row r="51" customFormat="false" ht="15" hidden="false" customHeight="false" outlineLevel="0" collapsed="false">
      <c r="A51" s="2" t="s">
        <v>1793</v>
      </c>
      <c r="B51" s="2" t="s">
        <v>8359</v>
      </c>
      <c r="C51" s="2" t="s">
        <v>8310</v>
      </c>
    </row>
    <row r="52" customFormat="false" ht="15" hidden="false" customHeight="false" outlineLevel="0" collapsed="false">
      <c r="A52" s="2" t="s">
        <v>1793</v>
      </c>
      <c r="B52" s="2" t="s">
        <v>8360</v>
      </c>
      <c r="C52" s="2" t="s">
        <v>8310</v>
      </c>
    </row>
    <row r="53" customFormat="false" ht="15" hidden="false" customHeight="false" outlineLevel="0" collapsed="false">
      <c r="A53" s="2" t="s">
        <v>1793</v>
      </c>
      <c r="B53" s="2" t="s">
        <v>8361</v>
      </c>
      <c r="C53" s="2" t="s">
        <v>8310</v>
      </c>
    </row>
    <row r="54" customFormat="false" ht="57.45" hidden="false" customHeight="false" outlineLevel="0" collapsed="false">
      <c r="A54" s="2" t="s">
        <v>1793</v>
      </c>
      <c r="B54" s="2" t="s">
        <v>8362</v>
      </c>
      <c r="C54" s="2" t="s">
        <v>1838</v>
      </c>
    </row>
    <row r="55" customFormat="false" ht="35.05" hidden="false" customHeight="false" outlineLevel="0" collapsed="false">
      <c r="A55" s="2" t="s">
        <v>1793</v>
      </c>
      <c r="B55" s="2" t="s">
        <v>8363</v>
      </c>
      <c r="C55" s="2" t="s">
        <v>2081</v>
      </c>
    </row>
    <row r="56" customFormat="false" ht="23.85" hidden="false" customHeight="false" outlineLevel="0" collapsed="false">
      <c r="A56" s="2" t="s">
        <v>1793</v>
      </c>
      <c r="B56" s="2" t="s">
        <v>8364</v>
      </c>
      <c r="C56" s="2" t="s">
        <v>2095</v>
      </c>
    </row>
    <row r="57" customFormat="false" ht="23.85" hidden="false" customHeight="false" outlineLevel="0" collapsed="false">
      <c r="A57" s="2" t="s">
        <v>1793</v>
      </c>
      <c r="B57" s="2" t="s">
        <v>8365</v>
      </c>
      <c r="C57" s="2" t="s">
        <v>2106</v>
      </c>
    </row>
    <row r="58" customFormat="false" ht="23.85" hidden="false" customHeight="false" outlineLevel="0" collapsed="false">
      <c r="A58" s="2" t="s">
        <v>1793</v>
      </c>
      <c r="B58" s="2" t="s">
        <v>8366</v>
      </c>
      <c r="C58" s="2" t="s">
        <v>2121</v>
      </c>
    </row>
    <row r="59" customFormat="false" ht="35.05" hidden="false" customHeight="false" outlineLevel="0" collapsed="false">
      <c r="A59" s="2" t="s">
        <v>1793</v>
      </c>
      <c r="B59" s="2" t="s">
        <v>8367</v>
      </c>
      <c r="C59" s="2" t="s">
        <v>2266</v>
      </c>
    </row>
    <row r="60" customFormat="false" ht="15" hidden="false" customHeight="false" outlineLevel="0" collapsed="false">
      <c r="A60" s="2" t="s">
        <v>2350</v>
      </c>
      <c r="B60" s="2" t="s">
        <v>8368</v>
      </c>
      <c r="C60" s="2" t="s">
        <v>8310</v>
      </c>
    </row>
    <row r="61" customFormat="false" ht="23.85" hidden="false" customHeight="false" outlineLevel="0" collapsed="false">
      <c r="A61" s="2" t="s">
        <v>2350</v>
      </c>
      <c r="B61" s="2" t="s">
        <v>8369</v>
      </c>
      <c r="C61" s="2" t="s">
        <v>8310</v>
      </c>
    </row>
    <row r="62" customFormat="false" ht="15" hidden="false" customHeight="false" outlineLevel="0" collapsed="false">
      <c r="A62" s="2" t="s">
        <v>2350</v>
      </c>
      <c r="B62" s="2" t="s">
        <v>8370</v>
      </c>
      <c r="C62" s="2" t="s">
        <v>8310</v>
      </c>
    </row>
    <row r="63" customFormat="false" ht="15" hidden="false" customHeight="false" outlineLevel="0" collapsed="false">
      <c r="A63" s="2" t="s">
        <v>2350</v>
      </c>
      <c r="B63" s="2" t="s">
        <v>8371</v>
      </c>
      <c r="C63" s="2" t="s">
        <v>8310</v>
      </c>
    </row>
    <row r="64" customFormat="false" ht="23.85" hidden="false" customHeight="false" outlineLevel="0" collapsed="false">
      <c r="A64" s="2" t="s">
        <v>2350</v>
      </c>
      <c r="B64" s="2" t="s">
        <v>8372</v>
      </c>
      <c r="C64" s="2" t="s">
        <v>8310</v>
      </c>
    </row>
    <row r="65" customFormat="false" ht="23.85" hidden="false" customHeight="false" outlineLevel="0" collapsed="false">
      <c r="A65" s="2" t="s">
        <v>2350</v>
      </c>
      <c r="B65" s="2" t="s">
        <v>8373</v>
      </c>
      <c r="C65" s="2" t="s">
        <v>8310</v>
      </c>
    </row>
    <row r="66" customFormat="false" ht="15" hidden="false" customHeight="false" outlineLevel="0" collapsed="false">
      <c r="A66" s="2" t="s">
        <v>2350</v>
      </c>
      <c r="B66" s="2" t="s">
        <v>8374</v>
      </c>
      <c r="C66" s="2" t="s">
        <v>8310</v>
      </c>
    </row>
    <row r="67" customFormat="false" ht="15" hidden="false" customHeight="false" outlineLevel="0" collapsed="false">
      <c r="A67" s="2" t="s">
        <v>2350</v>
      </c>
      <c r="B67" s="2" t="s">
        <v>8375</v>
      </c>
      <c r="C67" s="2" t="s">
        <v>8310</v>
      </c>
    </row>
    <row r="68" customFormat="false" ht="35.05" hidden="false" customHeight="false" outlineLevel="0" collapsed="false">
      <c r="A68" s="2" t="s">
        <v>2350</v>
      </c>
      <c r="B68" s="2" t="s">
        <v>8376</v>
      </c>
      <c r="C68" s="2" t="s">
        <v>2856</v>
      </c>
    </row>
    <row r="69" customFormat="false" ht="23.85" hidden="false" customHeight="false" outlineLevel="0" collapsed="false">
      <c r="A69" s="2" t="s">
        <v>2350</v>
      </c>
      <c r="B69" s="2" t="s">
        <v>8377</v>
      </c>
      <c r="C69" s="2" t="s">
        <v>2867</v>
      </c>
    </row>
    <row r="70" customFormat="false" ht="23.85" hidden="false" customHeight="false" outlineLevel="0" collapsed="false">
      <c r="A70" s="2" t="s">
        <v>2350</v>
      </c>
      <c r="B70" s="2" t="s">
        <v>8378</v>
      </c>
      <c r="C70" s="2" t="s">
        <v>2875</v>
      </c>
    </row>
    <row r="71" customFormat="false" ht="35.05" hidden="false" customHeight="false" outlineLevel="0" collapsed="false">
      <c r="A71" s="2" t="s">
        <v>2350</v>
      </c>
      <c r="B71" s="2" t="s">
        <v>8379</v>
      </c>
      <c r="C71" s="2" t="s">
        <v>2886</v>
      </c>
    </row>
    <row r="72" customFormat="false" ht="23.85" hidden="false" customHeight="false" outlineLevel="0" collapsed="false">
      <c r="A72" s="2" t="s">
        <v>2350</v>
      </c>
      <c r="B72" s="2" t="s">
        <v>8380</v>
      </c>
      <c r="C72" s="2" t="s">
        <v>2899</v>
      </c>
    </row>
    <row r="73" customFormat="false" ht="23.85" hidden="false" customHeight="false" outlineLevel="0" collapsed="false">
      <c r="A73" s="2" t="s">
        <v>2900</v>
      </c>
      <c r="B73" s="2" t="s">
        <v>8381</v>
      </c>
      <c r="C73" s="2" t="s">
        <v>8310</v>
      </c>
    </row>
    <row r="74" customFormat="false" ht="15" hidden="false" customHeight="false" outlineLevel="0" collapsed="false">
      <c r="A74" s="2" t="s">
        <v>2900</v>
      </c>
      <c r="B74" s="2" t="s">
        <v>8382</v>
      </c>
      <c r="C74" s="2" t="s">
        <v>8310</v>
      </c>
    </row>
    <row r="75" customFormat="false" ht="23.85" hidden="false" customHeight="false" outlineLevel="0" collapsed="false">
      <c r="A75" s="2" t="s">
        <v>2900</v>
      </c>
      <c r="B75" s="2" t="s">
        <v>8383</v>
      </c>
      <c r="C75" s="2" t="s">
        <v>8310</v>
      </c>
    </row>
    <row r="76" customFormat="false" ht="23.85" hidden="false" customHeight="false" outlineLevel="0" collapsed="false">
      <c r="A76" s="2" t="s">
        <v>2900</v>
      </c>
      <c r="B76" s="2" t="s">
        <v>8384</v>
      </c>
      <c r="C76" s="2" t="s">
        <v>8310</v>
      </c>
    </row>
    <row r="77" customFormat="false" ht="15" hidden="false" customHeight="false" outlineLevel="0" collapsed="false">
      <c r="A77" s="2" t="s">
        <v>2900</v>
      </c>
      <c r="B77" s="2" t="s">
        <v>8385</v>
      </c>
      <c r="C77" s="2" t="s">
        <v>8310</v>
      </c>
    </row>
    <row r="78" customFormat="false" ht="15" hidden="false" customHeight="false" outlineLevel="0" collapsed="false">
      <c r="A78" s="2" t="s">
        <v>2900</v>
      </c>
      <c r="B78" s="2" t="s">
        <v>8386</v>
      </c>
      <c r="C78" s="2" t="s">
        <v>8310</v>
      </c>
    </row>
    <row r="79" customFormat="false" ht="15" hidden="false" customHeight="false" outlineLevel="0" collapsed="false">
      <c r="A79" s="2" t="s">
        <v>2900</v>
      </c>
      <c r="B79" s="2" t="s">
        <v>8387</v>
      </c>
      <c r="C79" s="2" t="s">
        <v>8310</v>
      </c>
    </row>
    <row r="80" customFormat="false" ht="23.85" hidden="false" customHeight="false" outlineLevel="0" collapsed="false">
      <c r="A80" s="2" t="s">
        <v>2900</v>
      </c>
      <c r="B80" s="2" t="s">
        <v>8388</v>
      </c>
      <c r="C80" s="2" t="s">
        <v>8310</v>
      </c>
    </row>
    <row r="81" customFormat="false" ht="46.25" hidden="false" customHeight="false" outlineLevel="0" collapsed="false">
      <c r="A81" s="2" t="s">
        <v>2900</v>
      </c>
      <c r="B81" s="2" t="s">
        <v>8389</v>
      </c>
      <c r="C81" s="2" t="s">
        <v>3115</v>
      </c>
    </row>
    <row r="82" customFormat="false" ht="23.85" hidden="false" customHeight="false" outlineLevel="0" collapsed="false">
      <c r="A82" s="2" t="s">
        <v>2900</v>
      </c>
      <c r="B82" s="2" t="s">
        <v>8390</v>
      </c>
      <c r="C82" s="2" t="s">
        <v>3154</v>
      </c>
    </row>
    <row r="83" customFormat="false" ht="23.85" hidden="false" customHeight="false" outlineLevel="0" collapsed="false">
      <c r="A83" s="2" t="s">
        <v>2900</v>
      </c>
      <c r="B83" s="2" t="s">
        <v>8391</v>
      </c>
      <c r="C83" s="2" t="s">
        <v>3236</v>
      </c>
    </row>
    <row r="84" customFormat="false" ht="23.85" hidden="false" customHeight="false" outlineLevel="0" collapsed="false">
      <c r="A84" s="2" t="s">
        <v>2900</v>
      </c>
      <c r="B84" s="2" t="s">
        <v>8392</v>
      </c>
      <c r="C84" s="2" t="s">
        <v>3249</v>
      </c>
    </row>
    <row r="85" customFormat="false" ht="23.85" hidden="false" customHeight="false" outlineLevel="0" collapsed="false">
      <c r="A85" s="2" t="s">
        <v>2900</v>
      </c>
      <c r="B85" s="2" t="s">
        <v>8393</v>
      </c>
      <c r="C85" s="2" t="s">
        <v>3328</v>
      </c>
    </row>
    <row r="86" customFormat="false" ht="23.85" hidden="false" customHeight="false" outlineLevel="0" collapsed="false">
      <c r="A86" s="2" t="s">
        <v>2900</v>
      </c>
      <c r="B86" s="2" t="s">
        <v>8394</v>
      </c>
      <c r="C86" s="2" t="s">
        <v>3472</v>
      </c>
    </row>
    <row r="87" customFormat="false" ht="23.85" hidden="false" customHeight="false" outlineLevel="0" collapsed="false">
      <c r="A87" s="2" t="s">
        <v>3485</v>
      </c>
      <c r="B87" s="2" t="s">
        <v>8395</v>
      </c>
      <c r="C87" s="2" t="s">
        <v>8310</v>
      </c>
    </row>
    <row r="88" customFormat="false" ht="23.85" hidden="false" customHeight="false" outlineLevel="0" collapsed="false">
      <c r="A88" s="2" t="s">
        <v>3485</v>
      </c>
      <c r="B88" s="2" t="s">
        <v>8396</v>
      </c>
      <c r="C88" s="2" t="s">
        <v>8310</v>
      </c>
    </row>
    <row r="89" customFormat="false" ht="23.85" hidden="false" customHeight="false" outlineLevel="0" collapsed="false">
      <c r="A89" s="2" t="s">
        <v>3485</v>
      </c>
      <c r="B89" s="2" t="s">
        <v>8397</v>
      </c>
      <c r="C89" s="2" t="s">
        <v>8310</v>
      </c>
    </row>
    <row r="90" customFormat="false" ht="15" hidden="false" customHeight="false" outlineLevel="0" collapsed="false">
      <c r="A90" s="2" t="s">
        <v>3485</v>
      </c>
      <c r="B90" s="2" t="s">
        <v>8398</v>
      </c>
      <c r="C90" s="2" t="s">
        <v>8310</v>
      </c>
    </row>
    <row r="91" customFormat="false" ht="23.85" hidden="false" customHeight="false" outlineLevel="0" collapsed="false">
      <c r="A91" s="2" t="s">
        <v>3485</v>
      </c>
      <c r="B91" s="2" t="s">
        <v>8399</v>
      </c>
      <c r="C91" s="2" t="s">
        <v>8310</v>
      </c>
    </row>
    <row r="92" customFormat="false" ht="23.85" hidden="false" customHeight="false" outlineLevel="0" collapsed="false">
      <c r="A92" s="2" t="s">
        <v>3485</v>
      </c>
      <c r="B92" s="2" t="s">
        <v>8400</v>
      </c>
      <c r="C92" s="2" t="s">
        <v>8310</v>
      </c>
    </row>
    <row r="93" customFormat="false" ht="23.85" hidden="false" customHeight="false" outlineLevel="0" collapsed="false">
      <c r="A93" s="2" t="s">
        <v>3485</v>
      </c>
      <c r="B93" s="2" t="s">
        <v>8401</v>
      </c>
      <c r="C93" s="2" t="s">
        <v>8310</v>
      </c>
    </row>
    <row r="94" customFormat="false" ht="23.85" hidden="false" customHeight="false" outlineLevel="0" collapsed="false">
      <c r="A94" s="2" t="s">
        <v>3485</v>
      </c>
      <c r="B94" s="2" t="s">
        <v>8402</v>
      </c>
      <c r="C94" s="2" t="s">
        <v>8310</v>
      </c>
    </row>
    <row r="95" customFormat="false" ht="15" hidden="false" customHeight="false" outlineLevel="0" collapsed="false">
      <c r="A95" s="2" t="s">
        <v>3485</v>
      </c>
      <c r="B95" s="2" t="s">
        <v>8403</v>
      </c>
      <c r="C95" s="2" t="s">
        <v>8310</v>
      </c>
    </row>
    <row r="96" customFormat="false" ht="23.85" hidden="false" customHeight="false" outlineLevel="0" collapsed="false">
      <c r="A96" s="2" t="s">
        <v>3485</v>
      </c>
      <c r="B96" s="2" t="s">
        <v>8404</v>
      </c>
      <c r="C96" s="2" t="s">
        <v>8310</v>
      </c>
    </row>
    <row r="97" customFormat="false" ht="35.05" hidden="false" customHeight="false" outlineLevel="0" collapsed="false">
      <c r="A97" s="2" t="s">
        <v>3485</v>
      </c>
      <c r="B97" s="2" t="s">
        <v>8405</v>
      </c>
      <c r="C97" s="2" t="s">
        <v>3664</v>
      </c>
    </row>
    <row r="98" customFormat="false" ht="46.25" hidden="false" customHeight="false" outlineLevel="0" collapsed="false">
      <c r="A98" s="2" t="s">
        <v>3485</v>
      </c>
      <c r="B98" s="2" t="s">
        <v>8406</v>
      </c>
      <c r="C98" s="2" t="s">
        <v>3800</v>
      </c>
    </row>
    <row r="99" customFormat="false" ht="35.05" hidden="false" customHeight="false" outlineLevel="0" collapsed="false">
      <c r="A99" s="2" t="s">
        <v>3485</v>
      </c>
      <c r="B99" s="2" t="s">
        <v>8407</v>
      </c>
      <c r="C99" s="2" t="s">
        <v>3811</v>
      </c>
    </row>
    <row r="100" customFormat="false" ht="35.05" hidden="false" customHeight="false" outlineLevel="0" collapsed="false">
      <c r="A100" s="2" t="s">
        <v>3485</v>
      </c>
      <c r="B100" s="2" t="s">
        <v>8408</v>
      </c>
      <c r="C100" s="2" t="s">
        <v>4029</v>
      </c>
    </row>
    <row r="101" customFormat="false" ht="23.85" hidden="false" customHeight="false" outlineLevel="0" collapsed="false">
      <c r="A101" s="2" t="s">
        <v>3485</v>
      </c>
      <c r="B101" s="2" t="s">
        <v>8409</v>
      </c>
      <c r="C101" s="2" t="s">
        <v>4042</v>
      </c>
    </row>
    <row r="102" customFormat="false" ht="35.05" hidden="false" customHeight="false" outlineLevel="0" collapsed="false">
      <c r="A102" s="2" t="s">
        <v>4043</v>
      </c>
      <c r="B102" s="2" t="s">
        <v>8410</v>
      </c>
      <c r="C102" s="2" t="s">
        <v>8310</v>
      </c>
    </row>
    <row r="103" customFormat="false" ht="35.05" hidden="false" customHeight="false" outlineLevel="0" collapsed="false">
      <c r="A103" s="2" t="s">
        <v>4043</v>
      </c>
      <c r="B103" s="2" t="s">
        <v>8411</v>
      </c>
      <c r="C103" s="2" t="s">
        <v>8310</v>
      </c>
    </row>
    <row r="104" customFormat="false" ht="35.05" hidden="false" customHeight="false" outlineLevel="0" collapsed="false">
      <c r="A104" s="2" t="s">
        <v>4043</v>
      </c>
      <c r="B104" s="2" t="s">
        <v>8412</v>
      </c>
      <c r="C104" s="2" t="s">
        <v>8310</v>
      </c>
    </row>
    <row r="105" customFormat="false" ht="23.85" hidden="false" customHeight="false" outlineLevel="0" collapsed="false">
      <c r="A105" s="2" t="s">
        <v>4043</v>
      </c>
      <c r="B105" s="2" t="s">
        <v>8413</v>
      </c>
      <c r="C105" s="2" t="s">
        <v>8310</v>
      </c>
    </row>
    <row r="106" customFormat="false" ht="23.85" hidden="false" customHeight="false" outlineLevel="0" collapsed="false">
      <c r="A106" s="2" t="s">
        <v>4043</v>
      </c>
      <c r="B106" s="2" t="s">
        <v>8414</v>
      </c>
      <c r="C106" s="2" t="s">
        <v>8310</v>
      </c>
    </row>
    <row r="107" customFormat="false" ht="23.85" hidden="false" customHeight="false" outlineLevel="0" collapsed="false">
      <c r="A107" s="2" t="s">
        <v>4043</v>
      </c>
      <c r="B107" s="2" t="s">
        <v>8415</v>
      </c>
      <c r="C107" s="2" t="s">
        <v>8310</v>
      </c>
    </row>
    <row r="108" customFormat="false" ht="35.05" hidden="false" customHeight="false" outlineLevel="0" collapsed="false">
      <c r="A108" s="2" t="s">
        <v>4043</v>
      </c>
      <c r="B108" s="2" t="s">
        <v>8416</v>
      </c>
      <c r="C108" s="2" t="s">
        <v>8310</v>
      </c>
    </row>
    <row r="109" customFormat="false" ht="23.85" hidden="false" customHeight="false" outlineLevel="0" collapsed="false">
      <c r="A109" s="2" t="s">
        <v>4043</v>
      </c>
      <c r="B109" s="2" t="s">
        <v>8417</v>
      </c>
      <c r="C109" s="2" t="s">
        <v>8310</v>
      </c>
    </row>
    <row r="110" customFormat="false" ht="23.85" hidden="false" customHeight="false" outlineLevel="0" collapsed="false">
      <c r="A110" s="2" t="s">
        <v>4043</v>
      </c>
      <c r="B110" s="2" t="s">
        <v>8418</v>
      </c>
      <c r="C110" s="2" t="s">
        <v>8310</v>
      </c>
    </row>
    <row r="111" customFormat="false" ht="23.85" hidden="false" customHeight="false" outlineLevel="0" collapsed="false">
      <c r="A111" s="2" t="s">
        <v>4043</v>
      </c>
      <c r="B111" s="2" t="s">
        <v>8419</v>
      </c>
      <c r="C111" s="2" t="s">
        <v>8310</v>
      </c>
    </row>
    <row r="112" customFormat="false" ht="23.85" hidden="false" customHeight="false" outlineLevel="0" collapsed="false">
      <c r="A112" s="2" t="s">
        <v>4043</v>
      </c>
      <c r="B112" s="2" t="s">
        <v>8420</v>
      </c>
      <c r="C112" s="2" t="s">
        <v>4192</v>
      </c>
    </row>
    <row r="113" customFormat="false" ht="23.85" hidden="false" customHeight="false" outlineLevel="0" collapsed="false">
      <c r="A113" s="2" t="s">
        <v>4043</v>
      </c>
      <c r="B113" s="2" t="s">
        <v>8421</v>
      </c>
      <c r="C113" s="2" t="s">
        <v>2266</v>
      </c>
    </row>
    <row r="114" customFormat="false" ht="23.85" hidden="false" customHeight="false" outlineLevel="0" collapsed="false">
      <c r="A114" s="2" t="s">
        <v>4043</v>
      </c>
      <c r="B114" s="2" t="s">
        <v>8422</v>
      </c>
      <c r="C114" s="2" t="s">
        <v>4219</v>
      </c>
    </row>
    <row r="115" customFormat="false" ht="35.05" hidden="false" customHeight="false" outlineLevel="0" collapsed="false">
      <c r="A115" s="2" t="s">
        <v>4043</v>
      </c>
      <c r="B115" s="2" t="s">
        <v>8423</v>
      </c>
      <c r="C115" s="2" t="s">
        <v>4406</v>
      </c>
    </row>
    <row r="116" customFormat="false" ht="23.85" hidden="false" customHeight="false" outlineLevel="0" collapsed="false">
      <c r="A116" s="2" t="s">
        <v>4498</v>
      </c>
      <c r="B116" s="2" t="s">
        <v>8424</v>
      </c>
      <c r="C116" s="2" t="s">
        <v>8310</v>
      </c>
    </row>
    <row r="117" customFormat="false" ht="23.85" hidden="false" customHeight="false" outlineLevel="0" collapsed="false">
      <c r="A117" s="2" t="s">
        <v>4498</v>
      </c>
      <c r="B117" s="2" t="s">
        <v>8425</v>
      </c>
      <c r="C117" s="2" t="s">
        <v>8310</v>
      </c>
    </row>
    <row r="118" customFormat="false" ht="23.85" hidden="false" customHeight="false" outlineLevel="0" collapsed="false">
      <c r="A118" s="2" t="s">
        <v>4498</v>
      </c>
      <c r="B118" s="2" t="s">
        <v>8426</v>
      </c>
      <c r="C118" s="2" t="s">
        <v>8310</v>
      </c>
    </row>
    <row r="119" customFormat="false" ht="35.05" hidden="false" customHeight="false" outlineLevel="0" collapsed="false">
      <c r="A119" s="2" t="s">
        <v>4498</v>
      </c>
      <c r="B119" s="2" t="s">
        <v>8427</v>
      </c>
      <c r="C119" s="2" t="s">
        <v>8310</v>
      </c>
    </row>
    <row r="120" customFormat="false" ht="15" hidden="false" customHeight="false" outlineLevel="0" collapsed="false">
      <c r="A120" s="2" t="s">
        <v>4498</v>
      </c>
      <c r="B120" s="2" t="s">
        <v>8428</v>
      </c>
      <c r="C120" s="2" t="s">
        <v>8310</v>
      </c>
    </row>
    <row r="121" customFormat="false" ht="23.85" hidden="false" customHeight="false" outlineLevel="0" collapsed="false">
      <c r="A121" s="2" t="s">
        <v>4498</v>
      </c>
      <c r="B121" s="2" t="s">
        <v>8429</v>
      </c>
      <c r="C121" s="2" t="s">
        <v>8310</v>
      </c>
    </row>
    <row r="122" customFormat="false" ht="23.85" hidden="false" customHeight="false" outlineLevel="0" collapsed="false">
      <c r="A122" s="2" t="s">
        <v>4498</v>
      </c>
      <c r="B122" s="2" t="s">
        <v>8430</v>
      </c>
      <c r="C122" s="2" t="s">
        <v>8310</v>
      </c>
    </row>
    <row r="123" customFormat="false" ht="23.85" hidden="false" customHeight="false" outlineLevel="0" collapsed="false">
      <c r="A123" s="2" t="s">
        <v>4498</v>
      </c>
      <c r="B123" s="2" t="s">
        <v>8431</v>
      </c>
      <c r="C123" s="2" t="s">
        <v>8310</v>
      </c>
    </row>
    <row r="124" customFormat="false" ht="23.85" hidden="false" customHeight="false" outlineLevel="0" collapsed="false">
      <c r="A124" s="2" t="s">
        <v>4498</v>
      </c>
      <c r="B124" s="2" t="s">
        <v>8432</v>
      </c>
      <c r="C124" s="2" t="s">
        <v>8310</v>
      </c>
    </row>
    <row r="125" customFormat="false" ht="23.85" hidden="false" customHeight="false" outlineLevel="0" collapsed="false">
      <c r="A125" s="2" t="s">
        <v>4498</v>
      </c>
      <c r="B125" s="2" t="s">
        <v>8433</v>
      </c>
      <c r="C125" s="2" t="s">
        <v>8310</v>
      </c>
    </row>
    <row r="126" customFormat="false" ht="23.85" hidden="false" customHeight="false" outlineLevel="0" collapsed="false">
      <c r="A126" s="2" t="s">
        <v>4498</v>
      </c>
      <c r="B126" s="2" t="s">
        <v>8434</v>
      </c>
      <c r="C126" s="2" t="s">
        <v>8310</v>
      </c>
    </row>
    <row r="127" customFormat="false" ht="15" hidden="false" customHeight="false" outlineLevel="0" collapsed="false">
      <c r="A127" s="2" t="s">
        <v>4498</v>
      </c>
      <c r="B127" s="2" t="s">
        <v>8435</v>
      </c>
      <c r="C127" s="2" t="s">
        <v>8310</v>
      </c>
    </row>
    <row r="128" customFormat="false" ht="15" hidden="false" customHeight="false" outlineLevel="0" collapsed="false">
      <c r="A128" s="2" t="s">
        <v>4498</v>
      </c>
      <c r="B128" s="2" t="s">
        <v>8436</v>
      </c>
      <c r="C128" s="2" t="s">
        <v>8310</v>
      </c>
    </row>
    <row r="129" customFormat="false" ht="15" hidden="false" customHeight="false" outlineLevel="0" collapsed="false">
      <c r="A129" s="2" t="s">
        <v>4498</v>
      </c>
      <c r="B129" s="2" t="s">
        <v>8437</v>
      </c>
      <c r="C129" s="2" t="s">
        <v>8310</v>
      </c>
    </row>
    <row r="130" customFormat="false" ht="23.85" hidden="false" customHeight="false" outlineLevel="0" collapsed="false">
      <c r="A130" s="2" t="s">
        <v>4498</v>
      </c>
      <c r="B130" s="2" t="s">
        <v>8438</v>
      </c>
      <c r="C130" s="2" t="s">
        <v>8310</v>
      </c>
    </row>
    <row r="131" customFormat="false" ht="23.85" hidden="false" customHeight="false" outlineLevel="0" collapsed="false">
      <c r="A131" s="2" t="s">
        <v>4498</v>
      </c>
      <c r="B131" s="2" t="s">
        <v>8439</v>
      </c>
      <c r="C131" s="2" t="s">
        <v>4676</v>
      </c>
    </row>
    <row r="132" customFormat="false" ht="23.85" hidden="false" customHeight="false" outlineLevel="0" collapsed="false">
      <c r="A132" s="2" t="s">
        <v>5080</v>
      </c>
      <c r="B132" s="2" t="s">
        <v>8440</v>
      </c>
      <c r="C132" s="2" t="s">
        <v>8310</v>
      </c>
    </row>
    <row r="133" customFormat="false" ht="23.85" hidden="false" customHeight="false" outlineLevel="0" collapsed="false">
      <c r="A133" s="2" t="s">
        <v>5080</v>
      </c>
      <c r="B133" s="2" t="s">
        <v>8441</v>
      </c>
      <c r="C133" s="2" t="s">
        <v>8310</v>
      </c>
    </row>
    <row r="134" customFormat="false" ht="23.85" hidden="false" customHeight="false" outlineLevel="0" collapsed="false">
      <c r="A134" s="2" t="s">
        <v>5080</v>
      </c>
      <c r="B134" s="2" t="s">
        <v>8442</v>
      </c>
      <c r="C134" s="2" t="s">
        <v>8310</v>
      </c>
    </row>
    <row r="135" customFormat="false" ht="35.05" hidden="false" customHeight="false" outlineLevel="0" collapsed="false">
      <c r="A135" s="2" t="s">
        <v>5080</v>
      </c>
      <c r="B135" s="2" t="s">
        <v>8443</v>
      </c>
      <c r="C135" s="2" t="s">
        <v>8310</v>
      </c>
    </row>
    <row r="136" customFormat="false" ht="23.85" hidden="false" customHeight="false" outlineLevel="0" collapsed="false">
      <c r="A136" s="2" t="s">
        <v>5080</v>
      </c>
      <c r="B136" s="2" t="s">
        <v>8444</v>
      </c>
      <c r="C136" s="2" t="s">
        <v>8310</v>
      </c>
    </row>
    <row r="137" customFormat="false" ht="23.85" hidden="false" customHeight="false" outlineLevel="0" collapsed="false">
      <c r="A137" s="2" t="s">
        <v>5080</v>
      </c>
      <c r="B137" s="2" t="s">
        <v>8445</v>
      </c>
      <c r="C137" s="2" t="s">
        <v>8310</v>
      </c>
    </row>
    <row r="138" customFormat="false" ht="23.85" hidden="false" customHeight="false" outlineLevel="0" collapsed="false">
      <c r="A138" s="2" t="s">
        <v>5080</v>
      </c>
      <c r="B138" s="2" t="s">
        <v>8446</v>
      </c>
      <c r="C138" s="2" t="s">
        <v>5221</v>
      </c>
    </row>
    <row r="139" customFormat="false" ht="23.85" hidden="false" customHeight="false" outlineLevel="0" collapsed="false">
      <c r="A139" s="2" t="s">
        <v>5080</v>
      </c>
      <c r="B139" s="2" t="s">
        <v>8447</v>
      </c>
      <c r="C139" s="2" t="s">
        <v>5234</v>
      </c>
    </row>
    <row r="140" customFormat="false" ht="23.85" hidden="false" customHeight="false" outlineLevel="0" collapsed="false">
      <c r="A140" s="2" t="s">
        <v>5080</v>
      </c>
      <c r="B140" s="2" t="s">
        <v>8448</v>
      </c>
      <c r="C140" s="2" t="s">
        <v>5247</v>
      </c>
    </row>
    <row r="141" customFormat="false" ht="23.85" hidden="false" customHeight="false" outlineLevel="0" collapsed="false">
      <c r="A141" s="2" t="s">
        <v>5080</v>
      </c>
      <c r="B141" s="2" t="s">
        <v>8449</v>
      </c>
      <c r="C141" s="2" t="s">
        <v>5496</v>
      </c>
    </row>
    <row r="142" customFormat="false" ht="46.25" hidden="false" customHeight="false" outlineLevel="0" collapsed="false">
      <c r="A142" s="2" t="s">
        <v>5080</v>
      </c>
      <c r="B142" s="2" t="s">
        <v>8450</v>
      </c>
      <c r="C142" s="2" t="s">
        <v>5509</v>
      </c>
    </row>
    <row r="143" customFormat="false" ht="35.05" hidden="false" customHeight="false" outlineLevel="0" collapsed="false">
      <c r="A143" s="2" t="s">
        <v>5080</v>
      </c>
      <c r="B143" s="2" t="s">
        <v>8451</v>
      </c>
      <c r="C143" s="2" t="s">
        <v>5523</v>
      </c>
    </row>
    <row r="144" customFormat="false" ht="23.85" hidden="false" customHeight="false" outlineLevel="0" collapsed="false">
      <c r="A144" s="2" t="s">
        <v>5080</v>
      </c>
      <c r="B144" s="2" t="s">
        <v>8452</v>
      </c>
      <c r="C144" s="2" t="s">
        <v>5572</v>
      </c>
    </row>
    <row r="145" customFormat="false" ht="35.05" hidden="false" customHeight="false" outlineLevel="0" collapsed="false">
      <c r="A145" s="2" t="s">
        <v>5080</v>
      </c>
      <c r="B145" s="2" t="s">
        <v>8453</v>
      </c>
      <c r="C145" s="2" t="s">
        <v>5609</v>
      </c>
    </row>
    <row r="146" customFormat="false" ht="35.05" hidden="false" customHeight="false" outlineLevel="0" collapsed="false">
      <c r="A146" s="2" t="s">
        <v>5080</v>
      </c>
      <c r="B146" s="2" t="s">
        <v>8454</v>
      </c>
      <c r="C146" s="2" t="s">
        <v>5620</v>
      </c>
    </row>
    <row r="147" customFormat="false" ht="15" hidden="false" customHeight="false" outlineLevel="0" collapsed="false">
      <c r="A147" s="2" t="s">
        <v>5621</v>
      </c>
      <c r="B147" s="2" t="s">
        <v>8455</v>
      </c>
      <c r="C147" s="2" t="s">
        <v>8310</v>
      </c>
    </row>
    <row r="148" customFormat="false" ht="15" hidden="false" customHeight="false" outlineLevel="0" collapsed="false">
      <c r="A148" s="2" t="s">
        <v>5621</v>
      </c>
      <c r="B148" s="2" t="s">
        <v>8456</v>
      </c>
      <c r="C148" s="2" t="s">
        <v>8310</v>
      </c>
    </row>
    <row r="149" customFormat="false" ht="15" hidden="false" customHeight="false" outlineLevel="0" collapsed="false">
      <c r="A149" s="2" t="s">
        <v>5621</v>
      </c>
      <c r="B149" s="2" t="s">
        <v>8457</v>
      </c>
      <c r="C149" s="2" t="s">
        <v>8310</v>
      </c>
    </row>
    <row r="150" customFormat="false" ht="15" hidden="false" customHeight="false" outlineLevel="0" collapsed="false">
      <c r="A150" s="2" t="s">
        <v>5621</v>
      </c>
      <c r="B150" s="2" t="s">
        <v>8458</v>
      </c>
      <c r="C150" s="2" t="s">
        <v>8310</v>
      </c>
    </row>
    <row r="151" customFormat="false" ht="15" hidden="false" customHeight="false" outlineLevel="0" collapsed="false">
      <c r="A151" s="2" t="s">
        <v>5621</v>
      </c>
      <c r="B151" s="2" t="s">
        <v>8459</v>
      </c>
      <c r="C151" s="2" t="s">
        <v>8310</v>
      </c>
    </row>
    <row r="152" customFormat="false" ht="15" hidden="false" customHeight="false" outlineLevel="0" collapsed="false">
      <c r="A152" s="2" t="s">
        <v>5621</v>
      </c>
      <c r="B152" s="2" t="s">
        <v>8460</v>
      </c>
      <c r="C152" s="2" t="s">
        <v>8310</v>
      </c>
    </row>
    <row r="153" customFormat="false" ht="15" hidden="false" customHeight="false" outlineLevel="0" collapsed="false">
      <c r="A153" s="2" t="s">
        <v>5621</v>
      </c>
      <c r="B153" s="2" t="s">
        <v>8461</v>
      </c>
      <c r="C153" s="2" t="s">
        <v>8310</v>
      </c>
    </row>
    <row r="154" customFormat="false" ht="23.85" hidden="false" customHeight="false" outlineLevel="0" collapsed="false">
      <c r="A154" s="2" t="s">
        <v>5621</v>
      </c>
      <c r="B154" s="2" t="s">
        <v>8462</v>
      </c>
      <c r="C154" s="2" t="s">
        <v>8310</v>
      </c>
    </row>
    <row r="155" customFormat="false" ht="15" hidden="false" customHeight="false" outlineLevel="0" collapsed="false">
      <c r="A155" s="2" t="s">
        <v>5621</v>
      </c>
      <c r="B155" s="2" t="s">
        <v>8463</v>
      </c>
      <c r="C155" s="2" t="s">
        <v>8310</v>
      </c>
    </row>
    <row r="156" customFormat="false" ht="15" hidden="false" customHeight="false" outlineLevel="0" collapsed="false">
      <c r="A156" s="2" t="s">
        <v>5621</v>
      </c>
      <c r="B156" s="2" t="s">
        <v>8464</v>
      </c>
      <c r="C156" s="2" t="s">
        <v>8310</v>
      </c>
    </row>
    <row r="157" customFormat="false" ht="23.85" hidden="false" customHeight="false" outlineLevel="0" collapsed="false">
      <c r="A157" s="2" t="s">
        <v>5621</v>
      </c>
      <c r="B157" s="2" t="s">
        <v>8465</v>
      </c>
      <c r="C157" s="2" t="s">
        <v>6122</v>
      </c>
    </row>
    <row r="158" customFormat="false" ht="23.85" hidden="false" customHeight="false" outlineLevel="0" collapsed="false">
      <c r="A158" s="2" t="s">
        <v>5621</v>
      </c>
      <c r="B158" s="2" t="s">
        <v>8466</v>
      </c>
      <c r="C158" s="2" t="s">
        <v>6131</v>
      </c>
    </row>
    <row r="159" customFormat="false" ht="23.85" hidden="false" customHeight="false" outlineLevel="0" collapsed="false">
      <c r="A159" s="2" t="s">
        <v>5621</v>
      </c>
      <c r="B159" s="2" t="s">
        <v>8467</v>
      </c>
      <c r="C159" s="2" t="s">
        <v>6139</v>
      </c>
    </row>
    <row r="160" customFormat="false" ht="23.85" hidden="false" customHeight="false" outlineLevel="0" collapsed="false">
      <c r="A160" s="2" t="s">
        <v>5621</v>
      </c>
      <c r="B160" s="2" t="s">
        <v>8468</v>
      </c>
      <c r="C160" s="2" t="s">
        <v>6148</v>
      </c>
    </row>
    <row r="161" customFormat="false" ht="23.85" hidden="false" customHeight="false" outlineLevel="0" collapsed="false">
      <c r="A161" s="2" t="s">
        <v>5621</v>
      </c>
      <c r="B161" s="2" t="s">
        <v>8469</v>
      </c>
      <c r="C161" s="2" t="s">
        <v>6156</v>
      </c>
    </row>
    <row r="162" customFormat="false" ht="23.85" hidden="false" customHeight="false" outlineLevel="0" collapsed="false">
      <c r="A162" s="2" t="s">
        <v>5621</v>
      </c>
      <c r="B162" s="2" t="s">
        <v>8470</v>
      </c>
      <c r="C162" s="2" t="s">
        <v>6164</v>
      </c>
    </row>
    <row r="163" customFormat="false" ht="23.85" hidden="false" customHeight="false" outlineLevel="0" collapsed="false">
      <c r="A163" s="2" t="s">
        <v>5621</v>
      </c>
      <c r="B163" s="2" t="s">
        <v>8471</v>
      </c>
      <c r="C163" s="2" t="s">
        <v>6172</v>
      </c>
    </row>
    <row r="164" customFormat="false" ht="23.85" hidden="false" customHeight="false" outlineLevel="0" collapsed="false">
      <c r="A164" s="2" t="s">
        <v>5621</v>
      </c>
      <c r="B164" s="2" t="s">
        <v>8472</v>
      </c>
      <c r="C164" s="2" t="s">
        <v>6181</v>
      </c>
    </row>
    <row r="165" customFormat="false" ht="15" hidden="false" customHeight="false" outlineLevel="0" collapsed="false">
      <c r="A165" s="2" t="s">
        <v>6182</v>
      </c>
      <c r="B165" s="2" t="s">
        <v>8473</v>
      </c>
      <c r="C165" s="2" t="s">
        <v>8310</v>
      </c>
    </row>
    <row r="166" customFormat="false" ht="15" hidden="false" customHeight="false" outlineLevel="0" collapsed="false">
      <c r="A166" s="2" t="s">
        <v>6182</v>
      </c>
      <c r="B166" s="2" t="s">
        <v>8474</v>
      </c>
      <c r="C166" s="2" t="s">
        <v>8310</v>
      </c>
    </row>
    <row r="167" customFormat="false" ht="15" hidden="false" customHeight="false" outlineLevel="0" collapsed="false">
      <c r="A167" s="2" t="s">
        <v>6182</v>
      </c>
      <c r="B167" s="2" t="s">
        <v>8475</v>
      </c>
      <c r="C167" s="2" t="s">
        <v>8310</v>
      </c>
    </row>
    <row r="168" customFormat="false" ht="15" hidden="false" customHeight="false" outlineLevel="0" collapsed="false">
      <c r="A168" s="2" t="s">
        <v>6182</v>
      </c>
      <c r="B168" s="2" t="s">
        <v>8476</v>
      </c>
      <c r="C168" s="2" t="s">
        <v>8310</v>
      </c>
    </row>
    <row r="169" customFormat="false" ht="15" hidden="false" customHeight="false" outlineLevel="0" collapsed="false">
      <c r="A169" s="2" t="s">
        <v>6182</v>
      </c>
      <c r="B169" s="2" t="s">
        <v>8477</v>
      </c>
      <c r="C169" s="2" t="s">
        <v>8310</v>
      </c>
    </row>
    <row r="170" customFormat="false" ht="23.85" hidden="false" customHeight="false" outlineLevel="0" collapsed="false">
      <c r="A170" s="2" t="s">
        <v>6182</v>
      </c>
      <c r="B170" s="2" t="s">
        <v>8478</v>
      </c>
      <c r="C170" s="2" t="s">
        <v>6563</v>
      </c>
    </row>
    <row r="171" customFormat="false" ht="23.85" hidden="false" customHeight="false" outlineLevel="0" collapsed="false">
      <c r="A171" s="2" t="s">
        <v>6182</v>
      </c>
      <c r="B171" s="2" t="s">
        <v>8479</v>
      </c>
      <c r="C171" s="2" t="s">
        <v>6576</v>
      </c>
    </row>
    <row r="172" customFormat="false" ht="23.85" hidden="false" customHeight="false" outlineLevel="0" collapsed="false">
      <c r="A172" s="2" t="s">
        <v>6182</v>
      </c>
      <c r="B172" s="2" t="s">
        <v>8480</v>
      </c>
      <c r="C172" s="2" t="s">
        <v>6587</v>
      </c>
    </row>
    <row r="173" customFormat="false" ht="23.85" hidden="false" customHeight="false" outlineLevel="0" collapsed="false">
      <c r="A173" s="2" t="s">
        <v>6182</v>
      </c>
      <c r="B173" s="2" t="s">
        <v>8481</v>
      </c>
      <c r="C173" s="2" t="s">
        <v>6600</v>
      </c>
    </row>
    <row r="174" customFormat="false" ht="15" hidden="false" customHeight="false" outlineLevel="0" collapsed="false">
      <c r="A174" s="2" t="s">
        <v>6676</v>
      </c>
      <c r="B174" s="2" t="s">
        <v>8482</v>
      </c>
      <c r="C174" s="2" t="s">
        <v>8310</v>
      </c>
    </row>
    <row r="175" customFormat="false" ht="15" hidden="false" customHeight="false" outlineLevel="0" collapsed="false">
      <c r="A175" s="2" t="s">
        <v>6676</v>
      </c>
      <c r="B175" s="2" t="s">
        <v>8483</v>
      </c>
      <c r="C175" s="2" t="s">
        <v>8310</v>
      </c>
    </row>
    <row r="176" customFormat="false" ht="23.85" hidden="false" customHeight="false" outlineLevel="0" collapsed="false">
      <c r="A176" s="2" t="s">
        <v>6676</v>
      </c>
      <c r="B176" s="2" t="s">
        <v>8484</v>
      </c>
      <c r="C176" s="2" t="s">
        <v>8310</v>
      </c>
    </row>
    <row r="177" customFormat="false" ht="15" hidden="false" customHeight="false" outlineLevel="0" collapsed="false">
      <c r="A177" s="2" t="s">
        <v>6676</v>
      </c>
      <c r="B177" s="2" t="s">
        <v>8485</v>
      </c>
      <c r="C177" s="2" t="s">
        <v>8310</v>
      </c>
    </row>
    <row r="178" customFormat="false" ht="15" hidden="false" customHeight="false" outlineLevel="0" collapsed="false">
      <c r="A178" s="2" t="s">
        <v>6676</v>
      </c>
      <c r="B178" s="2" t="s">
        <v>8486</v>
      </c>
      <c r="C178" s="2" t="s">
        <v>8310</v>
      </c>
    </row>
    <row r="179" customFormat="false" ht="23.85" hidden="false" customHeight="false" outlineLevel="0" collapsed="false">
      <c r="A179" s="2" t="s">
        <v>6676</v>
      </c>
      <c r="B179" s="2" t="s">
        <v>8487</v>
      </c>
      <c r="C179" s="2" t="s">
        <v>8310</v>
      </c>
    </row>
    <row r="180" customFormat="false" ht="23.85" hidden="false" customHeight="false" outlineLevel="0" collapsed="false">
      <c r="A180" s="2" t="s">
        <v>6676</v>
      </c>
      <c r="B180" s="2" t="s">
        <v>8488</v>
      </c>
      <c r="C180" s="2" t="s">
        <v>8310</v>
      </c>
    </row>
    <row r="181" customFormat="false" ht="23.85" hidden="false" customHeight="false" outlineLevel="0" collapsed="false">
      <c r="A181" s="2" t="s">
        <v>6676</v>
      </c>
      <c r="B181" s="2" t="s">
        <v>8489</v>
      </c>
      <c r="C181" s="2" t="s">
        <v>6980</v>
      </c>
    </row>
    <row r="182" customFormat="false" ht="23.85" hidden="false" customHeight="false" outlineLevel="0" collapsed="false">
      <c r="A182" s="2" t="s">
        <v>6676</v>
      </c>
      <c r="B182" s="2" t="s">
        <v>8490</v>
      </c>
      <c r="C182" s="2" t="s">
        <v>3811</v>
      </c>
    </row>
    <row r="183" customFormat="false" ht="23.85" hidden="false" customHeight="false" outlineLevel="0" collapsed="false">
      <c r="A183" s="2" t="s">
        <v>6676</v>
      </c>
      <c r="B183" s="2" t="s">
        <v>8491</v>
      </c>
      <c r="C183" s="2" t="s">
        <v>7194</v>
      </c>
    </row>
    <row r="184" customFormat="false" ht="23.85" hidden="false" customHeight="false" outlineLevel="0" collapsed="false">
      <c r="A184" s="2" t="s">
        <v>6676</v>
      </c>
      <c r="B184" s="2" t="s">
        <v>8492</v>
      </c>
      <c r="C184" s="2" t="s">
        <v>7206</v>
      </c>
    </row>
    <row r="185" customFormat="false" ht="23.85" hidden="false" customHeight="false" outlineLevel="0" collapsed="false">
      <c r="A185" s="2" t="s">
        <v>7207</v>
      </c>
      <c r="B185" s="2" t="s">
        <v>8493</v>
      </c>
      <c r="C185" s="2" t="s">
        <v>8310</v>
      </c>
    </row>
    <row r="186" customFormat="false" ht="23.85" hidden="false" customHeight="false" outlineLevel="0" collapsed="false">
      <c r="A186" s="2" t="s">
        <v>7207</v>
      </c>
      <c r="B186" s="2" t="s">
        <v>8494</v>
      </c>
      <c r="C186" s="2" t="s">
        <v>8310</v>
      </c>
    </row>
    <row r="187" customFormat="false" ht="23.85" hidden="false" customHeight="false" outlineLevel="0" collapsed="false">
      <c r="A187" s="2" t="s">
        <v>7207</v>
      </c>
      <c r="B187" s="2" t="s">
        <v>8495</v>
      </c>
      <c r="C187" s="2" t="s">
        <v>8310</v>
      </c>
    </row>
    <row r="188" customFormat="false" ht="23.85" hidden="false" customHeight="false" outlineLevel="0" collapsed="false">
      <c r="A188" s="2" t="s">
        <v>7207</v>
      </c>
      <c r="B188" s="2" t="s">
        <v>8496</v>
      </c>
      <c r="C188" s="2" t="s">
        <v>8310</v>
      </c>
    </row>
    <row r="189" customFormat="false" ht="23.85" hidden="false" customHeight="false" outlineLevel="0" collapsed="false">
      <c r="A189" s="2" t="s">
        <v>7207</v>
      </c>
      <c r="B189" s="2" t="s">
        <v>8497</v>
      </c>
      <c r="C189" s="2" t="s">
        <v>8310</v>
      </c>
    </row>
    <row r="190" customFormat="false" ht="23.85" hidden="false" customHeight="false" outlineLevel="0" collapsed="false">
      <c r="A190" s="2" t="s">
        <v>7207</v>
      </c>
      <c r="B190" s="2" t="s">
        <v>8498</v>
      </c>
      <c r="C190" s="2" t="s">
        <v>8310</v>
      </c>
    </row>
    <row r="191" customFormat="false" ht="23.85" hidden="false" customHeight="false" outlineLevel="0" collapsed="false">
      <c r="A191" s="2" t="s">
        <v>7207</v>
      </c>
      <c r="B191" s="2" t="s">
        <v>8499</v>
      </c>
      <c r="C191" s="2" t="s">
        <v>8310</v>
      </c>
    </row>
    <row r="192" customFormat="false" ht="23.85" hidden="false" customHeight="false" outlineLevel="0" collapsed="false">
      <c r="A192" s="2" t="s">
        <v>7207</v>
      </c>
      <c r="B192" s="2" t="s">
        <v>8500</v>
      </c>
      <c r="C192" s="2" t="s">
        <v>8310</v>
      </c>
    </row>
    <row r="193" customFormat="false" ht="23.85" hidden="false" customHeight="false" outlineLevel="0" collapsed="false">
      <c r="A193" s="2" t="s">
        <v>7207</v>
      </c>
      <c r="B193" s="2" t="s">
        <v>8501</v>
      </c>
      <c r="C193" s="2" t="s">
        <v>7317</v>
      </c>
    </row>
    <row r="194" customFormat="false" ht="23.85" hidden="false" customHeight="false" outlineLevel="0" collapsed="false">
      <c r="A194" s="2" t="s">
        <v>7207</v>
      </c>
      <c r="B194" s="2" t="s">
        <v>8502</v>
      </c>
      <c r="C194" s="2" t="s">
        <v>494</v>
      </c>
    </row>
    <row r="195" customFormat="false" ht="35.05" hidden="false" customHeight="false" outlineLevel="0" collapsed="false">
      <c r="A195" s="2" t="s">
        <v>7207</v>
      </c>
      <c r="B195" s="2" t="s">
        <v>8503</v>
      </c>
      <c r="C195" s="2" t="s">
        <v>7337</v>
      </c>
    </row>
    <row r="196" customFormat="false" ht="23.85" hidden="false" customHeight="false" outlineLevel="0" collapsed="false">
      <c r="A196" s="2" t="s">
        <v>7207</v>
      </c>
      <c r="B196" s="2" t="s">
        <v>8504</v>
      </c>
      <c r="C196" s="2" t="s">
        <v>7361</v>
      </c>
    </row>
    <row r="197" customFormat="false" ht="23.85" hidden="false" customHeight="false" outlineLevel="0" collapsed="false">
      <c r="A197" s="2" t="s">
        <v>7207</v>
      </c>
      <c r="B197" s="2" t="s">
        <v>8505</v>
      </c>
      <c r="C197" s="2" t="s">
        <v>7626</v>
      </c>
    </row>
    <row r="198" customFormat="false" ht="23.85" hidden="false" customHeight="false" outlineLevel="0" collapsed="false">
      <c r="A198" s="2" t="s">
        <v>7207</v>
      </c>
      <c r="B198" s="2" t="s">
        <v>8506</v>
      </c>
      <c r="C198" s="2" t="s">
        <v>7638</v>
      </c>
    </row>
    <row r="199" customFormat="false" ht="23.85" hidden="false" customHeight="false" outlineLevel="0" collapsed="false">
      <c r="A199" s="2" t="s">
        <v>7207</v>
      </c>
      <c r="B199" s="2" t="s">
        <v>8507</v>
      </c>
      <c r="C199" s="2" t="s">
        <v>7649</v>
      </c>
    </row>
    <row r="200" customFormat="false" ht="23.85" hidden="false" customHeight="false" outlineLevel="0" collapsed="false">
      <c r="A200" s="2" t="s">
        <v>7207</v>
      </c>
      <c r="B200" s="2" t="s">
        <v>8508</v>
      </c>
      <c r="C200" s="2" t="s">
        <v>7660</v>
      </c>
    </row>
    <row r="201" customFormat="false" ht="23.85" hidden="false" customHeight="false" outlineLevel="0" collapsed="false">
      <c r="A201" s="2" t="s">
        <v>7207</v>
      </c>
      <c r="B201" s="2" t="s">
        <v>8509</v>
      </c>
      <c r="C201" s="2" t="s">
        <v>2266</v>
      </c>
    </row>
    <row r="202" customFormat="false" ht="23.85" hidden="false" customHeight="false" outlineLevel="0" collapsed="false">
      <c r="A202" s="2" t="s">
        <v>7207</v>
      </c>
      <c r="B202" s="2" t="s">
        <v>8510</v>
      </c>
      <c r="C202" s="2" t="s">
        <v>7680</v>
      </c>
    </row>
    <row r="203" customFormat="false" ht="35.05" hidden="false" customHeight="false" outlineLevel="0" collapsed="false">
      <c r="A203" s="2" t="s">
        <v>7712</v>
      </c>
      <c r="B203" s="2" t="s">
        <v>8511</v>
      </c>
      <c r="C203" s="2" t="s">
        <v>8310</v>
      </c>
    </row>
    <row r="204" customFormat="false" ht="23.85" hidden="false" customHeight="false" outlineLevel="0" collapsed="false">
      <c r="A204" s="2" t="s">
        <v>7712</v>
      </c>
      <c r="B204" s="2" t="s">
        <v>8512</v>
      </c>
      <c r="C204" s="2" t="s">
        <v>8310</v>
      </c>
    </row>
    <row r="205" customFormat="false" ht="23.85" hidden="false" customHeight="false" outlineLevel="0" collapsed="false">
      <c r="A205" s="2" t="s">
        <v>7712</v>
      </c>
      <c r="B205" s="2" t="s">
        <v>8513</v>
      </c>
      <c r="C205" s="2" t="s">
        <v>8310</v>
      </c>
    </row>
    <row r="206" customFormat="false" ht="23.85" hidden="false" customHeight="false" outlineLevel="0" collapsed="false">
      <c r="A206" s="2" t="s">
        <v>7712</v>
      </c>
      <c r="B206" s="2" t="s">
        <v>8514</v>
      </c>
      <c r="C206" s="2" t="s">
        <v>8310</v>
      </c>
    </row>
    <row r="207" customFormat="false" ht="15" hidden="false" customHeight="false" outlineLevel="0" collapsed="false">
      <c r="A207" s="2" t="s">
        <v>7712</v>
      </c>
      <c r="B207" s="2" t="s">
        <v>8515</v>
      </c>
      <c r="C207" s="2" t="s">
        <v>8310</v>
      </c>
    </row>
    <row r="208" customFormat="false" ht="15" hidden="false" customHeight="false" outlineLevel="0" collapsed="false">
      <c r="A208" s="2" t="s">
        <v>7712</v>
      </c>
      <c r="B208" s="2" t="s">
        <v>8516</v>
      </c>
      <c r="C208" s="2" t="s">
        <v>8310</v>
      </c>
    </row>
    <row r="209" customFormat="false" ht="15" hidden="false" customHeight="false" outlineLevel="0" collapsed="false">
      <c r="A209" s="2" t="s">
        <v>7712</v>
      </c>
      <c r="B209" s="2" t="s">
        <v>8517</v>
      </c>
      <c r="C209" s="2" t="s">
        <v>8310</v>
      </c>
    </row>
    <row r="210" customFormat="false" ht="23.85" hidden="false" customHeight="false" outlineLevel="0" collapsed="false">
      <c r="A210" s="2" t="s">
        <v>7712</v>
      </c>
      <c r="B210" s="2" t="s">
        <v>8518</v>
      </c>
      <c r="C210" s="2" t="s">
        <v>8310</v>
      </c>
    </row>
    <row r="211" customFormat="false" ht="35.05" hidden="false" customHeight="false" outlineLevel="0" collapsed="false">
      <c r="A211" s="2" t="s">
        <v>7712</v>
      </c>
      <c r="B211" s="2" t="s">
        <v>8519</v>
      </c>
      <c r="C211" s="2" t="s">
        <v>2856</v>
      </c>
    </row>
    <row r="212" customFormat="false" ht="23.85" hidden="false" customHeight="false" outlineLevel="0" collapsed="false">
      <c r="A212" s="2" t="s">
        <v>7712</v>
      </c>
      <c r="B212" s="2" t="s">
        <v>8520</v>
      </c>
      <c r="C212" s="2" t="s">
        <v>3664</v>
      </c>
    </row>
    <row r="213" customFormat="false" ht="23.85" hidden="false" customHeight="false" outlineLevel="0" collapsed="false">
      <c r="A213" s="2" t="s">
        <v>7712</v>
      </c>
      <c r="B213" s="2" t="s">
        <v>8521</v>
      </c>
      <c r="C213" s="2" t="s">
        <v>1157</v>
      </c>
    </row>
    <row r="214" customFormat="false" ht="23.85" hidden="false" customHeight="false" outlineLevel="0" collapsed="false">
      <c r="A214" s="2" t="s">
        <v>7712</v>
      </c>
      <c r="B214" s="2" t="s">
        <v>8522</v>
      </c>
      <c r="C214" s="2" t="s">
        <v>468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2026-10-12T12:42:39Z</dcterms:created>
  <dc:creator>openpyxl</dc:creator>
  <dc:description/>
  <dc:language>en-US</dc:language>
  <cp:lastModifiedBy/>
  <dcterms:modified xsi:type="dcterms:W3CDTF">2026-10-12T12:42:39Z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